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Trial\Trial_2015C\RAPSODYN\"/>
    </mc:Choice>
  </mc:AlternateContent>
  <bookViews>
    <workbookView xWindow="0" yWindow="60" windowWidth="19200" windowHeight="8130" tabRatio="825" firstSheet="6" activeTab="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Level" sheetId="8" r:id="rId7"/>
    <sheet name="Treatment" sheetId="7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8" r:id="rId15"/>
    <sheet name="Parcellaire_data" sheetId="16" r:id="rId16"/>
    <sheet name="ITK_data" sheetId="17" r:id="rId17"/>
  </sheets>
  <externalReferences>
    <externalReference r:id="rId18"/>
  </externalReferences>
  <definedNames>
    <definedName name="_xlnm._FilterDatabase" localSheetId="8" hidden="1">Data!$A$1:$CP$1</definedName>
    <definedName name="_xlnm._FilterDatabase" localSheetId="9" hidden="1">Files!$A$1:$F$1</definedName>
    <definedName name="_xlnm._FilterDatabase" localSheetId="5" hidden="1">PlantMaterial!$A$1:$E$209</definedName>
    <definedName name="HoldingInstitution">StaticData!$C$1:$C$21</definedName>
    <definedName name="InstitutionName">StaticData!$B$1:$B$1457</definedName>
    <definedName name="Liste_Stade">[1]Tables!$AA$2:$AA$1000</definedName>
    <definedName name="ProjectAcronym">StaticData!$D$1:$D$225</definedName>
    <definedName name="Ref_Ante_Prece">'[1]Referentiel Agro'!$G$2:$G$1000</definedName>
    <definedName name="Ref_Aptitude_Rechauf">'[1]Referentiel Agro'!$AD$2:$AD$1000</definedName>
    <definedName name="Ref_Devenir_Residus">'[1]Referentiel Agro'!$S$2:$S$1000</definedName>
    <definedName name="Ref_Efficacite">'[1]Referentiel Agro'!$AH$2:$AH$1000</definedName>
    <definedName name="Ref_Effluents_Orga">'[1]Referentiel Agro Effluent Orga'!$A$2:$A$994</definedName>
    <definedName name="Ref_Effluents_Orga_Tab">'[1]Referentiel Agro Effluent Orga'!$A$2:$G$994</definedName>
    <definedName name="Ref_Interculture">'[1]Referentiel Agro'!$T$2:$T$1000</definedName>
    <definedName name="Ref_Lieu_Prelev">'[1]Referentiel Agro'!$Z$2:$Z$1000</definedName>
    <definedName name="Ref_Liste_Prdt_Commerc_Phyto_Cell_Depart">'[1]Referentiel Agro Phyto'!$A$1</definedName>
    <definedName name="Ref_Liste_Prdt_Commerc_Phyto_Col_Type">'[1]Referentiel Agro Phyto'!$A$1:$BZ$1</definedName>
    <definedName name="Ref_Methode_CEC">'[1]Referentiel Agro'!$AB$2:$AB$1000</definedName>
    <definedName name="Ref_Methode_P2O5">'[1]Referentiel Agro'!$AA$2:$AA$1000</definedName>
    <definedName name="Ref_Methode_RU">'[1]Referentiel Agro'!$Y$2:$Y$1000</definedName>
    <definedName name="Ref_Modalite">'[1]Referentiel Agro'!$AE$2:$AE$1000</definedName>
    <definedName name="Ref_Nom_Sol">'[1]Referentiel Agro Sol'!$A$2:$A$1000</definedName>
    <definedName name="Ref_Obstacle_Racine">'[1]Referentiel Agro'!$U$2:$U$1000</definedName>
    <definedName name="Ref_Oui_Non">'[1]Referentiel Agro'!$O$2:$O$1000</definedName>
    <definedName name="Ref_Phytotoxicite">'[1]Referentiel Agro'!$AI$2:$AI$1000</definedName>
    <definedName name="Ref_Sensible_Battance">'[1]Referentiel Agro'!$X$2:$X$1000</definedName>
    <definedName name="Ref_Sensible_Eau">'[1]Referentiel Agro'!$V$2:$V$1000</definedName>
    <definedName name="Ref_Sensible_Sec">'[1]Referentiel Agro'!$W$2:$W$1000</definedName>
    <definedName name="Ref_System_W_Sol">'[1]Referentiel Agro'!$AC$2:$AC$1000</definedName>
    <definedName name="Ref_Texture">'[1]Referentiel Agro'!$L$2:$L$1000</definedName>
    <definedName name="Ref_Type_Pdt_Trait">'[1]Referentiel Agro'!$I$2:$I$1000</definedName>
    <definedName name="Ref_Unites_Phytos">'[1]Referentiel Agro'!$AF$2:$AF$1000</definedName>
    <definedName name="SiteName">StaticData!$E$1:$E$24</definedName>
    <definedName name="TaxonScientificName">StaticData!$A$1:$A$5470</definedName>
  </definedNames>
  <calcPr calcId="152511"/>
</workbook>
</file>

<file path=xl/calcChain.xml><?xml version="1.0" encoding="utf-8"?>
<calcChain xmlns="http://schemas.openxmlformats.org/spreadsheetml/2006/main">
  <c r="G1058" i="9" l="1"/>
  <c r="G1057" i="9"/>
  <c r="G1056" i="9"/>
  <c r="G1055" i="9"/>
  <c r="G1053" i="9"/>
  <c r="G1052" i="9"/>
  <c r="G1051" i="9"/>
  <c r="G1050" i="9"/>
  <c r="G1049" i="9"/>
  <c r="G1048" i="9"/>
  <c r="G1047" i="9"/>
  <c r="G1046" i="9"/>
  <c r="G1045" i="9"/>
  <c r="G1044" i="9"/>
  <c r="G1043" i="9"/>
  <c r="G1042" i="9"/>
  <c r="G1041" i="9"/>
  <c r="G1038" i="9"/>
  <c r="G1037" i="9"/>
  <c r="G1036" i="9"/>
  <c r="G1035" i="9"/>
  <c r="G1034" i="9"/>
  <c r="G1033" i="9"/>
  <c r="G1032" i="9"/>
  <c r="G1031" i="9"/>
  <c r="G1030" i="9"/>
  <c r="G1029" i="9"/>
  <c r="G1028" i="9"/>
  <c r="G1027" i="9"/>
  <c r="G1024" i="9"/>
  <c r="G1023" i="9"/>
  <c r="G1022" i="9"/>
  <c r="G1021" i="9"/>
  <c r="G1020" i="9"/>
  <c r="G1019" i="9"/>
  <c r="G1018" i="9"/>
  <c r="G1017" i="9"/>
  <c r="G1016" i="9"/>
  <c r="G1013" i="9"/>
  <c r="G1012" i="9"/>
  <c r="G1011" i="9"/>
  <c r="G1010" i="9"/>
  <c r="G1009" i="9"/>
  <c r="G1008" i="9"/>
  <c r="G1007" i="9"/>
  <c r="G1006" i="9"/>
  <c r="G1003" i="9"/>
  <c r="G1002" i="9"/>
  <c r="G1001" i="9"/>
  <c r="G1000" i="9"/>
  <c r="G999" i="9"/>
  <c r="G998" i="9"/>
  <c r="G997" i="9"/>
  <c r="G996" i="9"/>
  <c r="G995" i="9"/>
  <c r="G994" i="9"/>
  <c r="G993" i="9"/>
  <c r="G992" i="9"/>
  <c r="G991" i="9"/>
  <c r="G990" i="9"/>
  <c r="G987" i="9"/>
  <c r="G986" i="9"/>
  <c r="G985" i="9"/>
  <c r="G984" i="9"/>
  <c r="G983" i="9"/>
  <c r="G982" i="9"/>
  <c r="G981" i="9"/>
  <c r="G980" i="9"/>
  <c r="G979" i="9"/>
  <c r="G977" i="9"/>
  <c r="G976" i="9"/>
  <c r="G975" i="9"/>
  <c r="G974" i="9"/>
  <c r="G967" i="9"/>
  <c r="G966" i="9"/>
  <c r="G965" i="9"/>
  <c r="G964" i="9"/>
  <c r="G962" i="9"/>
  <c r="G961" i="9"/>
  <c r="G960" i="9"/>
  <c r="G959" i="9"/>
  <c r="G958" i="9"/>
  <c r="G957" i="9"/>
  <c r="G956" i="9"/>
  <c r="G955" i="9"/>
  <c r="G954" i="9"/>
  <c r="G953" i="9"/>
  <c r="G952" i="9"/>
  <c r="G951" i="9"/>
  <c r="G948" i="9"/>
  <c r="G947" i="9"/>
  <c r="G946" i="9"/>
  <c r="G945" i="9"/>
  <c r="G944" i="9"/>
  <c r="G943" i="9"/>
  <c r="G942" i="9"/>
  <c r="G941" i="9"/>
  <c r="G940" i="9"/>
  <c r="G937" i="9"/>
  <c r="G936" i="9"/>
  <c r="G935" i="9"/>
  <c r="G934" i="9"/>
  <c r="G933" i="9"/>
  <c r="G932" i="9"/>
  <c r="G931" i="9"/>
  <c r="G930" i="9"/>
  <c r="G929" i="9"/>
  <c r="G928" i="9"/>
  <c r="G925" i="9"/>
  <c r="G924" i="9"/>
  <c r="G923" i="9"/>
  <c r="G922" i="9"/>
  <c r="G921" i="9"/>
  <c r="G920" i="9"/>
  <c r="G917" i="9"/>
  <c r="G916" i="9"/>
  <c r="G915" i="9"/>
  <c r="G914" i="9"/>
  <c r="G913" i="9"/>
  <c r="G912" i="9"/>
  <c r="G911" i="9"/>
  <c r="G910" i="9"/>
  <c r="G909" i="9"/>
  <c r="G908" i="9"/>
  <c r="G907" i="9"/>
  <c r="G906" i="9"/>
  <c r="G903" i="9"/>
  <c r="G902" i="9"/>
  <c r="G901" i="9"/>
  <c r="G900" i="9"/>
  <c r="G899" i="9"/>
  <c r="G898" i="9"/>
  <c r="G897" i="9"/>
  <c r="G896" i="9"/>
  <c r="G895" i="9"/>
  <c r="G893" i="9"/>
  <c r="G892" i="9"/>
  <c r="G891" i="9"/>
  <c r="G890" i="9"/>
  <c r="G883" i="9"/>
  <c r="G882" i="9"/>
  <c r="G881" i="9"/>
  <c r="G880" i="9"/>
  <c r="G878" i="9"/>
  <c r="G877" i="9"/>
  <c r="G876" i="9"/>
  <c r="G875" i="9"/>
  <c r="G874" i="9"/>
  <c r="G873" i="9"/>
  <c r="G872" i="9"/>
  <c r="G871" i="9"/>
  <c r="G870" i="9"/>
  <c r="G869" i="9"/>
  <c r="G868" i="9"/>
  <c r="G867" i="9"/>
  <c r="G864" i="9"/>
  <c r="G863" i="9"/>
  <c r="G862" i="9"/>
  <c r="G861" i="9"/>
  <c r="G860" i="9"/>
  <c r="G859" i="9"/>
  <c r="G858" i="9"/>
  <c r="G857" i="9"/>
  <c r="G856" i="9"/>
  <c r="G855" i="9"/>
  <c r="G854" i="9"/>
  <c r="G851" i="9"/>
  <c r="G850" i="9"/>
  <c r="G849" i="9"/>
  <c r="G848" i="9"/>
  <c r="G847" i="9"/>
  <c r="G846" i="9"/>
  <c r="G845" i="9"/>
  <c r="G844" i="9"/>
  <c r="G843" i="9"/>
  <c r="G842" i="9"/>
  <c r="G841" i="9"/>
  <c r="G838" i="9"/>
  <c r="G837" i="9"/>
  <c r="G836" i="9"/>
  <c r="G835" i="9"/>
  <c r="G834" i="9"/>
  <c r="G833" i="9"/>
  <c r="G832" i="9"/>
  <c r="G831" i="9"/>
  <c r="G830" i="9"/>
  <c r="G829" i="9"/>
  <c r="G828" i="9"/>
  <c r="G825" i="9"/>
  <c r="G824" i="9"/>
  <c r="G823" i="9"/>
  <c r="G822" i="9"/>
  <c r="G821" i="9"/>
  <c r="G820" i="9"/>
  <c r="G819" i="9"/>
  <c r="G818" i="9"/>
  <c r="G817" i="9"/>
  <c r="G816" i="9"/>
  <c r="G813" i="9"/>
  <c r="G812" i="9"/>
  <c r="G811" i="9"/>
  <c r="G810" i="9"/>
  <c r="G809" i="9"/>
  <c r="G808" i="9"/>
  <c r="G807" i="9"/>
  <c r="G806" i="9"/>
  <c r="G805" i="9"/>
  <c r="G803" i="9"/>
  <c r="G802" i="9"/>
  <c r="G801" i="9"/>
  <c r="G800" i="9"/>
  <c r="G793" i="9"/>
  <c r="G792" i="9"/>
  <c r="G791" i="9"/>
  <c r="G790" i="9"/>
  <c r="G788" i="9"/>
  <c r="G787" i="9"/>
  <c r="G786" i="9"/>
  <c r="G785" i="9"/>
  <c r="G784" i="9"/>
  <c r="G783" i="9"/>
  <c r="G782" i="9"/>
  <c r="G781" i="9"/>
  <c r="G780" i="9"/>
  <c r="G779" i="9"/>
  <c r="G776" i="9"/>
  <c r="G775" i="9"/>
  <c r="G774" i="9"/>
  <c r="G773" i="9"/>
  <c r="G772" i="9"/>
  <c r="G771" i="9"/>
  <c r="G768" i="9"/>
  <c r="G767" i="9"/>
  <c r="G766" i="9"/>
  <c r="G765" i="9"/>
  <c r="G764" i="9"/>
  <c r="G763" i="9"/>
  <c r="G762" i="9"/>
  <c r="G761" i="9"/>
  <c r="G760" i="9"/>
  <c r="G759" i="9"/>
  <c r="G758" i="9"/>
  <c r="G757" i="9"/>
  <c r="G754" i="9"/>
  <c r="G753" i="9"/>
  <c r="G752" i="9"/>
  <c r="G751" i="9"/>
  <c r="G750" i="9"/>
  <c r="G749" i="9"/>
  <c r="G748" i="9"/>
  <c r="G747" i="9"/>
  <c r="G744" i="9"/>
  <c r="G743" i="9"/>
  <c r="G742" i="9"/>
  <c r="G741" i="9"/>
  <c r="G740" i="9"/>
  <c r="G739" i="9"/>
  <c r="G738" i="9"/>
  <c r="G737" i="9"/>
  <c r="G736" i="9"/>
  <c r="G735" i="9"/>
  <c r="G734" i="9"/>
  <c r="G733" i="9"/>
  <c r="G732" i="9"/>
  <c r="G729" i="9"/>
  <c r="G728" i="9"/>
  <c r="G727" i="9"/>
  <c r="G726" i="9"/>
  <c r="G725" i="9"/>
  <c r="G724" i="9"/>
  <c r="G723" i="9"/>
  <c r="G722" i="9"/>
  <c r="G721" i="9"/>
  <c r="G719" i="9"/>
  <c r="G718" i="9"/>
  <c r="G717" i="9"/>
  <c r="G716" i="9"/>
  <c r="G709" i="9"/>
  <c r="G708" i="9"/>
  <c r="G707" i="9"/>
  <c r="G706" i="9"/>
  <c r="G704" i="9"/>
  <c r="G703" i="9"/>
  <c r="G702" i="9"/>
  <c r="G701" i="9"/>
  <c r="G700" i="9"/>
  <c r="G699" i="9"/>
  <c r="G698" i="9"/>
  <c r="G697" i="9"/>
  <c r="G696" i="9"/>
  <c r="G695" i="9"/>
  <c r="G694" i="9"/>
  <c r="G693" i="9"/>
  <c r="G692" i="9"/>
  <c r="G691" i="9"/>
  <c r="G688" i="9"/>
  <c r="G687" i="9"/>
  <c r="G686" i="9"/>
  <c r="G685" i="9"/>
  <c r="G684" i="9"/>
  <c r="G683" i="9"/>
  <c r="G682" i="9"/>
  <c r="G681" i="9"/>
  <c r="G680" i="9"/>
  <c r="G679" i="9"/>
  <c r="G678" i="9"/>
  <c r="G677" i="9"/>
  <c r="G674" i="9"/>
  <c r="G673" i="9"/>
  <c r="G672" i="9"/>
  <c r="G671" i="9"/>
  <c r="G670" i="9"/>
  <c r="G669" i="9"/>
  <c r="G668" i="9"/>
  <c r="G667" i="9"/>
  <c r="G666" i="9"/>
  <c r="G665" i="9"/>
  <c r="G662" i="9"/>
  <c r="G661" i="9"/>
  <c r="G660" i="9"/>
  <c r="G659" i="9"/>
  <c r="G658" i="9"/>
  <c r="G657" i="9"/>
  <c r="G656" i="9"/>
  <c r="G655" i="9"/>
  <c r="G654" i="9"/>
  <c r="G653" i="9"/>
  <c r="G652" i="9"/>
  <c r="G651" i="9"/>
  <c r="G650" i="9"/>
  <c r="G649" i="9"/>
  <c r="G646" i="9"/>
  <c r="G645" i="9"/>
  <c r="G644" i="9"/>
  <c r="G643" i="9"/>
  <c r="G642" i="9"/>
  <c r="G641" i="9"/>
  <c r="G640" i="9"/>
  <c r="G639" i="9"/>
  <c r="G638" i="9"/>
  <c r="G637" i="9"/>
  <c r="G634" i="9"/>
  <c r="G633" i="9"/>
  <c r="G632" i="9"/>
  <c r="G631" i="9"/>
  <c r="G630" i="9"/>
  <c r="G629" i="9"/>
  <c r="G628" i="9"/>
  <c r="G627" i="9"/>
  <c r="G626" i="9"/>
  <c r="G625" i="9"/>
  <c r="G624" i="9"/>
  <c r="G623" i="9"/>
  <c r="G621" i="9"/>
  <c r="G620" i="9"/>
  <c r="G619" i="9"/>
  <c r="G618" i="9"/>
  <c r="G611" i="9"/>
  <c r="G610" i="9"/>
  <c r="G609" i="9"/>
  <c r="G608" i="9"/>
  <c r="G606" i="9"/>
  <c r="G605" i="9"/>
  <c r="G604" i="9"/>
  <c r="G603" i="9"/>
  <c r="G602" i="9"/>
  <c r="G601" i="9"/>
  <c r="G600" i="9"/>
  <c r="G599" i="9"/>
  <c r="G596" i="9"/>
  <c r="G595" i="9"/>
  <c r="G594" i="9"/>
  <c r="G593" i="9"/>
  <c r="G592" i="9"/>
  <c r="G591" i="9"/>
  <c r="G590" i="9"/>
  <c r="G589" i="9"/>
  <c r="G588" i="9"/>
  <c r="G587" i="9"/>
  <c r="G584" i="9"/>
  <c r="G583" i="9"/>
  <c r="G582" i="9"/>
  <c r="G581" i="9"/>
  <c r="G580" i="9"/>
  <c r="G579" i="9"/>
  <c r="G578" i="9"/>
  <c r="G577" i="9"/>
  <c r="G576" i="9"/>
  <c r="G575" i="9"/>
  <c r="G574" i="9"/>
  <c r="G573" i="9"/>
  <c r="G572" i="9"/>
  <c r="G571" i="9"/>
  <c r="G568" i="9"/>
  <c r="G567" i="9"/>
  <c r="G566" i="9"/>
  <c r="G565" i="9"/>
  <c r="G564" i="9"/>
  <c r="G563" i="9"/>
  <c r="G562" i="9"/>
  <c r="G561" i="9"/>
  <c r="G558" i="9"/>
  <c r="G557" i="9"/>
  <c r="G556" i="9"/>
  <c r="G555" i="9"/>
  <c r="G554" i="9"/>
  <c r="G553" i="9"/>
  <c r="G552" i="9"/>
  <c r="G551" i="9"/>
  <c r="G550" i="9"/>
  <c r="G549" i="9"/>
  <c r="G548" i="9"/>
  <c r="G547" i="9"/>
  <c r="G544" i="9"/>
  <c r="G543" i="9"/>
  <c r="G542" i="9"/>
  <c r="G541" i="9"/>
  <c r="G540" i="9"/>
  <c r="G538" i="9"/>
  <c r="G537" i="9"/>
  <c r="G536" i="9"/>
  <c r="G535" i="9"/>
  <c r="G530" i="9"/>
  <c r="G529" i="9"/>
  <c r="G528" i="9"/>
  <c r="G527" i="9"/>
  <c r="G525" i="9"/>
  <c r="G524" i="9"/>
  <c r="G523" i="9"/>
  <c r="G522" i="9"/>
  <c r="G521" i="9"/>
  <c r="G520" i="9"/>
  <c r="G519" i="9"/>
  <c r="G518" i="9"/>
  <c r="G517" i="9"/>
  <c r="G516" i="9"/>
  <c r="G515" i="9"/>
  <c r="G514" i="9"/>
  <c r="G513" i="9"/>
  <c r="G510" i="9"/>
  <c r="G509" i="9"/>
  <c r="G508" i="9"/>
  <c r="G507" i="9"/>
  <c r="G506" i="9"/>
  <c r="G505" i="9"/>
  <c r="G504" i="9"/>
  <c r="G503" i="9"/>
  <c r="G502" i="9"/>
  <c r="G499" i="9"/>
  <c r="G498" i="9"/>
  <c r="G497" i="9"/>
  <c r="G496" i="9"/>
  <c r="G495" i="9"/>
  <c r="G494" i="9"/>
  <c r="G493" i="9"/>
  <c r="G492" i="9"/>
  <c r="G491" i="9"/>
  <c r="G490" i="9"/>
  <c r="G483" i="9"/>
  <c r="G482" i="9"/>
  <c r="G481" i="9"/>
  <c r="G480" i="9"/>
  <c r="G479" i="9"/>
  <c r="G478" i="9"/>
  <c r="G477" i="9"/>
  <c r="G476" i="9"/>
  <c r="G475" i="9"/>
  <c r="G474" i="9"/>
  <c r="G471" i="9"/>
  <c r="G470" i="9"/>
  <c r="G469" i="9"/>
  <c r="G468" i="9"/>
  <c r="G467" i="9"/>
  <c r="G466" i="9"/>
  <c r="G465" i="9"/>
  <c r="G464" i="9"/>
  <c r="G463" i="9"/>
  <c r="G462" i="9"/>
  <c r="G459" i="9"/>
  <c r="G458" i="9"/>
  <c r="G457" i="9"/>
  <c r="G456" i="9"/>
  <c r="G455" i="9"/>
  <c r="G454" i="9"/>
  <c r="G453" i="9"/>
  <c r="G452" i="9"/>
  <c r="G451" i="9"/>
  <c r="G450" i="9"/>
  <c r="G449" i="9"/>
  <c r="G447" i="9"/>
  <c r="G446" i="9"/>
  <c r="G445" i="9"/>
  <c r="G444" i="9"/>
  <c r="G441" i="9"/>
  <c r="G440" i="9"/>
  <c r="G439" i="9"/>
  <c r="G438" i="9"/>
  <c r="G436" i="9"/>
  <c r="G435" i="9"/>
  <c r="G434" i="9"/>
  <c r="G433" i="9"/>
  <c r="G432" i="9"/>
  <c r="G431" i="9"/>
  <c r="G430" i="9"/>
  <c r="G429" i="9"/>
  <c r="G428" i="9"/>
  <c r="G425" i="9"/>
  <c r="G424" i="9"/>
  <c r="G423" i="9"/>
  <c r="G422" i="9"/>
  <c r="G421" i="9"/>
  <c r="G420" i="9"/>
  <c r="G419" i="9"/>
  <c r="G418" i="9"/>
  <c r="G417" i="9"/>
  <c r="G416" i="9"/>
  <c r="G413" i="9"/>
  <c r="G412" i="9"/>
  <c r="G411" i="9"/>
  <c r="G410" i="9"/>
  <c r="G409" i="9"/>
  <c r="G408" i="9"/>
  <c r="G407" i="9"/>
  <c r="G406" i="9"/>
  <c r="G405" i="9"/>
  <c r="G404" i="9"/>
  <c r="G403" i="9"/>
  <c r="G396" i="9"/>
  <c r="G395" i="9"/>
  <c r="G394" i="9"/>
  <c r="G393" i="9"/>
  <c r="G392" i="9"/>
  <c r="G391" i="9"/>
  <c r="G390" i="9"/>
  <c r="G389" i="9"/>
  <c r="G388" i="9"/>
  <c r="G387" i="9"/>
  <c r="G384" i="9"/>
  <c r="G383" i="9"/>
  <c r="G382" i="9"/>
  <c r="G381" i="9"/>
  <c r="G380" i="9"/>
  <c r="G379" i="9"/>
  <c r="G378" i="9"/>
  <c r="G377" i="9"/>
  <c r="G376" i="9"/>
  <c r="G373" i="9"/>
  <c r="G372" i="9"/>
  <c r="G371" i="9"/>
  <c r="G370" i="9"/>
  <c r="G369" i="9"/>
  <c r="G368" i="9"/>
  <c r="G367" i="9"/>
  <c r="G366" i="9"/>
  <c r="G365" i="9"/>
  <c r="G364" i="9"/>
  <c r="G363" i="9"/>
  <c r="G361" i="9"/>
  <c r="G360" i="9"/>
  <c r="G359" i="9"/>
  <c r="G358" i="9"/>
  <c r="G355" i="9"/>
  <c r="G354" i="9"/>
  <c r="G353" i="9"/>
  <c r="G352" i="9"/>
  <c r="G350" i="9"/>
  <c r="G349" i="9"/>
  <c r="G348" i="9"/>
  <c r="G347" i="9"/>
  <c r="G346" i="9"/>
  <c r="G345" i="9"/>
  <c r="G344" i="9"/>
  <c r="G343" i="9"/>
  <c r="G342" i="9"/>
  <c r="G341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4" i="9"/>
  <c r="G323" i="9"/>
  <c r="G322" i="9"/>
  <c r="G321" i="9"/>
  <c r="G320" i="9"/>
  <c r="G319" i="9"/>
  <c r="G318" i="9"/>
  <c r="G317" i="9"/>
  <c r="G316" i="9"/>
  <c r="G315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4" i="9"/>
  <c r="G293" i="9"/>
  <c r="G292" i="9"/>
  <c r="G291" i="9"/>
  <c r="G290" i="9"/>
  <c r="G289" i="9"/>
  <c r="G288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1" i="9"/>
  <c r="G270" i="9"/>
  <c r="G269" i="9"/>
  <c r="G268" i="9"/>
  <c r="G265" i="9"/>
  <c r="G264" i="9"/>
  <c r="G263" i="9"/>
  <c r="G262" i="9"/>
  <c r="G260" i="9"/>
  <c r="G259" i="9"/>
  <c r="G258" i="9"/>
  <c r="G257" i="9"/>
  <c r="G256" i="9"/>
  <c r="G255" i="9"/>
  <c r="G254" i="9"/>
  <c r="G253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4" i="9"/>
  <c r="G203" i="9"/>
  <c r="G202" i="9"/>
  <c r="G201" i="9"/>
  <c r="G200" i="9"/>
  <c r="G199" i="9"/>
  <c r="G198" i="9"/>
  <c r="G197" i="9"/>
  <c r="G196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0" i="9"/>
  <c r="G179" i="9"/>
  <c r="G178" i="9"/>
  <c r="G177" i="9"/>
  <c r="G174" i="9"/>
  <c r="G173" i="9"/>
  <c r="G172" i="9"/>
  <c r="G171" i="9"/>
  <c r="G169" i="9"/>
  <c r="G168" i="9"/>
  <c r="G167" i="9"/>
  <c r="G166" i="9"/>
  <c r="G165" i="9"/>
  <c r="G164" i="9"/>
  <c r="G163" i="9"/>
  <c r="G162" i="9"/>
  <c r="G161" i="9"/>
  <c r="G160" i="9"/>
  <c r="G159" i="9"/>
  <c r="G156" i="9"/>
  <c r="G155" i="9"/>
  <c r="G154" i="9"/>
  <c r="G153" i="9"/>
  <c r="G152" i="9"/>
  <c r="G151" i="9"/>
  <c r="G150" i="9"/>
  <c r="G149" i="9"/>
  <c r="G148" i="9"/>
  <c r="G147" i="9"/>
  <c r="G146" i="9"/>
  <c r="G143" i="9"/>
  <c r="G142" i="9"/>
  <c r="G141" i="9"/>
  <c r="G140" i="9"/>
  <c r="G139" i="9"/>
  <c r="G138" i="9"/>
  <c r="G137" i="9"/>
  <c r="G136" i="9"/>
  <c r="G135" i="9"/>
  <c r="G128" i="9"/>
  <c r="G127" i="9"/>
  <c r="G126" i="9"/>
  <c r="G125" i="9"/>
  <c r="G124" i="9"/>
  <c r="G123" i="9"/>
  <c r="G122" i="9"/>
  <c r="G121" i="9"/>
  <c r="G120" i="9"/>
  <c r="G117" i="9"/>
  <c r="G116" i="9"/>
  <c r="G115" i="9"/>
  <c r="G114" i="9"/>
  <c r="G113" i="9"/>
  <c r="G112" i="9"/>
  <c r="G111" i="9"/>
  <c r="G110" i="9"/>
  <c r="G109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2" i="9"/>
  <c r="G91" i="9"/>
  <c r="G90" i="9"/>
  <c r="G89" i="9"/>
  <c r="G86" i="9"/>
  <c r="G85" i="9"/>
  <c r="G84" i="9"/>
  <c r="G83" i="9"/>
  <c r="G81" i="9"/>
  <c r="G80" i="9"/>
  <c r="G79" i="9"/>
  <c r="G78" i="9"/>
  <c r="G77" i="9"/>
  <c r="G76" i="9"/>
  <c r="G75" i="9"/>
  <c r="G74" i="9"/>
  <c r="G73" i="9"/>
  <c r="G72" i="9"/>
  <c r="G71" i="9"/>
  <c r="G70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2" i="9"/>
  <c r="G51" i="9"/>
  <c r="G50" i="9"/>
  <c r="G49" i="9"/>
  <c r="G48" i="9"/>
  <c r="G47" i="9"/>
  <c r="G46" i="9"/>
  <c r="G45" i="9"/>
  <c r="G44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1" i="9"/>
  <c r="G20" i="9"/>
  <c r="G19" i="9"/>
  <c r="G18" i="9"/>
  <c r="G17" i="9"/>
  <c r="G14" i="9"/>
  <c r="G13" i="9"/>
  <c r="G12" i="9"/>
  <c r="G11" i="9"/>
  <c r="G10" i="9"/>
  <c r="G9" i="9"/>
  <c r="G8" i="9"/>
  <c r="G6" i="9"/>
  <c r="G5" i="9"/>
  <c r="G4" i="9"/>
  <c r="G3" i="9"/>
  <c r="L533" i="9" l="1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53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2" i="9"/>
  <c r="AH619" i="9" l="1"/>
  <c r="AF618" i="9"/>
  <c r="AD618" i="9" s="1"/>
  <c r="AS535" i="9" l="1"/>
  <c r="AS530" i="9"/>
  <c r="AS529" i="9"/>
  <c r="AS528" i="9"/>
  <c r="AS527" i="9"/>
  <c r="AS525" i="9"/>
  <c r="AS524" i="9"/>
  <c r="AS523" i="9"/>
  <c r="AS522" i="9"/>
  <c r="AS521" i="9"/>
  <c r="AS520" i="9"/>
  <c r="AS519" i="9"/>
  <c r="AS518" i="9"/>
  <c r="AS517" i="9"/>
  <c r="AS516" i="9"/>
  <c r="AS515" i="9"/>
  <c r="AS514" i="9"/>
  <c r="AS513" i="9"/>
  <c r="AS510" i="9"/>
  <c r="AS509" i="9"/>
  <c r="AS508" i="9"/>
  <c r="AS507" i="9"/>
  <c r="AS506" i="9"/>
  <c r="AS505" i="9"/>
  <c r="AS504" i="9"/>
  <c r="AS503" i="9"/>
  <c r="AS502" i="9"/>
  <c r="AS499" i="9"/>
  <c r="AS498" i="9"/>
  <c r="AS497" i="9"/>
  <c r="AS496" i="9"/>
  <c r="AS495" i="9"/>
  <c r="AS494" i="9"/>
  <c r="AS493" i="9"/>
  <c r="AS492" i="9"/>
  <c r="AS491" i="9"/>
  <c r="AS490" i="9"/>
  <c r="AS483" i="9"/>
  <c r="AS482" i="9"/>
  <c r="AS481" i="9"/>
  <c r="AS480" i="9"/>
  <c r="AS479" i="9"/>
  <c r="AS478" i="9"/>
  <c r="AS477" i="9"/>
  <c r="AS476" i="9"/>
  <c r="AS475" i="9"/>
  <c r="AS474" i="9"/>
  <c r="AS471" i="9"/>
  <c r="AS470" i="9"/>
  <c r="AS469" i="9"/>
  <c r="AS468" i="9"/>
  <c r="AS467" i="9"/>
  <c r="AS466" i="9"/>
  <c r="AS465" i="9"/>
  <c r="AS464" i="9"/>
  <c r="AS463" i="9"/>
  <c r="AS462" i="9"/>
  <c r="AS459" i="9"/>
  <c r="AS458" i="9"/>
  <c r="AS457" i="9"/>
  <c r="AS456" i="9"/>
  <c r="AS455" i="9"/>
  <c r="AS454" i="9"/>
  <c r="AS453" i="9"/>
  <c r="AS452" i="9"/>
  <c r="AS451" i="9"/>
  <c r="AS450" i="9"/>
  <c r="AS449" i="9"/>
  <c r="AS447" i="9"/>
  <c r="AS446" i="9"/>
  <c r="AS445" i="9"/>
  <c r="AS444" i="9"/>
  <c r="AS441" i="9"/>
  <c r="AS440" i="9"/>
  <c r="AS439" i="9"/>
  <c r="AS438" i="9"/>
  <c r="AS436" i="9"/>
  <c r="AS435" i="9"/>
  <c r="AS434" i="9"/>
  <c r="AS433" i="9"/>
  <c r="AS432" i="9"/>
  <c r="AS431" i="9"/>
  <c r="AS430" i="9"/>
  <c r="AS429" i="9"/>
  <c r="AS428" i="9"/>
  <c r="AS425" i="9"/>
  <c r="AS424" i="9"/>
  <c r="AS423" i="9"/>
  <c r="AS422" i="9"/>
  <c r="AS421" i="9"/>
  <c r="AS420" i="9"/>
  <c r="AS419" i="9"/>
  <c r="AS418" i="9"/>
  <c r="AS417" i="9"/>
  <c r="AS416" i="9"/>
  <c r="AS413" i="9"/>
  <c r="AS412" i="9"/>
  <c r="AS411" i="9"/>
  <c r="AS410" i="9"/>
  <c r="AS409" i="9"/>
  <c r="AS408" i="9"/>
  <c r="AS407" i="9"/>
  <c r="AS406" i="9"/>
  <c r="AS405" i="9"/>
  <c r="AS404" i="9"/>
  <c r="AS403" i="9"/>
  <c r="AS396" i="9"/>
  <c r="AS395" i="9"/>
  <c r="AS394" i="9"/>
  <c r="AS393" i="9"/>
  <c r="AS392" i="9"/>
  <c r="AS391" i="9"/>
  <c r="AS390" i="9"/>
  <c r="AS389" i="9"/>
  <c r="AS388" i="9"/>
  <c r="AS387" i="9"/>
  <c r="AS384" i="9"/>
  <c r="AS383" i="9"/>
  <c r="AS382" i="9"/>
  <c r="AS381" i="9"/>
  <c r="AS380" i="9"/>
  <c r="AS379" i="9"/>
  <c r="AS378" i="9"/>
  <c r="AS377" i="9"/>
  <c r="AS376" i="9"/>
  <c r="AS373" i="9"/>
  <c r="AS372" i="9"/>
  <c r="AS371" i="9"/>
  <c r="AS370" i="9"/>
  <c r="AS369" i="9"/>
  <c r="AS368" i="9"/>
  <c r="AS367" i="9"/>
  <c r="AS366" i="9"/>
  <c r="AS365" i="9"/>
  <c r="AS364" i="9"/>
  <c r="AS363" i="9"/>
  <c r="AS361" i="9"/>
  <c r="AS360" i="9"/>
  <c r="AS359" i="9"/>
  <c r="AS358" i="9"/>
  <c r="AS355" i="9"/>
  <c r="AS354" i="9"/>
  <c r="AS353" i="9"/>
  <c r="AS352" i="9"/>
  <c r="AS350" i="9"/>
  <c r="AS349" i="9"/>
  <c r="AS348" i="9"/>
  <c r="AS347" i="9"/>
  <c r="AS346" i="9"/>
  <c r="AS345" i="9"/>
  <c r="AS344" i="9"/>
  <c r="AS343" i="9"/>
  <c r="AS342" i="9"/>
  <c r="AS341" i="9"/>
  <c r="AS338" i="9"/>
  <c r="AS337" i="9"/>
  <c r="AS336" i="9"/>
  <c r="AS335" i="9"/>
  <c r="AS334" i="9"/>
  <c r="AS333" i="9"/>
  <c r="AS332" i="9"/>
  <c r="AS331" i="9"/>
  <c r="AS330" i="9"/>
  <c r="AS329" i="9"/>
  <c r="AS328" i="9"/>
  <c r="AS327" i="9"/>
  <c r="AS324" i="9"/>
  <c r="AS323" i="9"/>
  <c r="AS322" i="9"/>
  <c r="AS321" i="9"/>
  <c r="AS320" i="9"/>
  <c r="AS319" i="9"/>
  <c r="AS318" i="9"/>
  <c r="AS317" i="9"/>
  <c r="AS316" i="9"/>
  <c r="AS315" i="9"/>
  <c r="AS308" i="9"/>
  <c r="AS307" i="9"/>
  <c r="AS306" i="9"/>
  <c r="AS305" i="9"/>
  <c r="AS304" i="9"/>
  <c r="AS303" i="9"/>
  <c r="AS302" i="9"/>
  <c r="AS301" i="9"/>
  <c r="AS300" i="9"/>
  <c r="AS299" i="9"/>
  <c r="AS298" i="9"/>
  <c r="AS297" i="9"/>
  <c r="AS294" i="9"/>
  <c r="AS293" i="9"/>
  <c r="AS292" i="9"/>
  <c r="AS291" i="9"/>
  <c r="AS290" i="9"/>
  <c r="AS289" i="9"/>
  <c r="AS288" i="9"/>
  <c r="AS285" i="9"/>
  <c r="AS284" i="9"/>
  <c r="AS283" i="9"/>
  <c r="AS282" i="9"/>
  <c r="AS281" i="9"/>
  <c r="AS280" i="9"/>
  <c r="AS279" i="9"/>
  <c r="AS278" i="9"/>
  <c r="AS277" i="9"/>
  <c r="AS276" i="9"/>
  <c r="AS275" i="9"/>
  <c r="AS274" i="9"/>
  <c r="AS273" i="9"/>
  <c r="AS271" i="9"/>
  <c r="AS270" i="9"/>
  <c r="AS269" i="9"/>
  <c r="AS268" i="9"/>
  <c r="AS265" i="9"/>
  <c r="AS264" i="9"/>
  <c r="AS263" i="9"/>
  <c r="AS262" i="9"/>
  <c r="AS260" i="9"/>
  <c r="AS259" i="9"/>
  <c r="AS258" i="9"/>
  <c r="AS257" i="9"/>
  <c r="AS256" i="9"/>
  <c r="AS255" i="9"/>
  <c r="AS254" i="9"/>
  <c r="AS253" i="9"/>
  <c r="AS250" i="9"/>
  <c r="AS249" i="9"/>
  <c r="AS248" i="9"/>
  <c r="AS247" i="9"/>
  <c r="AS246" i="9"/>
  <c r="AS245" i="9"/>
  <c r="AS244" i="9"/>
  <c r="AS243" i="9"/>
  <c r="AS242" i="9"/>
  <c r="AS241" i="9"/>
  <c r="AS240" i="9"/>
  <c r="AS239" i="9"/>
  <c r="AS236" i="9"/>
  <c r="AS235" i="9"/>
  <c r="AS234" i="9"/>
  <c r="AS233" i="9"/>
  <c r="AS232" i="9"/>
  <c r="AS231" i="9"/>
  <c r="AS230" i="9"/>
  <c r="AS229" i="9"/>
  <c r="AS228" i="9"/>
  <c r="AS227" i="9"/>
  <c r="AS226" i="9"/>
  <c r="AS225" i="9"/>
  <c r="AS218" i="9"/>
  <c r="AS217" i="9"/>
  <c r="AS216" i="9"/>
  <c r="AS215" i="9"/>
  <c r="AS214" i="9"/>
  <c r="AS213" i="9"/>
  <c r="AS212" i="9"/>
  <c r="AS211" i="9"/>
  <c r="AS210" i="9"/>
  <c r="AS209" i="9"/>
  <c r="AS208" i="9"/>
  <c r="AS207" i="9"/>
  <c r="AS204" i="9"/>
  <c r="AS203" i="9"/>
  <c r="AS202" i="9"/>
  <c r="AS201" i="9"/>
  <c r="AS200" i="9"/>
  <c r="AS199" i="9"/>
  <c r="AS198" i="9"/>
  <c r="AS197" i="9"/>
  <c r="AS196" i="9"/>
  <c r="AS193" i="9"/>
  <c r="AS192" i="9"/>
  <c r="AS191" i="9"/>
  <c r="AS190" i="9"/>
  <c r="AS189" i="9"/>
  <c r="AS188" i="9"/>
  <c r="AS187" i="9"/>
  <c r="AS186" i="9"/>
  <c r="AS185" i="9"/>
  <c r="AS184" i="9"/>
  <c r="AS183" i="9"/>
  <c r="AS182" i="9"/>
  <c r="AS180" i="9"/>
  <c r="AS179" i="9"/>
  <c r="AS178" i="9"/>
  <c r="AS177" i="9"/>
  <c r="AS174" i="9"/>
  <c r="AS173" i="9"/>
  <c r="AS172" i="9"/>
  <c r="AS171" i="9"/>
  <c r="AS169" i="9"/>
  <c r="AS168" i="9"/>
  <c r="AS167" i="9"/>
  <c r="AS166" i="9"/>
  <c r="AS165" i="9"/>
  <c r="AS164" i="9"/>
  <c r="AS163" i="9"/>
  <c r="AS162" i="9"/>
  <c r="AS161" i="9"/>
  <c r="AS160" i="9"/>
  <c r="AS159" i="9"/>
  <c r="AS156" i="9"/>
  <c r="AS155" i="9"/>
  <c r="AS154" i="9"/>
  <c r="AS153" i="9"/>
  <c r="AS152" i="9"/>
  <c r="AS151" i="9"/>
  <c r="AS150" i="9"/>
  <c r="AS149" i="9"/>
  <c r="AS148" i="9"/>
  <c r="AS147" i="9"/>
  <c r="AS146" i="9"/>
  <c r="AS143" i="9"/>
  <c r="AS142" i="9"/>
  <c r="AS141" i="9"/>
  <c r="AS140" i="9"/>
  <c r="AS139" i="9"/>
  <c r="AS138" i="9"/>
  <c r="AS137" i="9"/>
  <c r="AS136" i="9"/>
  <c r="AS135" i="9"/>
  <c r="AS128" i="9"/>
  <c r="AS127" i="9"/>
  <c r="AS126" i="9"/>
  <c r="AS125" i="9"/>
  <c r="AS124" i="9"/>
  <c r="AS123" i="9"/>
  <c r="AS122" i="9"/>
  <c r="AS121" i="9"/>
  <c r="AS120" i="9"/>
  <c r="AS117" i="9"/>
  <c r="AS116" i="9"/>
  <c r="AS115" i="9"/>
  <c r="AS114" i="9"/>
  <c r="AS113" i="9"/>
  <c r="AS112" i="9"/>
  <c r="AS111" i="9"/>
  <c r="AS110" i="9"/>
  <c r="AS109" i="9"/>
  <c r="AS106" i="9"/>
  <c r="AS105" i="9"/>
  <c r="AS104" i="9"/>
  <c r="AS103" i="9"/>
  <c r="AS102" i="9"/>
  <c r="AS101" i="9"/>
  <c r="AS100" i="9"/>
  <c r="AS99" i="9"/>
  <c r="AS98" i="9"/>
  <c r="AS97" i="9"/>
  <c r="AS96" i="9"/>
  <c r="AS95" i="9"/>
  <c r="AS94" i="9"/>
  <c r="AS92" i="9"/>
  <c r="AS91" i="9"/>
  <c r="AS90" i="9"/>
  <c r="AS89" i="9"/>
  <c r="AS86" i="9"/>
  <c r="AS85" i="9"/>
  <c r="AS84" i="9"/>
  <c r="AS83" i="9"/>
  <c r="AS81" i="9"/>
  <c r="AS80" i="9"/>
  <c r="AS79" i="9"/>
  <c r="AS78" i="9"/>
  <c r="AS77" i="9"/>
  <c r="AS76" i="9"/>
  <c r="AS75" i="9"/>
  <c r="AS74" i="9"/>
  <c r="AS73" i="9"/>
  <c r="AS72" i="9"/>
  <c r="AS71" i="9"/>
  <c r="AS70" i="9"/>
  <c r="AS67" i="9"/>
  <c r="AS66" i="9"/>
  <c r="AS65" i="9"/>
  <c r="AS64" i="9"/>
  <c r="AS63" i="9"/>
  <c r="AS62" i="9"/>
  <c r="AS61" i="9"/>
  <c r="AS60" i="9"/>
  <c r="AS59" i="9"/>
  <c r="AS58" i="9"/>
  <c r="AS57" i="9"/>
  <c r="AS56" i="9"/>
  <c r="AS55" i="9"/>
  <c r="AS52" i="9"/>
  <c r="AS51" i="9"/>
  <c r="AS50" i="9"/>
  <c r="AS49" i="9"/>
  <c r="AS48" i="9"/>
  <c r="AS47" i="9"/>
  <c r="AS46" i="9"/>
  <c r="AS45" i="9"/>
  <c r="AS44" i="9"/>
  <c r="AS37" i="9"/>
  <c r="AS36" i="9"/>
  <c r="AS35" i="9"/>
  <c r="AS34" i="9"/>
  <c r="AS33" i="9"/>
  <c r="AS32" i="9"/>
  <c r="AS31" i="9"/>
  <c r="AS30" i="9"/>
  <c r="AS29" i="9"/>
  <c r="AS28" i="9"/>
  <c r="AS27" i="9"/>
  <c r="AS26" i="9"/>
  <c r="AS25" i="9"/>
  <c r="AS24" i="9"/>
  <c r="AS21" i="9"/>
  <c r="AS20" i="9"/>
  <c r="AS19" i="9"/>
  <c r="AS18" i="9"/>
  <c r="AS17" i="9"/>
  <c r="AS14" i="9"/>
  <c r="AS13" i="9"/>
  <c r="AS12" i="9"/>
  <c r="AS11" i="9"/>
  <c r="AS10" i="9"/>
  <c r="AS9" i="9"/>
  <c r="AS8" i="9"/>
  <c r="AS6" i="9"/>
  <c r="AS5" i="9"/>
  <c r="AS4" i="9"/>
  <c r="AS3" i="9"/>
  <c r="AS536" i="9"/>
  <c r="AS537" i="9"/>
  <c r="AS538" i="9"/>
  <c r="AS540" i="9"/>
  <c r="AS541" i="9"/>
  <c r="AS542" i="9"/>
  <c r="AS543" i="9"/>
  <c r="AS544" i="9"/>
  <c r="AS547" i="9"/>
  <c r="AS548" i="9"/>
  <c r="AS549" i="9"/>
  <c r="AS550" i="9"/>
  <c r="AS551" i="9"/>
  <c r="AS552" i="9"/>
  <c r="AS553" i="9"/>
  <c r="AS554" i="9"/>
  <c r="AS555" i="9"/>
  <c r="AS556" i="9"/>
  <c r="AS557" i="9"/>
  <c r="AS558" i="9"/>
  <c r="AS561" i="9"/>
  <c r="AS562" i="9"/>
  <c r="AS563" i="9"/>
  <c r="AS564" i="9"/>
  <c r="AS565" i="9"/>
  <c r="AS566" i="9"/>
  <c r="AS567" i="9"/>
  <c r="AS568" i="9"/>
  <c r="AS571" i="9"/>
  <c r="AS572" i="9"/>
  <c r="AS573" i="9"/>
  <c r="AS574" i="9"/>
  <c r="AS575" i="9"/>
  <c r="AS576" i="9"/>
  <c r="AS577" i="9"/>
  <c r="AS578" i="9"/>
  <c r="AS579" i="9"/>
  <c r="AS580" i="9"/>
  <c r="AS581" i="9"/>
  <c r="AS582" i="9"/>
  <c r="AS583" i="9"/>
  <c r="AS584" i="9"/>
  <c r="AS587" i="9"/>
  <c r="AS588" i="9"/>
  <c r="AS589" i="9"/>
  <c r="AS590" i="9"/>
  <c r="AS591" i="9"/>
  <c r="AS592" i="9"/>
  <c r="AS593" i="9"/>
  <c r="AS594" i="9"/>
  <c r="AS595" i="9"/>
  <c r="AS596" i="9"/>
  <c r="AS599" i="9"/>
  <c r="AS600" i="9"/>
  <c r="AS601" i="9"/>
  <c r="AS602" i="9"/>
  <c r="AS603" i="9"/>
  <c r="AS604" i="9"/>
  <c r="AS605" i="9"/>
  <c r="AS606" i="9"/>
  <c r="AS608" i="9"/>
  <c r="AS609" i="9"/>
  <c r="AS610" i="9"/>
  <c r="AS611" i="9"/>
  <c r="AS618" i="9"/>
  <c r="AS619" i="9"/>
  <c r="AS620" i="9"/>
  <c r="AS621" i="9"/>
  <c r="AS623" i="9"/>
  <c r="AS624" i="9"/>
  <c r="AS625" i="9"/>
  <c r="AS626" i="9"/>
  <c r="AS627" i="9"/>
  <c r="AS628" i="9"/>
  <c r="AS629" i="9"/>
  <c r="AS630" i="9"/>
  <c r="AS631" i="9"/>
  <c r="AS632" i="9"/>
  <c r="AS633" i="9"/>
  <c r="AS634" i="9"/>
  <c r="AS637" i="9"/>
  <c r="AS638" i="9"/>
  <c r="AS639" i="9"/>
  <c r="AS640" i="9"/>
  <c r="AS641" i="9"/>
  <c r="AS642" i="9"/>
  <c r="AS643" i="9"/>
  <c r="AS644" i="9"/>
  <c r="AS645" i="9"/>
  <c r="AS646" i="9"/>
  <c r="AS649" i="9"/>
  <c r="AS650" i="9"/>
  <c r="AS651" i="9"/>
  <c r="AS652" i="9"/>
  <c r="AS653" i="9"/>
  <c r="AS654" i="9"/>
  <c r="AS655" i="9"/>
  <c r="AS656" i="9"/>
  <c r="AS657" i="9"/>
  <c r="AS658" i="9"/>
  <c r="AS659" i="9"/>
  <c r="AS660" i="9"/>
  <c r="AS661" i="9"/>
  <c r="AS662" i="9"/>
  <c r="AS665" i="9"/>
  <c r="AS666" i="9"/>
  <c r="AS667" i="9"/>
  <c r="AS668" i="9"/>
  <c r="AS669" i="9"/>
  <c r="AS670" i="9"/>
  <c r="AS671" i="9"/>
  <c r="AS672" i="9"/>
  <c r="AS673" i="9"/>
  <c r="AS674" i="9"/>
  <c r="AS677" i="9"/>
  <c r="AS678" i="9"/>
  <c r="AS679" i="9"/>
  <c r="AS680" i="9"/>
  <c r="AS681" i="9"/>
  <c r="AS682" i="9"/>
  <c r="AS683" i="9"/>
  <c r="AS684" i="9"/>
  <c r="AS685" i="9"/>
  <c r="AS686" i="9"/>
  <c r="AS687" i="9"/>
  <c r="AS688" i="9"/>
  <c r="AS691" i="9"/>
  <c r="AS692" i="9"/>
  <c r="AS693" i="9"/>
  <c r="AS694" i="9"/>
  <c r="AS695" i="9"/>
  <c r="AS696" i="9"/>
  <c r="AS697" i="9"/>
  <c r="AS698" i="9"/>
  <c r="AS699" i="9"/>
  <c r="AS700" i="9"/>
  <c r="AS701" i="9"/>
  <c r="AS702" i="9"/>
  <c r="AS703" i="9"/>
  <c r="AS704" i="9"/>
  <c r="AS706" i="9"/>
  <c r="AS707" i="9"/>
  <c r="AS708" i="9"/>
  <c r="AS709" i="9"/>
  <c r="AS716" i="9"/>
  <c r="AS717" i="9"/>
  <c r="AS718" i="9"/>
  <c r="AS719" i="9"/>
  <c r="AS721" i="9"/>
  <c r="AS722" i="9"/>
  <c r="AS723" i="9"/>
  <c r="AS724" i="9"/>
  <c r="AS725" i="9"/>
  <c r="AS726" i="9"/>
  <c r="AS727" i="9"/>
  <c r="AS728" i="9"/>
  <c r="AS729" i="9"/>
  <c r="AS732" i="9"/>
  <c r="AS733" i="9"/>
  <c r="AS734" i="9"/>
  <c r="AS735" i="9"/>
  <c r="AS736" i="9"/>
  <c r="AS737" i="9"/>
  <c r="AS738" i="9"/>
  <c r="AS739" i="9"/>
  <c r="AS740" i="9"/>
  <c r="AS741" i="9"/>
  <c r="AS742" i="9"/>
  <c r="AS743" i="9"/>
  <c r="AS744" i="9"/>
  <c r="AS747" i="9"/>
  <c r="AS748" i="9"/>
  <c r="AS749" i="9"/>
  <c r="AS750" i="9"/>
  <c r="AS751" i="9"/>
  <c r="AS752" i="9"/>
  <c r="AS753" i="9"/>
  <c r="AS754" i="9"/>
  <c r="AS757" i="9"/>
  <c r="AS758" i="9"/>
  <c r="AS759" i="9"/>
  <c r="AS760" i="9"/>
  <c r="AS761" i="9"/>
  <c r="AS762" i="9"/>
  <c r="AS763" i="9"/>
  <c r="AS764" i="9"/>
  <c r="AS765" i="9"/>
  <c r="AS766" i="9"/>
  <c r="AS767" i="9"/>
  <c r="AS768" i="9"/>
  <c r="AS771" i="9"/>
  <c r="AS772" i="9"/>
  <c r="AS773" i="9"/>
  <c r="AS774" i="9"/>
  <c r="AS775" i="9"/>
  <c r="AS776" i="9"/>
  <c r="AS779" i="9"/>
  <c r="AS780" i="9"/>
  <c r="AS781" i="9"/>
  <c r="AS782" i="9"/>
  <c r="AS783" i="9"/>
  <c r="AS784" i="9"/>
  <c r="AS785" i="9"/>
  <c r="AS786" i="9"/>
  <c r="AS787" i="9"/>
  <c r="AS788" i="9"/>
  <c r="AS790" i="9"/>
  <c r="AS791" i="9"/>
  <c r="AS792" i="9"/>
  <c r="AS793" i="9"/>
  <c r="AS800" i="9"/>
  <c r="AS801" i="9"/>
  <c r="AS802" i="9"/>
  <c r="AS803" i="9"/>
  <c r="AS805" i="9"/>
  <c r="AS806" i="9"/>
  <c r="AS807" i="9"/>
  <c r="AS808" i="9"/>
  <c r="AS809" i="9"/>
  <c r="AS810" i="9"/>
  <c r="AS811" i="9"/>
  <c r="AS812" i="9"/>
  <c r="AS813" i="9"/>
  <c r="AS816" i="9"/>
  <c r="AS817" i="9"/>
  <c r="AS818" i="9"/>
  <c r="AS819" i="9"/>
  <c r="AS820" i="9"/>
  <c r="AS821" i="9"/>
  <c r="AS822" i="9"/>
  <c r="AS823" i="9"/>
  <c r="AS824" i="9"/>
  <c r="AS825" i="9"/>
  <c r="AS828" i="9"/>
  <c r="AS829" i="9"/>
  <c r="AS830" i="9"/>
  <c r="AS831" i="9"/>
  <c r="AS832" i="9"/>
  <c r="AS833" i="9"/>
  <c r="AS834" i="9"/>
  <c r="AS835" i="9"/>
  <c r="AS836" i="9"/>
  <c r="AS837" i="9"/>
  <c r="AS838" i="9"/>
  <c r="AS841" i="9"/>
  <c r="AS842" i="9"/>
  <c r="AS843" i="9"/>
  <c r="AS844" i="9"/>
  <c r="AS845" i="9"/>
  <c r="AS846" i="9"/>
  <c r="AS847" i="9"/>
  <c r="AS848" i="9"/>
  <c r="AS849" i="9"/>
  <c r="AS850" i="9"/>
  <c r="AS851" i="9"/>
  <c r="AS854" i="9"/>
  <c r="AS855" i="9"/>
  <c r="AS856" i="9"/>
  <c r="AS857" i="9"/>
  <c r="AS858" i="9"/>
  <c r="AS859" i="9"/>
  <c r="AS860" i="9"/>
  <c r="AS861" i="9"/>
  <c r="AS862" i="9"/>
  <c r="AS863" i="9"/>
  <c r="AS864" i="9"/>
  <c r="AS867" i="9"/>
  <c r="AS868" i="9"/>
  <c r="AS869" i="9"/>
  <c r="AS870" i="9"/>
  <c r="AS871" i="9"/>
  <c r="AS872" i="9"/>
  <c r="AS873" i="9"/>
  <c r="AS874" i="9"/>
  <c r="AS875" i="9"/>
  <c r="AS876" i="9"/>
  <c r="AS877" i="9"/>
  <c r="AS878" i="9"/>
  <c r="AS880" i="9"/>
  <c r="AS881" i="9"/>
  <c r="AS882" i="9"/>
  <c r="AS883" i="9"/>
  <c r="AS890" i="9"/>
  <c r="AS891" i="9"/>
  <c r="AS892" i="9"/>
  <c r="AS893" i="9"/>
  <c r="AS895" i="9"/>
  <c r="AS896" i="9"/>
  <c r="AS897" i="9"/>
  <c r="AS898" i="9"/>
  <c r="AS899" i="9"/>
  <c r="AS900" i="9"/>
  <c r="AS901" i="9"/>
  <c r="AS902" i="9"/>
  <c r="AS903" i="9"/>
  <c r="AS906" i="9"/>
  <c r="AS907" i="9"/>
  <c r="AS908" i="9"/>
  <c r="AS909" i="9"/>
  <c r="AS910" i="9"/>
  <c r="AS911" i="9"/>
  <c r="AS912" i="9"/>
  <c r="AS913" i="9"/>
  <c r="AS914" i="9"/>
  <c r="AS915" i="9"/>
  <c r="AS916" i="9"/>
  <c r="AS917" i="9"/>
  <c r="AS920" i="9"/>
  <c r="AS921" i="9"/>
  <c r="AS922" i="9"/>
  <c r="AS923" i="9"/>
  <c r="AS924" i="9"/>
  <c r="AS925" i="9"/>
  <c r="AS928" i="9"/>
  <c r="AS929" i="9"/>
  <c r="AS930" i="9"/>
  <c r="AS931" i="9"/>
  <c r="AS932" i="9"/>
  <c r="AS933" i="9"/>
  <c r="AS934" i="9"/>
  <c r="AS935" i="9"/>
  <c r="AS936" i="9"/>
  <c r="AS937" i="9"/>
  <c r="AS940" i="9"/>
  <c r="AS941" i="9"/>
  <c r="AS942" i="9"/>
  <c r="AS943" i="9"/>
  <c r="AS944" i="9"/>
  <c r="AS945" i="9"/>
  <c r="AS946" i="9"/>
  <c r="AS947" i="9"/>
  <c r="AS948" i="9"/>
  <c r="AS951" i="9"/>
  <c r="AS952" i="9"/>
  <c r="AS953" i="9"/>
  <c r="AS954" i="9"/>
  <c r="AS955" i="9"/>
  <c r="AS956" i="9"/>
  <c r="AS957" i="9"/>
  <c r="AS958" i="9"/>
  <c r="AS959" i="9"/>
  <c r="AS960" i="9"/>
  <c r="AS961" i="9"/>
  <c r="AS962" i="9"/>
  <c r="AS964" i="9"/>
  <c r="AS965" i="9"/>
  <c r="AS966" i="9"/>
  <c r="AS967" i="9"/>
  <c r="AS974" i="9"/>
  <c r="AS975" i="9"/>
  <c r="AS976" i="9"/>
  <c r="AS977" i="9"/>
  <c r="AS979" i="9"/>
  <c r="AS980" i="9"/>
  <c r="AS981" i="9"/>
  <c r="AS982" i="9"/>
  <c r="AS983" i="9"/>
  <c r="AS984" i="9"/>
  <c r="AS985" i="9"/>
  <c r="AS986" i="9"/>
  <c r="AS987" i="9"/>
  <c r="AS990" i="9"/>
  <c r="AS991" i="9"/>
  <c r="AS992" i="9"/>
  <c r="AS993" i="9"/>
  <c r="AS994" i="9"/>
  <c r="AS995" i="9"/>
  <c r="AS996" i="9"/>
  <c r="AS997" i="9"/>
  <c r="AS998" i="9"/>
  <c r="AS999" i="9"/>
  <c r="AS1000" i="9"/>
  <c r="AS1001" i="9"/>
  <c r="AS1002" i="9"/>
  <c r="AS1003" i="9"/>
  <c r="AS1006" i="9"/>
  <c r="AS1007" i="9"/>
  <c r="AS1008" i="9"/>
  <c r="AS1009" i="9"/>
  <c r="AS1010" i="9"/>
  <c r="AS1011" i="9"/>
  <c r="AS1012" i="9"/>
  <c r="AS1013" i="9"/>
  <c r="AS1016" i="9"/>
  <c r="AS1017" i="9"/>
  <c r="AS1018" i="9"/>
  <c r="AS1019" i="9"/>
  <c r="AS1020" i="9"/>
  <c r="AS1021" i="9"/>
  <c r="AS1022" i="9"/>
  <c r="AS1023" i="9"/>
  <c r="AS1024" i="9"/>
  <c r="AS1027" i="9"/>
  <c r="AS1028" i="9"/>
  <c r="AS1029" i="9"/>
  <c r="AS1030" i="9"/>
  <c r="AS1031" i="9"/>
  <c r="AS1032" i="9"/>
  <c r="AS1033" i="9"/>
  <c r="AS1034" i="9"/>
  <c r="AS1035" i="9"/>
  <c r="AS1036" i="9"/>
  <c r="AS1037" i="9"/>
  <c r="AS1038" i="9"/>
  <c r="AS1041" i="9"/>
  <c r="AS1042" i="9"/>
  <c r="AS1043" i="9"/>
  <c r="AS1044" i="9"/>
  <c r="AS1045" i="9"/>
  <c r="AS1046" i="9"/>
  <c r="AS1047" i="9"/>
  <c r="AS1048" i="9"/>
  <c r="AS1049" i="9"/>
  <c r="AS1050" i="9"/>
  <c r="AS1051" i="9"/>
  <c r="AS1052" i="9"/>
  <c r="AS1053" i="9"/>
  <c r="AS1055" i="9"/>
  <c r="AS1056" i="9"/>
  <c r="AS1057" i="9"/>
  <c r="AS1058" i="9"/>
  <c r="AH6" i="9" l="1"/>
  <c r="AF6" i="9"/>
  <c r="AF3" i="9" l="1"/>
  <c r="V6" i="9" l="1"/>
  <c r="V3" i="9"/>
  <c r="AB3" i="9"/>
  <c r="AB6" i="9"/>
  <c r="AD3" i="9"/>
  <c r="AD6" i="9"/>
  <c r="AH8" i="9"/>
  <c r="AH9" i="9"/>
  <c r="AH10" i="9"/>
  <c r="AH11" i="9"/>
  <c r="AH12" i="9"/>
  <c r="AH13" i="9"/>
  <c r="AH14" i="9"/>
  <c r="AH17" i="9"/>
  <c r="AH18" i="9"/>
  <c r="AH19" i="9"/>
  <c r="AH20" i="9"/>
  <c r="AH21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44" i="9"/>
  <c r="AH45" i="9"/>
  <c r="AH46" i="9"/>
  <c r="AH47" i="9"/>
  <c r="AH48" i="9"/>
  <c r="AH49" i="9"/>
  <c r="AH50" i="9"/>
  <c r="AH51" i="9"/>
  <c r="AH52" i="9"/>
  <c r="AH55" i="9"/>
  <c r="AH56" i="9"/>
  <c r="AH57" i="9"/>
  <c r="AH58" i="9"/>
  <c r="AH59" i="9"/>
  <c r="AH61" i="9"/>
  <c r="AH62" i="9"/>
  <c r="AH63" i="9"/>
  <c r="AH64" i="9"/>
  <c r="AH65" i="9"/>
  <c r="AH66" i="9"/>
  <c r="AH67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3" i="9"/>
  <c r="AH84" i="9"/>
  <c r="AH85" i="9"/>
  <c r="AH86" i="9"/>
  <c r="AH89" i="9"/>
  <c r="AH90" i="9"/>
  <c r="AH91" i="9"/>
  <c r="AH92" i="9"/>
  <c r="AH94" i="9"/>
  <c r="AH95" i="9"/>
  <c r="AH96" i="9"/>
  <c r="AH97" i="9"/>
  <c r="AH98" i="9"/>
  <c r="AH99" i="9"/>
  <c r="AH100" i="9"/>
  <c r="AH102" i="9"/>
  <c r="AH103" i="9"/>
  <c r="AH104" i="9"/>
  <c r="AH105" i="9"/>
  <c r="AH106" i="9"/>
  <c r="AH109" i="9"/>
  <c r="AH110" i="9"/>
  <c r="AH111" i="9"/>
  <c r="AH112" i="9"/>
  <c r="AH113" i="9"/>
  <c r="AH114" i="9"/>
  <c r="AH115" i="9"/>
  <c r="AH116" i="9"/>
  <c r="AH117" i="9"/>
  <c r="AH120" i="9"/>
  <c r="AH121" i="9"/>
  <c r="AH122" i="9"/>
  <c r="AH123" i="9"/>
  <c r="AH124" i="9"/>
  <c r="AH125" i="9"/>
  <c r="AH126" i="9"/>
  <c r="AH127" i="9"/>
  <c r="AH128" i="9"/>
  <c r="AH135" i="9"/>
  <c r="AH136" i="9"/>
  <c r="AH137" i="9"/>
  <c r="AH138" i="9"/>
  <c r="AH139" i="9"/>
  <c r="AH140" i="9"/>
  <c r="AH141" i="9"/>
  <c r="AH146" i="9"/>
  <c r="AH147" i="9"/>
  <c r="AH148" i="9"/>
  <c r="AH149" i="9"/>
  <c r="AH150" i="9"/>
  <c r="AH151" i="9"/>
  <c r="AH152" i="9"/>
  <c r="AH153" i="9"/>
  <c r="AH154" i="9"/>
  <c r="AH155" i="9"/>
  <c r="AH156" i="9"/>
  <c r="AH159" i="9"/>
  <c r="AH160" i="9"/>
  <c r="AH161" i="9"/>
  <c r="AH162" i="9"/>
  <c r="AH163" i="9"/>
  <c r="AH164" i="9"/>
  <c r="AH165" i="9"/>
  <c r="AH166" i="9"/>
  <c r="AH167" i="9"/>
  <c r="AH168" i="9"/>
  <c r="AH169" i="9"/>
  <c r="AH171" i="9"/>
  <c r="AH172" i="9"/>
  <c r="AH173" i="9"/>
  <c r="AH174" i="9"/>
  <c r="AH177" i="9"/>
  <c r="AH178" i="9"/>
  <c r="AH179" i="9"/>
  <c r="AH180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6" i="9"/>
  <c r="AH197" i="9"/>
  <c r="AH198" i="9"/>
  <c r="AH199" i="9"/>
  <c r="AH200" i="9"/>
  <c r="AH201" i="9"/>
  <c r="AH202" i="9"/>
  <c r="AH203" i="9"/>
  <c r="AH204" i="9"/>
  <c r="AH207" i="9"/>
  <c r="AH208" i="9"/>
  <c r="AH209" i="9"/>
  <c r="AH210" i="9"/>
  <c r="AH211" i="9"/>
  <c r="AH212" i="9"/>
  <c r="AH213" i="9"/>
  <c r="AH214" i="9"/>
  <c r="AH215" i="9"/>
  <c r="AH216" i="9"/>
  <c r="AH217" i="9"/>
  <c r="AH218" i="9"/>
  <c r="AH225" i="9"/>
  <c r="AH226" i="9"/>
  <c r="AH227" i="9"/>
  <c r="AH228" i="9"/>
  <c r="AH229" i="9"/>
  <c r="AH230" i="9"/>
  <c r="AH231" i="9"/>
  <c r="AH232" i="9"/>
  <c r="AH233" i="9"/>
  <c r="AH234" i="9"/>
  <c r="AH235" i="9"/>
  <c r="AH236" i="9"/>
  <c r="AH239" i="9"/>
  <c r="AH240" i="9"/>
  <c r="AH241" i="9"/>
  <c r="AH242" i="9"/>
  <c r="AH243" i="9"/>
  <c r="AH244" i="9"/>
  <c r="AH245" i="9"/>
  <c r="AH246" i="9"/>
  <c r="AH247" i="9"/>
  <c r="AH248" i="9"/>
  <c r="AH249" i="9"/>
  <c r="AH250" i="9"/>
  <c r="AH253" i="9"/>
  <c r="AH254" i="9"/>
  <c r="AH255" i="9"/>
  <c r="AH256" i="9"/>
  <c r="AH257" i="9"/>
  <c r="AH258" i="9"/>
  <c r="AH259" i="9"/>
  <c r="AH260" i="9"/>
  <c r="AH262" i="9"/>
  <c r="AH263" i="9"/>
  <c r="AH264" i="9"/>
  <c r="AH265" i="9"/>
  <c r="AH268" i="9"/>
  <c r="AH269" i="9"/>
  <c r="AH270" i="9"/>
  <c r="AH271" i="9"/>
  <c r="AH273" i="9"/>
  <c r="AH274" i="9"/>
  <c r="AH275" i="9"/>
  <c r="AH276" i="9"/>
  <c r="AH277" i="9"/>
  <c r="AH278" i="9"/>
  <c r="AH279" i="9"/>
  <c r="AH280" i="9"/>
  <c r="AH281" i="9"/>
  <c r="AH282" i="9"/>
  <c r="AH283" i="9"/>
  <c r="AH284" i="9"/>
  <c r="AH285" i="9"/>
  <c r="AH288" i="9"/>
  <c r="AH289" i="9"/>
  <c r="AH290" i="9"/>
  <c r="AH291" i="9"/>
  <c r="AH292" i="9"/>
  <c r="AH293" i="9"/>
  <c r="AH294" i="9"/>
  <c r="AH297" i="9"/>
  <c r="AH298" i="9"/>
  <c r="AH299" i="9"/>
  <c r="AH300" i="9"/>
  <c r="AH301" i="9"/>
  <c r="AH302" i="9"/>
  <c r="AH303" i="9"/>
  <c r="AH304" i="9"/>
  <c r="AH305" i="9"/>
  <c r="AH306" i="9"/>
  <c r="AH307" i="9"/>
  <c r="AH308" i="9"/>
  <c r="AH315" i="9"/>
  <c r="AH316" i="9"/>
  <c r="AH317" i="9"/>
  <c r="AH318" i="9"/>
  <c r="AH319" i="9"/>
  <c r="AH320" i="9"/>
  <c r="AH321" i="9"/>
  <c r="AH322" i="9"/>
  <c r="AH323" i="9"/>
  <c r="AH324" i="9"/>
  <c r="AH327" i="9"/>
  <c r="AH328" i="9"/>
  <c r="AH329" i="9"/>
  <c r="AH330" i="9"/>
  <c r="AH331" i="9"/>
  <c r="AH332" i="9"/>
  <c r="AH333" i="9"/>
  <c r="AH334" i="9"/>
  <c r="AH335" i="9"/>
  <c r="AH336" i="9"/>
  <c r="AH337" i="9"/>
  <c r="AH338" i="9"/>
  <c r="AH341" i="9"/>
  <c r="AH342" i="9"/>
  <c r="AH343" i="9"/>
  <c r="AH344" i="9"/>
  <c r="AH345" i="9"/>
  <c r="AH346" i="9"/>
  <c r="AH347" i="9"/>
  <c r="AH348" i="9"/>
  <c r="AH349" i="9"/>
  <c r="AH350" i="9"/>
  <c r="AH352" i="9"/>
  <c r="AH353" i="9"/>
  <c r="AH354" i="9"/>
  <c r="AH355" i="9"/>
  <c r="AH358" i="9"/>
  <c r="AH359" i="9"/>
  <c r="AH360" i="9"/>
  <c r="AH361" i="9"/>
  <c r="AH363" i="9"/>
  <c r="AH364" i="9"/>
  <c r="AH365" i="9"/>
  <c r="AH366" i="9"/>
  <c r="AH367" i="9"/>
  <c r="AH368" i="9"/>
  <c r="AH369" i="9"/>
  <c r="AH370" i="9"/>
  <c r="AH372" i="9"/>
  <c r="AH373" i="9"/>
  <c r="AH376" i="9"/>
  <c r="AH377" i="9"/>
  <c r="AH378" i="9"/>
  <c r="AH379" i="9"/>
  <c r="AH380" i="9"/>
  <c r="AH381" i="9"/>
  <c r="AH382" i="9"/>
  <c r="AH383" i="9"/>
  <c r="AH384" i="9"/>
  <c r="AH387" i="9"/>
  <c r="AH388" i="9"/>
  <c r="AH389" i="9"/>
  <c r="AH390" i="9"/>
  <c r="AH391" i="9"/>
  <c r="AH392" i="9"/>
  <c r="AH393" i="9"/>
  <c r="AH394" i="9"/>
  <c r="AH395" i="9"/>
  <c r="AH396" i="9"/>
  <c r="AH403" i="9"/>
  <c r="AH404" i="9"/>
  <c r="AH405" i="9"/>
  <c r="AH406" i="9"/>
  <c r="AH407" i="9"/>
  <c r="AH408" i="9"/>
  <c r="AH409" i="9"/>
  <c r="AH410" i="9"/>
  <c r="AH411" i="9"/>
  <c r="AH412" i="9"/>
  <c r="AH413" i="9"/>
  <c r="AH416" i="9"/>
  <c r="AH417" i="9"/>
  <c r="AH418" i="9"/>
  <c r="AH419" i="9"/>
  <c r="AH420" i="9"/>
  <c r="AH421" i="9"/>
  <c r="AH422" i="9"/>
  <c r="AH423" i="9"/>
  <c r="AH424" i="9"/>
  <c r="AH425" i="9"/>
  <c r="AH428" i="9"/>
  <c r="AH429" i="9"/>
  <c r="AH430" i="9"/>
  <c r="AH431" i="9"/>
  <c r="AH432" i="9"/>
  <c r="AH433" i="9"/>
  <c r="AH434" i="9"/>
  <c r="AH435" i="9"/>
  <c r="AH436" i="9"/>
  <c r="AH438" i="9"/>
  <c r="AH439" i="9"/>
  <c r="AH440" i="9"/>
  <c r="AH441" i="9"/>
  <c r="AH444" i="9"/>
  <c r="AH445" i="9"/>
  <c r="AH446" i="9"/>
  <c r="AH447" i="9"/>
  <c r="AH449" i="9"/>
  <c r="AH450" i="9"/>
  <c r="AH451" i="9"/>
  <c r="AH452" i="9"/>
  <c r="AH453" i="9"/>
  <c r="AH454" i="9"/>
  <c r="AH455" i="9"/>
  <c r="AH456" i="9"/>
  <c r="AH457" i="9"/>
  <c r="AH458" i="9"/>
  <c r="AH459" i="9"/>
  <c r="AH462" i="9"/>
  <c r="AH463" i="9"/>
  <c r="AH464" i="9"/>
  <c r="AH465" i="9"/>
  <c r="AH466" i="9"/>
  <c r="AH467" i="9"/>
  <c r="AH468" i="9"/>
  <c r="AH469" i="9"/>
  <c r="AH470" i="9"/>
  <c r="AH471" i="9"/>
  <c r="AH474" i="9"/>
  <c r="AH475" i="9"/>
  <c r="AH476" i="9"/>
  <c r="AH477" i="9"/>
  <c r="AH478" i="9"/>
  <c r="AH479" i="9"/>
  <c r="AH480" i="9"/>
  <c r="AH481" i="9"/>
  <c r="AH482" i="9"/>
  <c r="AH483" i="9"/>
  <c r="AH490" i="9"/>
  <c r="AH491" i="9"/>
  <c r="AH492" i="9"/>
  <c r="AH493" i="9"/>
  <c r="AH494" i="9"/>
  <c r="AH495" i="9"/>
  <c r="AH496" i="9"/>
  <c r="AH497" i="9"/>
  <c r="AH498" i="9"/>
  <c r="AH499" i="9"/>
  <c r="AH502" i="9"/>
  <c r="AH504" i="9"/>
  <c r="AH505" i="9"/>
  <c r="AH506" i="9"/>
  <c r="AH507" i="9"/>
  <c r="AH508" i="9"/>
  <c r="AH509" i="9"/>
  <c r="AH510" i="9"/>
  <c r="AH513" i="9"/>
  <c r="AH514" i="9"/>
  <c r="AH515" i="9"/>
  <c r="AH516" i="9"/>
  <c r="AH517" i="9"/>
  <c r="AH518" i="9"/>
  <c r="AH519" i="9"/>
  <c r="AH520" i="9"/>
  <c r="AH521" i="9"/>
  <c r="AH522" i="9"/>
  <c r="AH523" i="9"/>
  <c r="AH524" i="9"/>
  <c r="AH525" i="9"/>
  <c r="AH527" i="9"/>
  <c r="AH528" i="9"/>
  <c r="AH529" i="9"/>
  <c r="AH530" i="9"/>
  <c r="AH535" i="9"/>
  <c r="AH536" i="9"/>
  <c r="AH537" i="9"/>
  <c r="AH538" i="9"/>
  <c r="AH540" i="9"/>
  <c r="AH541" i="9"/>
  <c r="AH542" i="9"/>
  <c r="AH543" i="9"/>
  <c r="AH544" i="9"/>
  <c r="AH547" i="9"/>
  <c r="AH548" i="9"/>
  <c r="AH549" i="9"/>
  <c r="AH550" i="9"/>
  <c r="AH551" i="9"/>
  <c r="AH552" i="9"/>
  <c r="AH553" i="9"/>
  <c r="AH554" i="9"/>
  <c r="AH555" i="9"/>
  <c r="AH556" i="9"/>
  <c r="AH557" i="9"/>
  <c r="AH558" i="9"/>
  <c r="AH561" i="9"/>
  <c r="AH562" i="9"/>
  <c r="AH563" i="9"/>
  <c r="AH564" i="9"/>
  <c r="AH565" i="9"/>
  <c r="AH566" i="9"/>
  <c r="AH567" i="9"/>
  <c r="AH568" i="9"/>
  <c r="AH571" i="9"/>
  <c r="AH572" i="9"/>
  <c r="AH573" i="9"/>
  <c r="AH574" i="9"/>
  <c r="AH575" i="9"/>
  <c r="AH576" i="9"/>
  <c r="AH577" i="9"/>
  <c r="AH578" i="9"/>
  <c r="AH579" i="9"/>
  <c r="AH580" i="9"/>
  <c r="AH581" i="9"/>
  <c r="AH582" i="9"/>
  <c r="AH583" i="9"/>
  <c r="AH584" i="9"/>
  <c r="AH587" i="9"/>
  <c r="AH588" i="9"/>
  <c r="AH589" i="9"/>
  <c r="AH590" i="9"/>
  <c r="AH592" i="9"/>
  <c r="AH593" i="9"/>
  <c r="AH594" i="9"/>
  <c r="AH595" i="9"/>
  <c r="AH596" i="9"/>
  <c r="AH599" i="9"/>
  <c r="AH600" i="9"/>
  <c r="AH601" i="9"/>
  <c r="AH602" i="9"/>
  <c r="AH603" i="9"/>
  <c r="AH604" i="9"/>
  <c r="AH605" i="9"/>
  <c r="AH606" i="9"/>
  <c r="AH608" i="9"/>
  <c r="AH609" i="9"/>
  <c r="AH610" i="9"/>
  <c r="AH611" i="9"/>
  <c r="AH618" i="9"/>
  <c r="AH620" i="9"/>
  <c r="AH621" i="9"/>
  <c r="AH623" i="9"/>
  <c r="AH624" i="9"/>
  <c r="AH625" i="9"/>
  <c r="AH626" i="9"/>
  <c r="AH627" i="9"/>
  <c r="AH628" i="9"/>
  <c r="AH629" i="9"/>
  <c r="AH630" i="9"/>
  <c r="AH631" i="9"/>
  <c r="AH632" i="9"/>
  <c r="AH633" i="9"/>
  <c r="AH637" i="9"/>
  <c r="AH638" i="9"/>
  <c r="AH639" i="9"/>
  <c r="AH640" i="9"/>
  <c r="AH641" i="9"/>
  <c r="AH643" i="9"/>
  <c r="AH644" i="9"/>
  <c r="AH645" i="9"/>
  <c r="AH646" i="9"/>
  <c r="AH649" i="9"/>
  <c r="AH650" i="9"/>
  <c r="AH651" i="9"/>
  <c r="AH652" i="9"/>
  <c r="AH653" i="9"/>
  <c r="AH654" i="9"/>
  <c r="AH655" i="9"/>
  <c r="AH656" i="9"/>
  <c r="AH657" i="9"/>
  <c r="AH658" i="9"/>
  <c r="AH659" i="9"/>
  <c r="AH660" i="9"/>
  <c r="AH661" i="9"/>
  <c r="AH662" i="9"/>
  <c r="AH665" i="9"/>
  <c r="AH666" i="9"/>
  <c r="AH668" i="9"/>
  <c r="AH669" i="9"/>
  <c r="AH670" i="9"/>
  <c r="AH671" i="9"/>
  <c r="AH672" i="9"/>
  <c r="AH673" i="9"/>
  <c r="AH674" i="9"/>
  <c r="AH677" i="9"/>
  <c r="AH678" i="9"/>
  <c r="AH679" i="9"/>
  <c r="AH680" i="9"/>
  <c r="AH681" i="9"/>
  <c r="AH682" i="9"/>
  <c r="AH683" i="9"/>
  <c r="AH684" i="9"/>
  <c r="AH685" i="9"/>
  <c r="AH686" i="9"/>
  <c r="AH687" i="9"/>
  <c r="AH688" i="9"/>
  <c r="AH691" i="9"/>
  <c r="AH692" i="9"/>
  <c r="AH693" i="9"/>
  <c r="AH694" i="9"/>
  <c r="AH695" i="9"/>
  <c r="AH696" i="9"/>
  <c r="AH697" i="9"/>
  <c r="AH698" i="9"/>
  <c r="AH699" i="9"/>
  <c r="AH700" i="9"/>
  <c r="AH701" i="9"/>
  <c r="AH702" i="9"/>
  <c r="AH703" i="9"/>
  <c r="AH704" i="9"/>
  <c r="AH706" i="9"/>
  <c r="AH707" i="9"/>
  <c r="AH708" i="9"/>
  <c r="AH709" i="9"/>
  <c r="AH716" i="9"/>
  <c r="AH717" i="9"/>
  <c r="AH718" i="9"/>
  <c r="AH719" i="9"/>
  <c r="AH721" i="9"/>
  <c r="AH722" i="9"/>
  <c r="AH723" i="9"/>
  <c r="AH724" i="9"/>
  <c r="AH726" i="9"/>
  <c r="AH727" i="9"/>
  <c r="AH728" i="9"/>
  <c r="AH729" i="9"/>
  <c r="AH732" i="9"/>
  <c r="AH733" i="9"/>
  <c r="AH734" i="9"/>
  <c r="AH735" i="9"/>
  <c r="AH736" i="9"/>
  <c r="AH737" i="9"/>
  <c r="AH738" i="9"/>
  <c r="AH739" i="9"/>
  <c r="AH740" i="9"/>
  <c r="AH741" i="9"/>
  <c r="AH742" i="9"/>
  <c r="AH743" i="9"/>
  <c r="AH744" i="9"/>
  <c r="AH747" i="9"/>
  <c r="AH748" i="9"/>
  <c r="AH749" i="9"/>
  <c r="AH750" i="9"/>
  <c r="AH751" i="9"/>
  <c r="AH752" i="9"/>
  <c r="AH753" i="9"/>
  <c r="AH754" i="9"/>
  <c r="AH757" i="9"/>
  <c r="AH758" i="9"/>
  <c r="AH759" i="9"/>
  <c r="AH760" i="9"/>
  <c r="AH761" i="9"/>
  <c r="AH762" i="9"/>
  <c r="AH763" i="9"/>
  <c r="AH764" i="9"/>
  <c r="AH765" i="9"/>
  <c r="AH766" i="9"/>
  <c r="AH767" i="9"/>
  <c r="AH768" i="9"/>
  <c r="AH771" i="9"/>
  <c r="AH772" i="9"/>
  <c r="AH773" i="9"/>
  <c r="AH774" i="9"/>
  <c r="AH775" i="9"/>
  <c r="AH776" i="9"/>
  <c r="AH779" i="9"/>
  <c r="AH780" i="9"/>
  <c r="AH781" i="9"/>
  <c r="AH782" i="9"/>
  <c r="AH783" i="9"/>
  <c r="AH784" i="9"/>
  <c r="AH785" i="9"/>
  <c r="AH786" i="9"/>
  <c r="AH787" i="9"/>
  <c r="AH788" i="9"/>
  <c r="AH790" i="9"/>
  <c r="AH791" i="9"/>
  <c r="AH792" i="9"/>
  <c r="AH793" i="9"/>
  <c r="AH800" i="9"/>
  <c r="AH801" i="9"/>
  <c r="AH802" i="9"/>
  <c r="AH803" i="9"/>
  <c r="AH805" i="9"/>
  <c r="AH806" i="9"/>
  <c r="AH807" i="9"/>
  <c r="AH808" i="9"/>
  <c r="AH809" i="9"/>
  <c r="AH810" i="9"/>
  <c r="AH811" i="9"/>
  <c r="AH812" i="9"/>
  <c r="AH813" i="9"/>
  <c r="AH816" i="9"/>
  <c r="AH817" i="9"/>
  <c r="AH818" i="9"/>
  <c r="AH819" i="9"/>
  <c r="AH820" i="9"/>
  <c r="AH821" i="9"/>
  <c r="AH822" i="9"/>
  <c r="AH823" i="9"/>
  <c r="AH824" i="9"/>
  <c r="AH825" i="9"/>
  <c r="AH828" i="9"/>
  <c r="AH829" i="9"/>
  <c r="AH830" i="9"/>
  <c r="AH832" i="9"/>
  <c r="AH833" i="9"/>
  <c r="AH834" i="9"/>
  <c r="AH835" i="9"/>
  <c r="AH836" i="9"/>
  <c r="AH838" i="9"/>
  <c r="AH841" i="9"/>
  <c r="AH842" i="9"/>
  <c r="AH843" i="9"/>
  <c r="AH844" i="9"/>
  <c r="AH845" i="9"/>
  <c r="AH846" i="9"/>
  <c r="AH847" i="9"/>
  <c r="AH848" i="9"/>
  <c r="AH849" i="9"/>
  <c r="AH850" i="9"/>
  <c r="AH851" i="9"/>
  <c r="AH854" i="9"/>
  <c r="AH855" i="9"/>
  <c r="AH856" i="9"/>
  <c r="AH857" i="9"/>
  <c r="AH858" i="9"/>
  <c r="AH859" i="9"/>
  <c r="AH860" i="9"/>
  <c r="AH861" i="9"/>
  <c r="AH862" i="9"/>
  <c r="AH863" i="9"/>
  <c r="AH864" i="9"/>
  <c r="AH867" i="9"/>
  <c r="AH868" i="9"/>
  <c r="AH869" i="9"/>
  <c r="AH870" i="9"/>
  <c r="AH871" i="9"/>
  <c r="AH872" i="9"/>
  <c r="AH873" i="9"/>
  <c r="AH874" i="9"/>
  <c r="AH875" i="9"/>
  <c r="AH876" i="9"/>
  <c r="AH877" i="9"/>
  <c r="AH878" i="9"/>
  <c r="AH880" i="9"/>
  <c r="AH881" i="9"/>
  <c r="AH882" i="9"/>
  <c r="AH883" i="9"/>
  <c r="AH890" i="9"/>
  <c r="AH891" i="9"/>
  <c r="AH892" i="9"/>
  <c r="AH893" i="9"/>
  <c r="AH895" i="9"/>
  <c r="AH896" i="9"/>
  <c r="AH897" i="9"/>
  <c r="AH898" i="9"/>
  <c r="AH899" i="9"/>
  <c r="AH900" i="9"/>
  <c r="AH901" i="9"/>
  <c r="AH902" i="9"/>
  <c r="AH903" i="9"/>
  <c r="AH906" i="9"/>
  <c r="AH907" i="9"/>
  <c r="AH908" i="9"/>
  <c r="AH909" i="9"/>
  <c r="AH910" i="9"/>
  <c r="AH911" i="9"/>
  <c r="AH912" i="9"/>
  <c r="AH913" i="9"/>
  <c r="AH914" i="9"/>
  <c r="AH915" i="9"/>
  <c r="AH916" i="9"/>
  <c r="AH917" i="9"/>
  <c r="AH920" i="9"/>
  <c r="AH921" i="9"/>
  <c r="AH922" i="9"/>
  <c r="AH923" i="9"/>
  <c r="AH924" i="9"/>
  <c r="AH925" i="9"/>
  <c r="AH928" i="9"/>
  <c r="AH929" i="9"/>
  <c r="AH930" i="9"/>
  <c r="AH931" i="9"/>
  <c r="AH932" i="9"/>
  <c r="AH933" i="9"/>
  <c r="AH934" i="9"/>
  <c r="AH935" i="9"/>
  <c r="AH936" i="9"/>
  <c r="AH937" i="9"/>
  <c r="AH940" i="9"/>
  <c r="AH941" i="9"/>
  <c r="AH942" i="9"/>
  <c r="AH943" i="9"/>
  <c r="AH944" i="9"/>
  <c r="AH945" i="9"/>
  <c r="AH946" i="9"/>
  <c r="AH947" i="9"/>
  <c r="AH948" i="9"/>
  <c r="AH951" i="9"/>
  <c r="AH952" i="9"/>
  <c r="AH953" i="9"/>
  <c r="AH954" i="9"/>
  <c r="AH955" i="9"/>
  <c r="AH956" i="9"/>
  <c r="AH957" i="9"/>
  <c r="AH958" i="9"/>
  <c r="AH959" i="9"/>
  <c r="AH960" i="9"/>
  <c r="AH961" i="9"/>
  <c r="AH962" i="9"/>
  <c r="AH964" i="9"/>
  <c r="AH965" i="9"/>
  <c r="AH966" i="9"/>
  <c r="AH967" i="9"/>
  <c r="AH974" i="9"/>
  <c r="AH975" i="9"/>
  <c r="AH976" i="9"/>
  <c r="AH977" i="9"/>
  <c r="AH979" i="9"/>
  <c r="AH980" i="9"/>
  <c r="AH981" i="9"/>
  <c r="AH982" i="9"/>
  <c r="AH983" i="9"/>
  <c r="AH984" i="9"/>
  <c r="AH985" i="9"/>
  <c r="AH986" i="9"/>
  <c r="AH987" i="9"/>
  <c r="AH990" i="9"/>
  <c r="AH991" i="9"/>
  <c r="AH992" i="9"/>
  <c r="AH993" i="9"/>
  <c r="AH994" i="9"/>
  <c r="AH995" i="9"/>
  <c r="AH996" i="9"/>
  <c r="AH997" i="9"/>
  <c r="AH998" i="9"/>
  <c r="AH999" i="9"/>
  <c r="AH1000" i="9"/>
  <c r="AH1002" i="9"/>
  <c r="AH1003" i="9"/>
  <c r="AH1007" i="9"/>
  <c r="AH1008" i="9"/>
  <c r="AH1009" i="9"/>
  <c r="AH1010" i="9"/>
  <c r="AH1011" i="9"/>
  <c r="AH1012" i="9"/>
  <c r="AH1013" i="9"/>
  <c r="AH1016" i="9"/>
  <c r="AH1017" i="9"/>
  <c r="AH1018" i="9"/>
  <c r="AH1019" i="9"/>
  <c r="AH1020" i="9"/>
  <c r="AH1021" i="9"/>
  <c r="AH1022" i="9"/>
  <c r="AH1023" i="9"/>
  <c r="AH1024" i="9"/>
  <c r="AH1027" i="9"/>
  <c r="AH1028" i="9"/>
  <c r="AH1029" i="9"/>
  <c r="AH1030" i="9"/>
  <c r="AH1031" i="9"/>
  <c r="AH1032" i="9"/>
  <c r="AH1033" i="9"/>
  <c r="AH1034" i="9"/>
  <c r="AH1035" i="9"/>
  <c r="AH1036" i="9"/>
  <c r="AH1037" i="9"/>
  <c r="AH1038" i="9"/>
  <c r="AH1041" i="9"/>
  <c r="AH1042" i="9"/>
  <c r="AH1043" i="9"/>
  <c r="AH1044" i="9"/>
  <c r="AH1045" i="9"/>
  <c r="AH1046" i="9"/>
  <c r="AH1047" i="9"/>
  <c r="AH1048" i="9"/>
  <c r="AH1049" i="9"/>
  <c r="AH1050" i="9"/>
  <c r="AH1051" i="9"/>
  <c r="AH1052" i="9"/>
  <c r="AH1053" i="9"/>
  <c r="AH1055" i="9"/>
  <c r="AH1056" i="9"/>
  <c r="AH1057" i="9"/>
  <c r="AH1058" i="9"/>
  <c r="AH3" i="9"/>
  <c r="AH4" i="9"/>
  <c r="AH5" i="9"/>
  <c r="AF1058" i="9"/>
  <c r="AF1057" i="9"/>
  <c r="V1057" i="9" s="1"/>
  <c r="AF1056" i="9"/>
  <c r="AF1055" i="9"/>
  <c r="V1055" i="9" s="1"/>
  <c r="AF1053" i="9"/>
  <c r="AD1053" i="9" s="1"/>
  <c r="AF1052" i="9"/>
  <c r="AD1052" i="9" s="1"/>
  <c r="AF1051" i="9"/>
  <c r="V1051" i="9" s="1"/>
  <c r="AF1050" i="9"/>
  <c r="V1050" i="9" s="1"/>
  <c r="AF1049" i="9"/>
  <c r="V1049" i="9" s="1"/>
  <c r="AF1048" i="9"/>
  <c r="AD1048" i="9" s="1"/>
  <c r="AF1047" i="9"/>
  <c r="V1047" i="9" s="1"/>
  <c r="AF1046" i="9"/>
  <c r="AD1046" i="9" s="1"/>
  <c r="AF1045" i="9"/>
  <c r="AD1045" i="9" s="1"/>
  <c r="AF1044" i="9"/>
  <c r="V1044" i="9" s="1"/>
  <c r="AF1043" i="9"/>
  <c r="AD1043" i="9" s="1"/>
  <c r="AF1042" i="9"/>
  <c r="V1042" i="9" s="1"/>
  <c r="AF1041" i="9"/>
  <c r="AD1041" i="9" s="1"/>
  <c r="AF1038" i="9"/>
  <c r="V1038" i="9" s="1"/>
  <c r="AF1037" i="9"/>
  <c r="AD1037" i="9" s="1"/>
  <c r="AF1036" i="9"/>
  <c r="AD1036" i="9" s="1"/>
  <c r="AF1035" i="9"/>
  <c r="V1035" i="9" s="1"/>
  <c r="AF1034" i="9"/>
  <c r="AD1034" i="9" s="1"/>
  <c r="AF1033" i="9"/>
  <c r="V1033" i="9" s="1"/>
  <c r="AF1032" i="9"/>
  <c r="AD1032" i="9" s="1"/>
  <c r="AF1031" i="9"/>
  <c r="V1031" i="9" s="1"/>
  <c r="AF1030" i="9"/>
  <c r="AD1030" i="9" s="1"/>
  <c r="AF1029" i="9"/>
  <c r="V1029" i="9" s="1"/>
  <c r="AF1028" i="9"/>
  <c r="AD1028" i="9" s="1"/>
  <c r="AF1027" i="9"/>
  <c r="V1027" i="9" s="1"/>
  <c r="AF1024" i="9"/>
  <c r="V1024" i="9" s="1"/>
  <c r="AF1023" i="9"/>
  <c r="V1023" i="9" s="1"/>
  <c r="AF1022" i="9"/>
  <c r="AD1022" i="9" s="1"/>
  <c r="AF1021" i="9"/>
  <c r="V1021" i="9" s="1"/>
  <c r="AF1020" i="9"/>
  <c r="AD1020" i="9" s="1"/>
  <c r="AF1019" i="9"/>
  <c r="V1019" i="9" s="1"/>
  <c r="AF1018" i="9"/>
  <c r="AD1018" i="9" s="1"/>
  <c r="AF1017" i="9"/>
  <c r="AD1017" i="9" s="1"/>
  <c r="AF1016" i="9"/>
  <c r="AD1016" i="9" s="1"/>
  <c r="AF1013" i="9"/>
  <c r="AD1013" i="9" s="1"/>
  <c r="AF1012" i="9"/>
  <c r="V1012" i="9" s="1"/>
  <c r="AF1011" i="9"/>
  <c r="V1011" i="9" s="1"/>
  <c r="AF1010" i="9"/>
  <c r="AD1010" i="9" s="1"/>
  <c r="AF1009" i="9"/>
  <c r="V1009" i="9" s="1"/>
  <c r="AF1008" i="9"/>
  <c r="V1008" i="9" s="1"/>
  <c r="AF1007" i="9"/>
  <c r="V1007" i="9" s="1"/>
  <c r="AF1003" i="9"/>
  <c r="V1003" i="9" s="1"/>
  <c r="AF1002" i="9"/>
  <c r="AD1002" i="9" s="1"/>
  <c r="AF1000" i="9"/>
  <c r="AD1000" i="9" s="1"/>
  <c r="AF999" i="9"/>
  <c r="V999" i="9" s="1"/>
  <c r="AF998" i="9"/>
  <c r="AD998" i="9" s="1"/>
  <c r="AF997" i="9"/>
  <c r="V997" i="9" s="1"/>
  <c r="AF996" i="9"/>
  <c r="V996" i="9" s="1"/>
  <c r="AF995" i="9"/>
  <c r="AD995" i="9" s="1"/>
  <c r="AF994" i="9"/>
  <c r="V994" i="9" s="1"/>
  <c r="AF993" i="9"/>
  <c r="AD993" i="9" s="1"/>
  <c r="AF992" i="9"/>
  <c r="V992" i="9" s="1"/>
  <c r="AF991" i="9"/>
  <c r="AD991" i="9" s="1"/>
  <c r="AF990" i="9"/>
  <c r="AD990" i="9" s="1"/>
  <c r="AF987" i="9"/>
  <c r="AD987" i="9" s="1"/>
  <c r="AF986" i="9"/>
  <c r="V986" i="9" s="1"/>
  <c r="AF985" i="9"/>
  <c r="V985" i="9" s="1"/>
  <c r="AF984" i="9"/>
  <c r="AD984" i="9" s="1"/>
  <c r="AF983" i="9"/>
  <c r="V983" i="9" s="1"/>
  <c r="AF982" i="9"/>
  <c r="AD982" i="9" s="1"/>
  <c r="AF981" i="9"/>
  <c r="V981" i="9" s="1"/>
  <c r="AF980" i="9"/>
  <c r="AD980" i="9" s="1"/>
  <c r="AF979" i="9"/>
  <c r="V979" i="9" s="1"/>
  <c r="AF977" i="9"/>
  <c r="AF976" i="9"/>
  <c r="V976" i="9" s="1"/>
  <c r="AF975" i="9"/>
  <c r="AF974" i="9"/>
  <c r="V974" i="9" s="1"/>
  <c r="AF967" i="9"/>
  <c r="AF966" i="9"/>
  <c r="V966" i="9" s="1"/>
  <c r="AF965" i="9"/>
  <c r="AF964" i="9"/>
  <c r="V964" i="9" s="1"/>
  <c r="AF962" i="9"/>
  <c r="AD962" i="9" s="1"/>
  <c r="AF961" i="9"/>
  <c r="V961" i="9" s="1"/>
  <c r="AF960" i="9"/>
  <c r="AD960" i="9" s="1"/>
  <c r="AF959" i="9"/>
  <c r="V959" i="9" s="1"/>
  <c r="AF958" i="9"/>
  <c r="V958" i="9" s="1"/>
  <c r="AF957" i="9"/>
  <c r="V957" i="9" s="1"/>
  <c r="AF956" i="9"/>
  <c r="AD956" i="9" s="1"/>
  <c r="AF955" i="9"/>
  <c r="V955" i="9" s="1"/>
  <c r="AF954" i="9"/>
  <c r="AD954" i="9" s="1"/>
  <c r="AF953" i="9"/>
  <c r="V953" i="9" s="1"/>
  <c r="AF952" i="9"/>
  <c r="AD952" i="9" s="1"/>
  <c r="AF951" i="9"/>
  <c r="V951" i="9" s="1"/>
  <c r="AF948" i="9"/>
  <c r="V948" i="9" s="1"/>
  <c r="AF947" i="9"/>
  <c r="AD947" i="9" s="1"/>
  <c r="AF946" i="9"/>
  <c r="V946" i="9" s="1"/>
  <c r="AF945" i="9"/>
  <c r="AD945" i="9" s="1"/>
  <c r="AF944" i="9"/>
  <c r="AD944" i="9" s="1"/>
  <c r="AF943" i="9"/>
  <c r="V943" i="9" s="1"/>
  <c r="AF942" i="9"/>
  <c r="V942" i="9" s="1"/>
  <c r="AF941" i="9"/>
  <c r="V941" i="9" s="1"/>
  <c r="AF940" i="9"/>
  <c r="AD940" i="9" s="1"/>
  <c r="AF937" i="9"/>
  <c r="AD937" i="9" s="1"/>
  <c r="AF936" i="9"/>
  <c r="AD936" i="9" s="1"/>
  <c r="AF935" i="9"/>
  <c r="V935" i="9" s="1"/>
  <c r="AF934" i="9"/>
  <c r="V934" i="9" s="1"/>
  <c r="AF933" i="9"/>
  <c r="AD933" i="9" s="1"/>
  <c r="AF932" i="9"/>
  <c r="AD932" i="9" s="1"/>
  <c r="AF931" i="9"/>
  <c r="V931" i="9" s="1"/>
  <c r="AF930" i="9"/>
  <c r="V930" i="9" s="1"/>
  <c r="AF929" i="9"/>
  <c r="V929" i="9" s="1"/>
  <c r="AF928" i="9"/>
  <c r="AD928" i="9" s="1"/>
  <c r="AF925" i="9"/>
  <c r="V925" i="9" s="1"/>
  <c r="AF924" i="9"/>
  <c r="AD924" i="9" s="1"/>
  <c r="AF923" i="9"/>
  <c r="V923" i="9" s="1"/>
  <c r="AF922" i="9"/>
  <c r="V922" i="9" s="1"/>
  <c r="AF921" i="9"/>
  <c r="AD921" i="9" s="1"/>
  <c r="AF920" i="9"/>
  <c r="V920" i="9" s="1"/>
  <c r="AF917" i="9"/>
  <c r="V917" i="9" s="1"/>
  <c r="AF916" i="9"/>
  <c r="V916" i="9" s="1"/>
  <c r="AF915" i="9"/>
  <c r="AD915" i="9" s="1"/>
  <c r="AF914" i="9"/>
  <c r="V914" i="9" s="1"/>
  <c r="AF913" i="9"/>
  <c r="AD913" i="9" s="1"/>
  <c r="AF912" i="9"/>
  <c r="V912" i="9" s="1"/>
  <c r="AF911" i="9"/>
  <c r="V911" i="9" s="1"/>
  <c r="AF910" i="9"/>
  <c r="AD910" i="9" s="1"/>
  <c r="AF909" i="9"/>
  <c r="V909" i="9" s="1"/>
  <c r="AF908" i="9"/>
  <c r="AD908" i="9" s="1"/>
  <c r="AF907" i="9"/>
  <c r="V907" i="9" s="1"/>
  <c r="AF906" i="9"/>
  <c r="AD906" i="9" s="1"/>
  <c r="AF903" i="9"/>
  <c r="V903" i="9" s="1"/>
  <c r="AF902" i="9"/>
  <c r="AD902" i="9" s="1"/>
  <c r="AF901" i="9"/>
  <c r="V901" i="9" s="1"/>
  <c r="AF900" i="9"/>
  <c r="AD900" i="9" s="1"/>
  <c r="AF899" i="9"/>
  <c r="AD899" i="9" s="1"/>
  <c r="AF898" i="9"/>
  <c r="V898" i="9" s="1"/>
  <c r="AF897" i="9"/>
  <c r="AD897" i="9" s="1"/>
  <c r="AF896" i="9"/>
  <c r="V896" i="9" s="1"/>
  <c r="AF895" i="9"/>
  <c r="AD895" i="9" s="1"/>
  <c r="AF893" i="9"/>
  <c r="AF892" i="9"/>
  <c r="V892" i="9" s="1"/>
  <c r="AF891" i="9"/>
  <c r="AF890" i="9"/>
  <c r="V890" i="9" s="1"/>
  <c r="AF883" i="9"/>
  <c r="AF882" i="9"/>
  <c r="V882" i="9" s="1"/>
  <c r="AF881" i="9"/>
  <c r="AF880" i="9"/>
  <c r="V880" i="9" s="1"/>
  <c r="AF878" i="9"/>
  <c r="V878" i="9" s="1"/>
  <c r="AF877" i="9"/>
  <c r="AD877" i="9" s="1"/>
  <c r="AF876" i="9"/>
  <c r="V876" i="9" s="1"/>
  <c r="AF875" i="9"/>
  <c r="AD875" i="9" s="1"/>
  <c r="AF874" i="9"/>
  <c r="AD874" i="9" s="1"/>
  <c r="AF873" i="9"/>
  <c r="AD873" i="9" s="1"/>
  <c r="AF872" i="9"/>
  <c r="V872" i="9" s="1"/>
  <c r="AF871" i="9"/>
  <c r="AD871" i="9" s="1"/>
  <c r="AF870" i="9"/>
  <c r="V870" i="9" s="1"/>
  <c r="AF869" i="9"/>
  <c r="V869" i="9" s="1"/>
  <c r="AF868" i="9"/>
  <c r="V868" i="9" s="1"/>
  <c r="AF867" i="9"/>
  <c r="AD867" i="9" s="1"/>
  <c r="AF864" i="9"/>
  <c r="V864" i="9" s="1"/>
  <c r="AF863" i="9"/>
  <c r="AD863" i="9" s="1"/>
  <c r="AF862" i="9"/>
  <c r="V862" i="9" s="1"/>
  <c r="AF861" i="9"/>
  <c r="AD861" i="9" s="1"/>
  <c r="AF860" i="9"/>
  <c r="V860" i="9" s="1"/>
  <c r="AF859" i="9"/>
  <c r="V859" i="9" s="1"/>
  <c r="AF858" i="9"/>
  <c r="AD858" i="9" s="1"/>
  <c r="AF857" i="9"/>
  <c r="V857" i="9" s="1"/>
  <c r="AF856" i="9"/>
  <c r="V856" i="9" s="1"/>
  <c r="AF855" i="9"/>
  <c r="V855" i="9" s="1"/>
  <c r="AF854" i="9"/>
  <c r="AD854" i="9" s="1"/>
  <c r="AF851" i="9"/>
  <c r="V851" i="9" s="1"/>
  <c r="AF850" i="9"/>
  <c r="AD850" i="9" s="1"/>
  <c r="AF849" i="9"/>
  <c r="V849" i="9" s="1"/>
  <c r="AF848" i="9"/>
  <c r="V848" i="9" s="1"/>
  <c r="AF847" i="9"/>
  <c r="V847" i="9" s="1"/>
  <c r="AF846" i="9"/>
  <c r="V846" i="9" s="1"/>
  <c r="AF845" i="9"/>
  <c r="V845" i="9" s="1"/>
  <c r="AF844" i="9"/>
  <c r="V844" i="9" s="1"/>
  <c r="AF843" i="9"/>
  <c r="AD843" i="9" s="1"/>
  <c r="AF842" i="9"/>
  <c r="V842" i="9" s="1"/>
  <c r="AF841" i="9"/>
  <c r="AD841" i="9" s="1"/>
  <c r="AF838" i="9"/>
  <c r="V838" i="9" s="1"/>
  <c r="AF836" i="9"/>
  <c r="AD836" i="9" s="1"/>
  <c r="AF835" i="9"/>
  <c r="V835" i="9" s="1"/>
  <c r="AF834" i="9"/>
  <c r="AD834" i="9" s="1"/>
  <c r="AF833" i="9"/>
  <c r="V833" i="9" s="1"/>
  <c r="AF832" i="9"/>
  <c r="V832" i="9" s="1"/>
  <c r="AF830" i="9"/>
  <c r="AD830" i="9" s="1"/>
  <c r="AF829" i="9"/>
  <c r="V829" i="9" s="1"/>
  <c r="AF828" i="9"/>
  <c r="AD828" i="9" s="1"/>
  <c r="AF825" i="9"/>
  <c r="V825" i="9" s="1"/>
  <c r="AF824" i="9"/>
  <c r="AD824" i="9" s="1"/>
  <c r="AF823" i="9"/>
  <c r="V823" i="9" s="1"/>
  <c r="AF822" i="9"/>
  <c r="AD822" i="9" s="1"/>
  <c r="AF821" i="9"/>
  <c r="V821" i="9" s="1"/>
  <c r="AF820" i="9"/>
  <c r="V820" i="9" s="1"/>
  <c r="AF819" i="9"/>
  <c r="V819" i="9" s="1"/>
  <c r="AF818" i="9"/>
  <c r="AD818" i="9" s="1"/>
  <c r="AF817" i="9"/>
  <c r="V817" i="9" s="1"/>
  <c r="AF816" i="9"/>
  <c r="V816" i="9" s="1"/>
  <c r="AF813" i="9"/>
  <c r="AD813" i="9" s="1"/>
  <c r="AF812" i="9"/>
  <c r="V812" i="9" s="1"/>
  <c r="AF811" i="9"/>
  <c r="AD811" i="9" s="1"/>
  <c r="AF810" i="9"/>
  <c r="V810" i="9" s="1"/>
  <c r="AF809" i="9"/>
  <c r="V809" i="9" s="1"/>
  <c r="AF808" i="9"/>
  <c r="AD808" i="9" s="1"/>
  <c r="AF807" i="9"/>
  <c r="AD807" i="9" s="1"/>
  <c r="AF806" i="9"/>
  <c r="V806" i="9" s="1"/>
  <c r="AF805" i="9"/>
  <c r="AD805" i="9" s="1"/>
  <c r="AF803" i="9"/>
  <c r="AF802" i="9"/>
  <c r="V802" i="9" s="1"/>
  <c r="AF801" i="9"/>
  <c r="AF800" i="9"/>
  <c r="V800" i="9" s="1"/>
  <c r="AF793" i="9"/>
  <c r="AF792" i="9"/>
  <c r="V792" i="9" s="1"/>
  <c r="AF791" i="9"/>
  <c r="AF790" i="9"/>
  <c r="V790" i="9" s="1"/>
  <c r="AF788" i="9"/>
  <c r="V788" i="9" s="1"/>
  <c r="AF787" i="9"/>
  <c r="AD787" i="9" s="1"/>
  <c r="AF786" i="9"/>
  <c r="V786" i="9" s="1"/>
  <c r="AF785" i="9"/>
  <c r="AD785" i="9" s="1"/>
  <c r="AF784" i="9"/>
  <c r="AD784" i="9" s="1"/>
  <c r="AF783" i="9"/>
  <c r="V783" i="9" s="1"/>
  <c r="AF782" i="9"/>
  <c r="AD782" i="9" s="1"/>
  <c r="AF781" i="9"/>
  <c r="V781" i="9" s="1"/>
  <c r="AF780" i="9"/>
  <c r="AD780" i="9" s="1"/>
  <c r="AF779" i="9"/>
  <c r="V779" i="9" s="1"/>
  <c r="AF776" i="9"/>
  <c r="V776" i="9" s="1"/>
  <c r="AF775" i="9"/>
  <c r="V775" i="9" s="1"/>
  <c r="AF774" i="9"/>
  <c r="AD774" i="9" s="1"/>
  <c r="AF773" i="9"/>
  <c r="AD773" i="9" s="1"/>
  <c r="AF772" i="9"/>
  <c r="V772" i="9" s="1"/>
  <c r="AF771" i="9"/>
  <c r="V771" i="9" s="1"/>
  <c r="AF768" i="9"/>
  <c r="V768" i="9" s="1"/>
  <c r="AF767" i="9"/>
  <c r="AD767" i="9" s="1"/>
  <c r="AF766" i="9"/>
  <c r="V766" i="9" s="1"/>
  <c r="AF765" i="9"/>
  <c r="AD765" i="9" s="1"/>
  <c r="AF764" i="9"/>
  <c r="V764" i="9" s="1"/>
  <c r="AF763" i="9"/>
  <c r="AD763" i="9" s="1"/>
  <c r="AF762" i="9"/>
  <c r="V762" i="9" s="1"/>
  <c r="AF761" i="9"/>
  <c r="AD761" i="9" s="1"/>
  <c r="AF760" i="9"/>
  <c r="AD760" i="9" s="1"/>
  <c r="AF759" i="9"/>
  <c r="V759" i="9" s="1"/>
  <c r="AF758" i="9"/>
  <c r="AD758" i="9" s="1"/>
  <c r="AF757" i="9"/>
  <c r="V757" i="9" s="1"/>
  <c r="AF754" i="9"/>
  <c r="AD754" i="9" s="1"/>
  <c r="AF753" i="9"/>
  <c r="AD753" i="9" s="1"/>
  <c r="AF752" i="9"/>
  <c r="V752" i="9" s="1"/>
  <c r="AF751" i="9"/>
  <c r="AD751" i="9" s="1"/>
  <c r="AF750" i="9"/>
  <c r="AD750" i="9" s="1"/>
  <c r="AF749" i="9"/>
  <c r="V749" i="9" s="1"/>
  <c r="AF748" i="9"/>
  <c r="AD748" i="9" s="1"/>
  <c r="AF747" i="9"/>
  <c r="AD747" i="9" s="1"/>
  <c r="AF744" i="9"/>
  <c r="V744" i="9" s="1"/>
  <c r="AF743" i="9"/>
  <c r="AD743" i="9" s="1"/>
  <c r="AF742" i="9"/>
  <c r="AD742" i="9" s="1"/>
  <c r="AF741" i="9"/>
  <c r="AD741" i="9" s="1"/>
  <c r="AF740" i="9"/>
  <c r="V740" i="9" s="1"/>
  <c r="AF739" i="9"/>
  <c r="AD739" i="9" s="1"/>
  <c r="AF738" i="9"/>
  <c r="V738" i="9" s="1"/>
  <c r="AF737" i="9"/>
  <c r="AD737" i="9" s="1"/>
  <c r="AF736" i="9"/>
  <c r="V736" i="9" s="1"/>
  <c r="AF735" i="9"/>
  <c r="V735" i="9" s="1"/>
  <c r="AF734" i="9"/>
  <c r="AD734" i="9" s="1"/>
  <c r="AF733" i="9"/>
  <c r="V733" i="9" s="1"/>
  <c r="AF732" i="9"/>
  <c r="AD732" i="9" s="1"/>
  <c r="AF729" i="9"/>
  <c r="V729" i="9" s="1"/>
  <c r="AF728" i="9"/>
  <c r="AD728" i="9" s="1"/>
  <c r="AF727" i="9"/>
  <c r="V727" i="9" s="1"/>
  <c r="AF726" i="9"/>
  <c r="AD726" i="9" s="1"/>
  <c r="AF724" i="9"/>
  <c r="AD724" i="9" s="1"/>
  <c r="AF723" i="9"/>
  <c r="AD723" i="9" s="1"/>
  <c r="AF722" i="9"/>
  <c r="AD722" i="9" s="1"/>
  <c r="AF721" i="9"/>
  <c r="V721" i="9" s="1"/>
  <c r="AF719" i="9"/>
  <c r="AF718" i="9"/>
  <c r="V718" i="9" s="1"/>
  <c r="AF717" i="9"/>
  <c r="AF716" i="9"/>
  <c r="AF709" i="9"/>
  <c r="V709" i="9" s="1"/>
  <c r="AF708" i="9"/>
  <c r="AF707" i="9"/>
  <c r="AF706" i="9"/>
  <c r="AF704" i="9"/>
  <c r="AD704" i="9" s="1"/>
  <c r="AF703" i="9"/>
  <c r="AF702" i="9"/>
  <c r="V702" i="9" s="1"/>
  <c r="AF701" i="9"/>
  <c r="AF700" i="9"/>
  <c r="AD700" i="9" s="1"/>
  <c r="AF699" i="9"/>
  <c r="AF698" i="9"/>
  <c r="V698" i="9" s="1"/>
  <c r="AF697" i="9"/>
  <c r="AD697" i="9" s="1"/>
  <c r="AF696" i="9"/>
  <c r="AF695" i="9"/>
  <c r="AF694" i="9"/>
  <c r="AD694" i="9" s="1"/>
  <c r="AF693" i="9"/>
  <c r="AF692" i="9"/>
  <c r="AF691" i="9"/>
  <c r="AD691" i="9" s="1"/>
  <c r="AF688" i="9"/>
  <c r="AF687" i="9"/>
  <c r="AF686" i="9"/>
  <c r="V686" i="9" s="1"/>
  <c r="AF685" i="9"/>
  <c r="AF684" i="9"/>
  <c r="AF683" i="9"/>
  <c r="V683" i="9" s="1"/>
  <c r="AF682" i="9"/>
  <c r="V682" i="9" s="1"/>
  <c r="AF681" i="9"/>
  <c r="AF680" i="9"/>
  <c r="AF679" i="9"/>
  <c r="V679" i="9" s="1"/>
  <c r="AF678" i="9"/>
  <c r="AD678" i="9" s="1"/>
  <c r="AF677" i="9"/>
  <c r="V677" i="9" s="1"/>
  <c r="AF674" i="9"/>
  <c r="AF673" i="9"/>
  <c r="AD673" i="9" s="1"/>
  <c r="AF672" i="9"/>
  <c r="AF671" i="9"/>
  <c r="AD671" i="9" s="1"/>
  <c r="AF670" i="9"/>
  <c r="AF669" i="9"/>
  <c r="AF668" i="9"/>
  <c r="V668" i="9" s="1"/>
  <c r="AF666" i="9"/>
  <c r="AF665" i="9"/>
  <c r="V665" i="9" s="1"/>
  <c r="AF662" i="9"/>
  <c r="AF661" i="9"/>
  <c r="AD661" i="9" s="1"/>
  <c r="AF660" i="9"/>
  <c r="AF659" i="9"/>
  <c r="V659" i="9" s="1"/>
  <c r="AF658" i="9"/>
  <c r="AD658" i="9" s="1"/>
  <c r="AF657" i="9"/>
  <c r="AF656" i="9"/>
  <c r="V656" i="9" s="1"/>
  <c r="AF655" i="9"/>
  <c r="AF654" i="9"/>
  <c r="V654" i="9" s="1"/>
  <c r="AF653" i="9"/>
  <c r="AF652" i="9"/>
  <c r="AF651" i="9"/>
  <c r="AD651" i="9" s="1"/>
  <c r="AF650" i="9"/>
  <c r="AF649" i="9"/>
  <c r="V649" i="9" s="1"/>
  <c r="AF646" i="9"/>
  <c r="AF645" i="9"/>
  <c r="AD645" i="9" s="1"/>
  <c r="AF644" i="9"/>
  <c r="AF643" i="9"/>
  <c r="AD643" i="9" s="1"/>
  <c r="AF641" i="9"/>
  <c r="AF640" i="9"/>
  <c r="AD640" i="9" s="1"/>
  <c r="AF639" i="9"/>
  <c r="AF638" i="9"/>
  <c r="AF637" i="9"/>
  <c r="AD637" i="9" s="1"/>
  <c r="AF633" i="9"/>
  <c r="V633" i="9" s="1"/>
  <c r="AF632" i="9"/>
  <c r="AD632" i="9" s="1"/>
  <c r="AF631" i="9"/>
  <c r="AF630" i="9"/>
  <c r="AD630" i="9" s="1"/>
  <c r="AF629" i="9"/>
  <c r="AF628" i="9"/>
  <c r="AD628" i="9" s="1"/>
  <c r="AF627" i="9"/>
  <c r="AF626" i="9"/>
  <c r="V626" i="9" s="1"/>
  <c r="AF625" i="9"/>
  <c r="AF624" i="9"/>
  <c r="AD624" i="9" s="1"/>
  <c r="AF623" i="9"/>
  <c r="AF621" i="9"/>
  <c r="V621" i="9" s="1"/>
  <c r="AF620" i="9"/>
  <c r="AF619" i="9"/>
  <c r="AF611" i="9"/>
  <c r="V611" i="9" s="1"/>
  <c r="AF610" i="9"/>
  <c r="AF609" i="9"/>
  <c r="AF608" i="9"/>
  <c r="AF606" i="9"/>
  <c r="AD606" i="9" s="1"/>
  <c r="AF605" i="9"/>
  <c r="AD605" i="9" s="1"/>
  <c r="AF604" i="9"/>
  <c r="AF603" i="9"/>
  <c r="AF602" i="9"/>
  <c r="AD602" i="9" s="1"/>
  <c r="AF601" i="9"/>
  <c r="AF600" i="9"/>
  <c r="AF599" i="9"/>
  <c r="V599" i="9" s="1"/>
  <c r="AF596" i="9"/>
  <c r="V596" i="9" s="1"/>
  <c r="AF595" i="9"/>
  <c r="AF594" i="9"/>
  <c r="V594" i="9" s="1"/>
  <c r="AF593" i="9"/>
  <c r="AD593" i="9" s="1"/>
  <c r="AF592" i="9"/>
  <c r="V592" i="9" s="1"/>
  <c r="AF590" i="9"/>
  <c r="V590" i="9" s="1"/>
  <c r="AF589" i="9"/>
  <c r="AF588" i="9"/>
  <c r="AF587" i="9"/>
  <c r="V587" i="9" s="1"/>
  <c r="AF584" i="9"/>
  <c r="AF583" i="9"/>
  <c r="V583" i="9" s="1"/>
  <c r="AF582" i="9"/>
  <c r="AF581" i="9"/>
  <c r="AF580" i="9"/>
  <c r="V580" i="9" s="1"/>
  <c r="AF579" i="9"/>
  <c r="AF578" i="9"/>
  <c r="AF577" i="9"/>
  <c r="AD577" i="9" s="1"/>
  <c r="AF576" i="9"/>
  <c r="AF575" i="9"/>
  <c r="V575" i="9" s="1"/>
  <c r="AF574" i="9"/>
  <c r="AF573" i="9"/>
  <c r="AF572" i="9"/>
  <c r="AF571" i="9"/>
  <c r="V571" i="9" s="1"/>
  <c r="AF568" i="9"/>
  <c r="AF567" i="9"/>
  <c r="V567" i="9" s="1"/>
  <c r="AF566" i="9"/>
  <c r="AF565" i="9"/>
  <c r="AF564" i="9"/>
  <c r="AF563" i="9"/>
  <c r="AF562" i="9"/>
  <c r="AF561" i="9"/>
  <c r="AF558" i="9"/>
  <c r="AF557" i="9"/>
  <c r="AF556" i="9"/>
  <c r="V556" i="9" s="1"/>
  <c r="AF555" i="9"/>
  <c r="AF554" i="9"/>
  <c r="AF553" i="9"/>
  <c r="V553" i="9" s="1"/>
  <c r="AF552" i="9"/>
  <c r="AF551" i="9"/>
  <c r="V551" i="9" s="1"/>
  <c r="AF550" i="9"/>
  <c r="AF549" i="9"/>
  <c r="AF548" i="9"/>
  <c r="AF547" i="9"/>
  <c r="V547" i="9" s="1"/>
  <c r="AF544" i="9"/>
  <c r="AF543" i="9"/>
  <c r="AF542" i="9"/>
  <c r="V542" i="9" s="1"/>
  <c r="AF541" i="9"/>
  <c r="AF540" i="9"/>
  <c r="V540" i="9" s="1"/>
  <c r="AF538" i="9"/>
  <c r="V538" i="9" s="1"/>
  <c r="AF537" i="9"/>
  <c r="AF536" i="9"/>
  <c r="AF535" i="9"/>
  <c r="AF530" i="9"/>
  <c r="V530" i="9" s="1"/>
  <c r="AF529" i="9"/>
  <c r="AF528" i="9"/>
  <c r="AF527" i="9"/>
  <c r="AF525" i="9"/>
  <c r="AF524" i="9"/>
  <c r="AF523" i="9"/>
  <c r="V523" i="9" s="1"/>
  <c r="AF522" i="9"/>
  <c r="AF521" i="9"/>
  <c r="AF520" i="9"/>
  <c r="AF519" i="9"/>
  <c r="AF518" i="9"/>
  <c r="AF517" i="9"/>
  <c r="V517" i="9" s="1"/>
  <c r="AF516" i="9"/>
  <c r="AF515" i="9"/>
  <c r="AF514" i="9"/>
  <c r="AF513" i="9"/>
  <c r="V513" i="9" s="1"/>
  <c r="AF510" i="9"/>
  <c r="AF509" i="9"/>
  <c r="AD509" i="9" s="1"/>
  <c r="AF508" i="9"/>
  <c r="AF507" i="9"/>
  <c r="AF506" i="9"/>
  <c r="V506" i="9" s="1"/>
  <c r="AF505" i="9"/>
  <c r="AF504" i="9"/>
  <c r="AF502" i="9"/>
  <c r="AF499" i="9"/>
  <c r="AF498" i="9"/>
  <c r="AF497" i="9"/>
  <c r="AF496" i="9"/>
  <c r="AF495" i="9"/>
  <c r="AF494" i="9"/>
  <c r="AF493" i="9"/>
  <c r="AF492" i="9"/>
  <c r="AF491" i="9"/>
  <c r="AF490" i="9"/>
  <c r="AF483" i="9"/>
  <c r="AF482" i="9"/>
  <c r="AF481" i="9"/>
  <c r="AF480" i="9"/>
  <c r="AF479" i="9"/>
  <c r="AF478" i="9"/>
  <c r="AF477" i="9"/>
  <c r="AF476" i="9"/>
  <c r="AF475" i="9"/>
  <c r="AF474" i="9"/>
  <c r="AF471" i="9"/>
  <c r="AF470" i="9"/>
  <c r="AF469" i="9"/>
  <c r="AF468" i="9"/>
  <c r="AF467" i="9"/>
  <c r="AF466" i="9"/>
  <c r="AF465" i="9"/>
  <c r="AF464" i="9"/>
  <c r="AF463" i="9"/>
  <c r="AF462" i="9"/>
  <c r="AF459" i="9"/>
  <c r="AF458" i="9"/>
  <c r="AF457" i="9"/>
  <c r="AF456" i="9"/>
  <c r="AF455" i="9"/>
  <c r="AF454" i="9"/>
  <c r="AF453" i="9"/>
  <c r="AF452" i="9"/>
  <c r="AF451" i="9"/>
  <c r="AF450" i="9"/>
  <c r="AF449" i="9"/>
  <c r="AF447" i="9"/>
  <c r="AF446" i="9"/>
  <c r="AF445" i="9"/>
  <c r="AF444" i="9"/>
  <c r="AF441" i="9"/>
  <c r="AF440" i="9"/>
  <c r="AF439" i="9"/>
  <c r="AF438" i="9"/>
  <c r="AF436" i="9"/>
  <c r="AF435" i="9"/>
  <c r="AF434" i="9"/>
  <c r="AF433" i="9"/>
  <c r="AF432" i="9"/>
  <c r="AF431" i="9"/>
  <c r="AF430" i="9"/>
  <c r="AF429" i="9"/>
  <c r="AF428" i="9"/>
  <c r="AF425" i="9"/>
  <c r="AF424" i="9"/>
  <c r="AF423" i="9"/>
  <c r="AF422" i="9"/>
  <c r="AF421" i="9"/>
  <c r="AF420" i="9"/>
  <c r="AF419" i="9"/>
  <c r="AF418" i="9"/>
  <c r="AF417" i="9"/>
  <c r="AF416" i="9"/>
  <c r="AF413" i="9"/>
  <c r="AF412" i="9"/>
  <c r="AF411" i="9"/>
  <c r="AF410" i="9"/>
  <c r="AF409" i="9"/>
  <c r="AF408" i="9"/>
  <c r="AF407" i="9"/>
  <c r="AF406" i="9"/>
  <c r="AF405" i="9"/>
  <c r="AF404" i="9"/>
  <c r="AF403" i="9"/>
  <c r="AF396" i="9"/>
  <c r="AF395" i="9"/>
  <c r="AF394" i="9"/>
  <c r="AF393" i="9"/>
  <c r="AF392" i="9"/>
  <c r="AF391" i="9"/>
  <c r="AF390" i="9"/>
  <c r="AF389" i="9"/>
  <c r="AF388" i="9"/>
  <c r="AF387" i="9"/>
  <c r="AF384" i="9"/>
  <c r="AF383" i="9"/>
  <c r="AF382" i="9"/>
  <c r="AF381" i="9"/>
  <c r="AF380" i="9"/>
  <c r="AF379" i="9"/>
  <c r="AF378" i="9"/>
  <c r="AF377" i="9"/>
  <c r="AF376" i="9"/>
  <c r="AF373" i="9"/>
  <c r="AF372" i="9"/>
  <c r="AF370" i="9"/>
  <c r="AF369" i="9"/>
  <c r="AF368" i="9"/>
  <c r="AF367" i="9"/>
  <c r="AF366" i="9"/>
  <c r="AF365" i="9"/>
  <c r="AF364" i="9"/>
  <c r="AF363" i="9"/>
  <c r="AF361" i="9"/>
  <c r="AF360" i="9"/>
  <c r="AF359" i="9"/>
  <c r="AF358" i="9"/>
  <c r="AF355" i="9"/>
  <c r="AF354" i="9"/>
  <c r="AF353" i="9"/>
  <c r="AF352" i="9"/>
  <c r="AF350" i="9"/>
  <c r="AF349" i="9"/>
  <c r="AF348" i="9"/>
  <c r="AF347" i="9"/>
  <c r="AF346" i="9"/>
  <c r="AF345" i="9"/>
  <c r="AF344" i="9"/>
  <c r="AF343" i="9"/>
  <c r="AF342" i="9"/>
  <c r="AF341" i="9"/>
  <c r="AF338" i="9"/>
  <c r="AF337" i="9"/>
  <c r="AF336" i="9"/>
  <c r="AF335" i="9"/>
  <c r="AF334" i="9"/>
  <c r="AF333" i="9"/>
  <c r="AF332" i="9"/>
  <c r="AF331" i="9"/>
  <c r="AF330" i="9"/>
  <c r="AF329" i="9"/>
  <c r="AF328" i="9"/>
  <c r="AF327" i="9"/>
  <c r="AF324" i="9"/>
  <c r="AF323" i="9"/>
  <c r="AF322" i="9"/>
  <c r="AF321" i="9"/>
  <c r="AF320" i="9"/>
  <c r="AF319" i="9"/>
  <c r="AF318" i="9"/>
  <c r="AF317" i="9"/>
  <c r="AF316" i="9"/>
  <c r="AF315" i="9"/>
  <c r="AF308" i="9"/>
  <c r="AF307" i="9"/>
  <c r="AF306" i="9"/>
  <c r="AF305" i="9"/>
  <c r="AF304" i="9"/>
  <c r="AF303" i="9"/>
  <c r="AF302" i="9"/>
  <c r="AF301" i="9"/>
  <c r="AF300" i="9"/>
  <c r="AF299" i="9"/>
  <c r="AF298" i="9"/>
  <c r="AF297" i="9"/>
  <c r="AF294" i="9"/>
  <c r="AF293" i="9"/>
  <c r="AF292" i="9"/>
  <c r="AF291" i="9"/>
  <c r="AF290" i="9"/>
  <c r="AF289" i="9"/>
  <c r="AF288" i="9"/>
  <c r="AF285" i="9"/>
  <c r="AF284" i="9"/>
  <c r="AF283" i="9"/>
  <c r="AF282" i="9"/>
  <c r="AF281" i="9"/>
  <c r="AF280" i="9"/>
  <c r="AF279" i="9"/>
  <c r="AF278" i="9"/>
  <c r="AF277" i="9"/>
  <c r="AF276" i="9"/>
  <c r="AF275" i="9"/>
  <c r="AF274" i="9"/>
  <c r="AF273" i="9"/>
  <c r="AF271" i="9"/>
  <c r="AF270" i="9"/>
  <c r="AF269" i="9"/>
  <c r="AF268" i="9"/>
  <c r="AF265" i="9"/>
  <c r="AF264" i="9"/>
  <c r="AF263" i="9"/>
  <c r="AF262" i="9"/>
  <c r="AF260" i="9"/>
  <c r="AF259" i="9"/>
  <c r="AF258" i="9"/>
  <c r="AF257" i="9"/>
  <c r="AF256" i="9"/>
  <c r="AF255" i="9"/>
  <c r="AF254" i="9"/>
  <c r="AF253" i="9"/>
  <c r="AF250" i="9"/>
  <c r="AF249" i="9"/>
  <c r="AF248" i="9"/>
  <c r="AF247" i="9"/>
  <c r="AF246" i="9"/>
  <c r="AF245" i="9"/>
  <c r="AF244" i="9"/>
  <c r="AF243" i="9"/>
  <c r="AF242" i="9"/>
  <c r="AF241" i="9"/>
  <c r="AF240" i="9"/>
  <c r="AF239" i="9"/>
  <c r="AF236" i="9"/>
  <c r="AF235" i="9"/>
  <c r="AF234" i="9"/>
  <c r="AF233" i="9"/>
  <c r="AF232" i="9"/>
  <c r="AF231" i="9"/>
  <c r="AF230" i="9"/>
  <c r="AF229" i="9"/>
  <c r="AF228" i="9"/>
  <c r="AF227" i="9"/>
  <c r="AF226" i="9"/>
  <c r="AF225" i="9"/>
  <c r="AF218" i="9"/>
  <c r="AF217" i="9"/>
  <c r="AF216" i="9"/>
  <c r="AF215" i="9"/>
  <c r="AF214" i="9"/>
  <c r="AF213" i="9"/>
  <c r="AF212" i="9"/>
  <c r="AF211" i="9"/>
  <c r="AF210" i="9"/>
  <c r="AF209" i="9"/>
  <c r="AF208" i="9"/>
  <c r="AF207" i="9"/>
  <c r="AF204" i="9"/>
  <c r="AF203" i="9"/>
  <c r="AF202" i="9"/>
  <c r="AF201" i="9"/>
  <c r="AF200" i="9"/>
  <c r="AF199" i="9"/>
  <c r="AF198" i="9"/>
  <c r="AF197" i="9"/>
  <c r="AF196" i="9"/>
  <c r="AF193" i="9"/>
  <c r="AF192" i="9"/>
  <c r="AF191" i="9"/>
  <c r="AF190" i="9"/>
  <c r="AF189" i="9"/>
  <c r="AF188" i="9"/>
  <c r="AF187" i="9"/>
  <c r="AF186" i="9"/>
  <c r="AF185" i="9"/>
  <c r="AF184" i="9"/>
  <c r="AF183" i="9"/>
  <c r="AF182" i="9"/>
  <c r="AF180" i="9"/>
  <c r="AF179" i="9"/>
  <c r="AF178" i="9"/>
  <c r="AF177" i="9"/>
  <c r="AF174" i="9"/>
  <c r="AF173" i="9"/>
  <c r="AF172" i="9"/>
  <c r="AF171" i="9"/>
  <c r="AF169" i="9"/>
  <c r="AF168" i="9"/>
  <c r="AF167" i="9"/>
  <c r="AF166" i="9"/>
  <c r="AF165" i="9"/>
  <c r="AF164" i="9"/>
  <c r="AF163" i="9"/>
  <c r="AF162" i="9"/>
  <c r="AF161" i="9"/>
  <c r="AF160" i="9"/>
  <c r="AF159" i="9"/>
  <c r="AF156" i="9"/>
  <c r="AF155" i="9"/>
  <c r="AF154" i="9"/>
  <c r="AF153" i="9"/>
  <c r="AF152" i="9"/>
  <c r="AF151" i="9"/>
  <c r="AF150" i="9"/>
  <c r="AF149" i="9"/>
  <c r="AF148" i="9"/>
  <c r="AF147" i="9"/>
  <c r="AF146" i="9"/>
  <c r="AF141" i="9"/>
  <c r="AF140" i="9"/>
  <c r="AF139" i="9"/>
  <c r="AF138" i="9"/>
  <c r="AF137" i="9"/>
  <c r="AF136" i="9"/>
  <c r="AF135" i="9"/>
  <c r="AF128" i="9"/>
  <c r="AF127" i="9"/>
  <c r="AF126" i="9"/>
  <c r="AF125" i="9"/>
  <c r="AF124" i="9"/>
  <c r="AF123" i="9"/>
  <c r="AF122" i="9"/>
  <c r="AF121" i="9"/>
  <c r="AF120" i="9"/>
  <c r="AF117" i="9"/>
  <c r="AF116" i="9"/>
  <c r="AF115" i="9"/>
  <c r="AF114" i="9"/>
  <c r="AF113" i="9"/>
  <c r="AF112" i="9"/>
  <c r="AF111" i="9"/>
  <c r="AF110" i="9"/>
  <c r="AF109" i="9"/>
  <c r="AF106" i="9"/>
  <c r="AF105" i="9"/>
  <c r="AF104" i="9"/>
  <c r="AF103" i="9"/>
  <c r="AF102" i="9"/>
  <c r="AF100" i="9"/>
  <c r="AF99" i="9"/>
  <c r="AF98" i="9"/>
  <c r="AF97" i="9"/>
  <c r="AF96" i="9"/>
  <c r="AF95" i="9"/>
  <c r="AF94" i="9"/>
  <c r="AF92" i="9"/>
  <c r="AF91" i="9"/>
  <c r="AF90" i="9"/>
  <c r="AF89" i="9"/>
  <c r="AF86" i="9"/>
  <c r="AF85" i="9"/>
  <c r="AF84" i="9"/>
  <c r="AF83" i="9"/>
  <c r="AF81" i="9"/>
  <c r="AF80" i="9"/>
  <c r="AF79" i="9"/>
  <c r="AF78" i="9"/>
  <c r="AF77" i="9"/>
  <c r="AF76" i="9"/>
  <c r="AF75" i="9"/>
  <c r="AF74" i="9"/>
  <c r="AF73" i="9"/>
  <c r="AF72" i="9"/>
  <c r="AF71" i="9"/>
  <c r="AF70" i="9"/>
  <c r="AF67" i="9"/>
  <c r="AF66" i="9"/>
  <c r="AF65" i="9"/>
  <c r="AF64" i="9"/>
  <c r="AF63" i="9"/>
  <c r="AF62" i="9"/>
  <c r="AF61" i="9"/>
  <c r="AF59" i="9"/>
  <c r="AF58" i="9"/>
  <c r="AF57" i="9"/>
  <c r="AF56" i="9"/>
  <c r="AF55" i="9"/>
  <c r="AF52" i="9"/>
  <c r="AF51" i="9"/>
  <c r="AF50" i="9"/>
  <c r="AF49" i="9"/>
  <c r="AF48" i="9"/>
  <c r="AF47" i="9"/>
  <c r="AF46" i="9"/>
  <c r="AF45" i="9"/>
  <c r="AF44" i="9"/>
  <c r="AF37" i="9"/>
  <c r="AF36" i="9"/>
  <c r="AF35" i="9"/>
  <c r="AF34" i="9"/>
  <c r="AF33" i="9"/>
  <c r="AF32" i="9"/>
  <c r="AF31" i="9"/>
  <c r="AF30" i="9"/>
  <c r="AF29" i="9"/>
  <c r="AF28" i="9"/>
  <c r="AF27" i="9"/>
  <c r="AF26" i="9"/>
  <c r="AF25" i="9"/>
  <c r="AF24" i="9"/>
  <c r="AF21" i="9"/>
  <c r="AF20" i="9"/>
  <c r="AF19" i="9"/>
  <c r="AF18" i="9"/>
  <c r="AF17" i="9"/>
  <c r="AF14" i="9"/>
  <c r="AF13" i="9"/>
  <c r="AF12" i="9"/>
  <c r="AF11" i="9"/>
  <c r="AF10" i="9"/>
  <c r="AF9" i="9"/>
  <c r="AF8" i="9"/>
  <c r="AF4" i="9"/>
  <c r="AF5" i="9"/>
  <c r="AD508" i="9" l="1"/>
  <c r="AB508" i="9"/>
  <c r="AB4" i="9"/>
  <c r="V5" i="9"/>
  <c r="AB5" i="9"/>
  <c r="AD5" i="9"/>
  <c r="V8" i="9"/>
  <c r="AB8" i="9"/>
  <c r="V9" i="9"/>
  <c r="AB9" i="9"/>
  <c r="V10" i="9"/>
  <c r="AB10" i="9"/>
  <c r="V11" i="9"/>
  <c r="AB11" i="9"/>
  <c r="V13" i="9"/>
  <c r="AB13" i="9"/>
  <c r="V14" i="9"/>
  <c r="AB14" i="9"/>
  <c r="V17" i="9"/>
  <c r="AB17" i="9"/>
  <c r="V18" i="9"/>
  <c r="AB18" i="9"/>
  <c r="V20" i="9"/>
  <c r="AB20" i="9"/>
  <c r="V24" i="9"/>
  <c r="AB24" i="9"/>
  <c r="V26" i="9"/>
  <c r="AB26" i="9"/>
  <c r="V28" i="9"/>
  <c r="AB28" i="9"/>
  <c r="V29" i="9"/>
  <c r="AB29" i="9"/>
  <c r="V32" i="9"/>
  <c r="AB32" i="9"/>
  <c r="V34" i="9"/>
  <c r="AB34" i="9"/>
  <c r="V35" i="9"/>
  <c r="AB35" i="9"/>
  <c r="V36" i="9"/>
  <c r="AB36" i="9"/>
  <c r="V44" i="9"/>
  <c r="AB44" i="9"/>
  <c r="V46" i="9"/>
  <c r="AB46" i="9"/>
  <c r="V47" i="9"/>
  <c r="AB47" i="9"/>
  <c r="V48" i="9"/>
  <c r="AB48" i="9"/>
  <c r="V50" i="9"/>
  <c r="AB50" i="9"/>
  <c r="V55" i="9"/>
  <c r="AB55" i="9"/>
  <c r="V58" i="9"/>
  <c r="AB58" i="9"/>
  <c r="V61" i="9"/>
  <c r="AB61" i="9"/>
  <c r="V62" i="9"/>
  <c r="AB62" i="9"/>
  <c r="V64" i="9"/>
  <c r="AB64" i="9"/>
  <c r="V66" i="9"/>
  <c r="AB66" i="9"/>
  <c r="V70" i="9"/>
  <c r="AB70" i="9"/>
  <c r="V73" i="9"/>
  <c r="AB73" i="9"/>
  <c r="V74" i="9"/>
  <c r="AB74" i="9"/>
  <c r="V77" i="9"/>
  <c r="AB77" i="9"/>
  <c r="V80" i="9"/>
  <c r="AB80" i="9"/>
  <c r="V83" i="9"/>
  <c r="AB83" i="9"/>
  <c r="AD83" i="9"/>
  <c r="V85" i="9"/>
  <c r="AB85" i="9"/>
  <c r="AD85" i="9"/>
  <c r="V89" i="9"/>
  <c r="AB89" i="9"/>
  <c r="AD89" i="9"/>
  <c r="V91" i="9"/>
  <c r="AB91" i="9"/>
  <c r="AD91" i="9"/>
  <c r="V94" i="9"/>
  <c r="AB94" i="9"/>
  <c r="V97" i="9"/>
  <c r="AB97" i="9"/>
  <c r="V99" i="9"/>
  <c r="AB99" i="9"/>
  <c r="V102" i="9"/>
  <c r="AB102" i="9"/>
  <c r="V109" i="9"/>
  <c r="AB109" i="9"/>
  <c r="V110" i="9"/>
  <c r="AB110" i="9"/>
  <c r="V113" i="9"/>
  <c r="AB113" i="9"/>
  <c r="V115" i="9"/>
  <c r="AB115" i="9"/>
  <c r="V116" i="9"/>
  <c r="AB116" i="9"/>
  <c r="V120" i="9"/>
  <c r="AB120" i="9"/>
  <c r="V122" i="9"/>
  <c r="AB122" i="9"/>
  <c r="V123" i="9"/>
  <c r="AB123" i="9"/>
  <c r="V126" i="9"/>
  <c r="AB126" i="9"/>
  <c r="V127" i="9"/>
  <c r="AB127" i="9"/>
  <c r="V128" i="9"/>
  <c r="AB128" i="9"/>
  <c r="V135" i="9"/>
  <c r="AB135" i="9"/>
  <c r="V136" i="9"/>
  <c r="AB136" i="9"/>
  <c r="V140" i="9"/>
  <c r="AB140" i="9"/>
  <c r="V146" i="9"/>
  <c r="AB146" i="9"/>
  <c r="V147" i="9"/>
  <c r="AB147" i="9"/>
  <c r="V149" i="9"/>
  <c r="AB149" i="9"/>
  <c r="V150" i="9"/>
  <c r="AB150" i="9"/>
  <c r="V151" i="9"/>
  <c r="AB151" i="9"/>
  <c r="V152" i="9"/>
  <c r="AB152" i="9"/>
  <c r="V155" i="9"/>
  <c r="AB155" i="9"/>
  <c r="V159" i="9"/>
  <c r="AB159" i="9"/>
  <c r="V161" i="9"/>
  <c r="AB161" i="9"/>
  <c r="V162" i="9"/>
  <c r="AB162" i="9"/>
  <c r="V165" i="9"/>
  <c r="AB165" i="9"/>
  <c r="V168" i="9"/>
  <c r="AB168" i="9"/>
  <c r="V171" i="9"/>
  <c r="AB171" i="9"/>
  <c r="V173" i="9"/>
  <c r="AB173" i="9"/>
  <c r="V177" i="9"/>
  <c r="AB177" i="9"/>
  <c r="V179" i="9"/>
  <c r="AB179" i="9"/>
  <c r="V183" i="9"/>
  <c r="AB183" i="9"/>
  <c r="V185" i="9"/>
  <c r="AB185" i="9"/>
  <c r="V187" i="9"/>
  <c r="AB187" i="9"/>
  <c r="V188" i="9"/>
  <c r="AB188" i="9"/>
  <c r="V189" i="9"/>
  <c r="AB189" i="9"/>
  <c r="V192" i="9"/>
  <c r="AB192" i="9"/>
  <c r="V196" i="9"/>
  <c r="AB196" i="9"/>
  <c r="V197" i="9"/>
  <c r="AB197" i="9"/>
  <c r="V200" i="9"/>
  <c r="AB200" i="9"/>
  <c r="V202" i="9"/>
  <c r="AB202" i="9"/>
  <c r="V203" i="9"/>
  <c r="AB203" i="9"/>
  <c r="V208" i="9"/>
  <c r="AB208" i="9"/>
  <c r="V211" i="9"/>
  <c r="AB211" i="9"/>
  <c r="V215" i="9"/>
  <c r="AB215" i="9"/>
  <c r="V217" i="9"/>
  <c r="AB217" i="9"/>
  <c r="V225" i="9"/>
  <c r="AB225" i="9"/>
  <c r="V227" i="9"/>
  <c r="AB227" i="9"/>
  <c r="V229" i="9"/>
  <c r="AB229" i="9"/>
  <c r="V230" i="9"/>
  <c r="AB230" i="9"/>
  <c r="V233" i="9"/>
  <c r="AB233" i="9"/>
  <c r="V235" i="9"/>
  <c r="AB235" i="9"/>
  <c r="V239" i="9"/>
  <c r="AB239" i="9"/>
  <c r="V240" i="9"/>
  <c r="AB240" i="9"/>
  <c r="V242" i="9"/>
  <c r="AB242" i="9"/>
  <c r="V244" i="9"/>
  <c r="AB244" i="9"/>
  <c r="V246" i="9"/>
  <c r="AB246" i="9"/>
  <c r="V248" i="9"/>
  <c r="AB248" i="9"/>
  <c r="V253" i="9"/>
  <c r="AB253" i="9"/>
  <c r="V255" i="9"/>
  <c r="AB255" i="9"/>
  <c r="V257" i="9"/>
  <c r="AB257" i="9"/>
  <c r="V259" i="9"/>
  <c r="AB259" i="9"/>
  <c r="V262" i="9"/>
  <c r="AB262" i="9"/>
  <c r="V264" i="9"/>
  <c r="AB264" i="9"/>
  <c r="V268" i="9"/>
  <c r="AB268" i="9"/>
  <c r="V270" i="9"/>
  <c r="AB270" i="9"/>
  <c r="V273" i="9"/>
  <c r="AB273" i="9"/>
  <c r="V275" i="9"/>
  <c r="AB275" i="9"/>
  <c r="V277" i="9"/>
  <c r="AB277" i="9"/>
  <c r="V279" i="9"/>
  <c r="AB279" i="9"/>
  <c r="V281" i="9"/>
  <c r="AB281" i="9"/>
  <c r="V283" i="9"/>
  <c r="AB283" i="9"/>
  <c r="V284" i="9"/>
  <c r="AB284" i="9"/>
  <c r="V288" i="9"/>
  <c r="AB288" i="9"/>
  <c r="V289" i="9"/>
  <c r="AB289" i="9"/>
  <c r="V293" i="9"/>
  <c r="AB293" i="9"/>
  <c r="V297" i="9"/>
  <c r="AB297" i="9"/>
  <c r="V298" i="9"/>
  <c r="AB298" i="9"/>
  <c r="V299" i="9"/>
  <c r="AB299" i="9"/>
  <c r="V300" i="9"/>
  <c r="AB300" i="9"/>
  <c r="V302" i="9"/>
  <c r="AB302" i="9"/>
  <c r="V303" i="9"/>
  <c r="AB303" i="9"/>
  <c r="V304" i="9"/>
  <c r="AB304" i="9"/>
  <c r="V306" i="9"/>
  <c r="AB306" i="9"/>
  <c r="V308" i="9"/>
  <c r="AB308" i="9"/>
  <c r="V317" i="9"/>
  <c r="AB317" i="9"/>
  <c r="V319" i="9"/>
  <c r="AB319" i="9"/>
  <c r="V320" i="9"/>
  <c r="AB320" i="9"/>
  <c r="V327" i="9"/>
  <c r="AB327" i="9"/>
  <c r="V329" i="9"/>
  <c r="AB329" i="9"/>
  <c r="V330" i="9"/>
  <c r="AB330" i="9"/>
  <c r="V332" i="9"/>
  <c r="AB332" i="9"/>
  <c r="V333" i="9"/>
  <c r="AB333" i="9"/>
  <c r="V335" i="9"/>
  <c r="AB335" i="9"/>
  <c r="V337" i="9"/>
  <c r="AB337" i="9"/>
  <c r="V338" i="9"/>
  <c r="AB338" i="9"/>
  <c r="V341" i="9"/>
  <c r="AB341" i="9"/>
  <c r="V343" i="9"/>
  <c r="AB343" i="9"/>
  <c r="V345" i="9"/>
  <c r="AB345" i="9"/>
  <c r="V346" i="9"/>
  <c r="AB346" i="9"/>
  <c r="V347" i="9"/>
  <c r="AB347" i="9"/>
  <c r="V349" i="9"/>
  <c r="AB349" i="9"/>
  <c r="V352" i="9"/>
  <c r="AB352" i="9"/>
  <c r="V354" i="9"/>
  <c r="AB354" i="9"/>
  <c r="V358" i="9"/>
  <c r="AB358" i="9"/>
  <c r="V360" i="9"/>
  <c r="AB360" i="9"/>
  <c r="V363" i="9"/>
  <c r="AB363" i="9"/>
  <c r="V365" i="9"/>
  <c r="AB365" i="9"/>
  <c r="V368" i="9"/>
  <c r="AB368" i="9"/>
  <c r="V373" i="9"/>
  <c r="AB373" i="9"/>
  <c r="V376" i="9"/>
  <c r="AB376" i="9"/>
  <c r="V378" i="9"/>
  <c r="AB378" i="9"/>
  <c r="V380" i="9"/>
  <c r="AB380" i="9"/>
  <c r="V383" i="9"/>
  <c r="AB383" i="9"/>
  <c r="V387" i="9"/>
  <c r="AB387" i="9"/>
  <c r="V389" i="9"/>
  <c r="AB389" i="9"/>
  <c r="V390" i="9"/>
  <c r="AB390" i="9"/>
  <c r="V392" i="9"/>
  <c r="AB392" i="9"/>
  <c r="V393" i="9"/>
  <c r="AB393" i="9"/>
  <c r="V394" i="9"/>
  <c r="AB394" i="9"/>
  <c r="V395" i="9"/>
  <c r="AB395" i="9"/>
  <c r="V403" i="9"/>
  <c r="AB403" i="9"/>
  <c r="V404" i="9"/>
  <c r="AB404" i="9"/>
  <c r="V406" i="9"/>
  <c r="AB406" i="9"/>
  <c r="V407" i="9"/>
  <c r="AB407" i="9"/>
  <c r="V409" i="9"/>
  <c r="AB409" i="9"/>
  <c r="V411" i="9"/>
  <c r="AB411" i="9"/>
  <c r="V413" i="9"/>
  <c r="AB413" i="9"/>
  <c r="V416" i="9"/>
  <c r="AB416" i="9"/>
  <c r="V418" i="9"/>
  <c r="AB418" i="9"/>
  <c r="V421" i="9"/>
  <c r="AB421" i="9"/>
  <c r="V422" i="9"/>
  <c r="AB422" i="9"/>
  <c r="V425" i="9"/>
  <c r="AB425" i="9"/>
  <c r="V428" i="9"/>
  <c r="AB428" i="9"/>
  <c r="V432" i="9"/>
  <c r="AB432" i="9"/>
  <c r="V433" i="9"/>
  <c r="AB433" i="9"/>
  <c r="V436" i="9"/>
  <c r="AB436" i="9"/>
  <c r="V438" i="9"/>
  <c r="AB438" i="9"/>
  <c r="V440" i="9"/>
  <c r="AB440" i="9"/>
  <c r="V444" i="9"/>
  <c r="AB444" i="9"/>
  <c r="V446" i="9"/>
  <c r="AB446" i="9"/>
  <c r="V449" i="9"/>
  <c r="AB449" i="9"/>
  <c r="V452" i="9"/>
  <c r="AB452" i="9"/>
  <c r="V457" i="9"/>
  <c r="AB457" i="9"/>
  <c r="V463" i="9"/>
  <c r="AB463" i="9"/>
  <c r="V464" i="9"/>
  <c r="AB464" i="9"/>
  <c r="V465" i="9"/>
  <c r="AB465" i="9"/>
  <c r="V467" i="9"/>
  <c r="AB467" i="9"/>
  <c r="V468" i="9"/>
  <c r="AB468" i="9"/>
  <c r="V474" i="9"/>
  <c r="AB474" i="9"/>
  <c r="V476" i="9"/>
  <c r="AB476" i="9"/>
  <c r="V477" i="9"/>
  <c r="AB477" i="9"/>
  <c r="V479" i="9"/>
  <c r="AB479" i="9"/>
  <c r="V480" i="9"/>
  <c r="AB480" i="9"/>
  <c r="V490" i="9"/>
  <c r="AB490" i="9"/>
  <c r="V492" i="9"/>
  <c r="AB492" i="9"/>
  <c r="V494" i="9"/>
  <c r="AB494" i="9"/>
  <c r="V495" i="9"/>
  <c r="AB495" i="9"/>
  <c r="V497" i="9"/>
  <c r="AB497" i="9"/>
  <c r="V499" i="9"/>
  <c r="AB499" i="9"/>
  <c r="V502" i="9"/>
  <c r="AB502" i="9"/>
  <c r="V509" i="9"/>
  <c r="AB509" i="9"/>
  <c r="V516" i="9"/>
  <c r="AB516" i="9"/>
  <c r="V519" i="9"/>
  <c r="AB519" i="9"/>
  <c r="V522" i="9"/>
  <c r="AB522" i="9"/>
  <c r="V524" i="9"/>
  <c r="AB524" i="9"/>
  <c r="V527" i="9"/>
  <c r="AB527" i="9"/>
  <c r="V529" i="9"/>
  <c r="AB529" i="9"/>
  <c r="V535" i="9"/>
  <c r="AB535" i="9"/>
  <c r="AB537" i="9"/>
  <c r="V537" i="9"/>
  <c r="V541" i="9"/>
  <c r="AB541" i="9"/>
  <c r="V544" i="9"/>
  <c r="AB544" i="9"/>
  <c r="V549" i="9"/>
  <c r="AB549" i="9"/>
  <c r="V552" i="9"/>
  <c r="AB552" i="9"/>
  <c r="V555" i="9"/>
  <c r="AB555" i="9"/>
  <c r="V557" i="9"/>
  <c r="AB557" i="9"/>
  <c r="V562" i="9"/>
  <c r="AB562" i="9"/>
  <c r="V566" i="9"/>
  <c r="AB566" i="9"/>
  <c r="V573" i="9"/>
  <c r="AB573" i="9"/>
  <c r="V4" i="9"/>
  <c r="V12" i="9"/>
  <c r="AB12" i="9"/>
  <c r="AD12" i="9"/>
  <c r="V19" i="9"/>
  <c r="AB19" i="9"/>
  <c r="AD19" i="9"/>
  <c r="V21" i="9"/>
  <c r="AB21" i="9"/>
  <c r="AD21" i="9"/>
  <c r="V25" i="9"/>
  <c r="AB25" i="9"/>
  <c r="AD25" i="9"/>
  <c r="V27" i="9"/>
  <c r="AB27" i="9"/>
  <c r="AD27" i="9"/>
  <c r="V30" i="9"/>
  <c r="AB30" i="9"/>
  <c r="AD30" i="9"/>
  <c r="V31" i="9"/>
  <c r="AB31" i="9"/>
  <c r="AD31" i="9"/>
  <c r="V33" i="9"/>
  <c r="AB33" i="9"/>
  <c r="AD33" i="9"/>
  <c r="V37" i="9"/>
  <c r="AB37" i="9"/>
  <c r="AD37" i="9"/>
  <c r="V45" i="9"/>
  <c r="AB45" i="9"/>
  <c r="AD45" i="9"/>
  <c r="V49" i="9"/>
  <c r="AB49" i="9"/>
  <c r="AD49" i="9"/>
  <c r="V51" i="9"/>
  <c r="AB51" i="9"/>
  <c r="AD51" i="9"/>
  <c r="V52" i="9"/>
  <c r="AB52" i="9"/>
  <c r="AD52" i="9"/>
  <c r="V56" i="9"/>
  <c r="AB56" i="9"/>
  <c r="AD56" i="9"/>
  <c r="V57" i="9"/>
  <c r="AB57" i="9"/>
  <c r="AD57" i="9"/>
  <c r="AB59" i="9"/>
  <c r="V59" i="9"/>
  <c r="AD59" i="9"/>
  <c r="V63" i="9"/>
  <c r="AB63" i="9"/>
  <c r="AD63" i="9"/>
  <c r="V65" i="9"/>
  <c r="AB65" i="9"/>
  <c r="AD65" i="9"/>
  <c r="V67" i="9"/>
  <c r="AB67" i="9"/>
  <c r="AD67" i="9"/>
  <c r="V71" i="9"/>
  <c r="AB71" i="9"/>
  <c r="AD71" i="9"/>
  <c r="V72" i="9"/>
  <c r="AB72" i="9"/>
  <c r="AD72" i="9"/>
  <c r="V75" i="9"/>
  <c r="AB75" i="9"/>
  <c r="AD75" i="9"/>
  <c r="V76" i="9"/>
  <c r="AB76" i="9"/>
  <c r="AD76" i="9"/>
  <c r="V78" i="9"/>
  <c r="AB78" i="9"/>
  <c r="AD78" i="9"/>
  <c r="V79" i="9"/>
  <c r="AB79" i="9"/>
  <c r="AD79" i="9"/>
  <c r="V81" i="9"/>
  <c r="AB81" i="9"/>
  <c r="AD81" i="9"/>
  <c r="V84" i="9"/>
  <c r="AB84" i="9"/>
  <c r="V86" i="9"/>
  <c r="AB86" i="9"/>
  <c r="V90" i="9"/>
  <c r="AB90" i="9"/>
  <c r="V92" i="9"/>
  <c r="AB92" i="9"/>
  <c r="V95" i="9"/>
  <c r="AB95" i="9"/>
  <c r="AD95" i="9"/>
  <c r="V96" i="9"/>
  <c r="AB96" i="9"/>
  <c r="AD96" i="9"/>
  <c r="V98" i="9"/>
  <c r="AB98" i="9"/>
  <c r="AD98" i="9"/>
  <c r="V100" i="9"/>
  <c r="AB100" i="9"/>
  <c r="AD100" i="9"/>
  <c r="V103" i="9"/>
  <c r="AB103" i="9"/>
  <c r="AD103" i="9"/>
  <c r="V104" i="9"/>
  <c r="AB104" i="9"/>
  <c r="AD104" i="9"/>
  <c r="V105" i="9"/>
  <c r="AB105" i="9"/>
  <c r="AD105" i="9"/>
  <c r="V106" i="9"/>
  <c r="AB106" i="9"/>
  <c r="AD106" i="9"/>
  <c r="V111" i="9"/>
  <c r="AB111" i="9"/>
  <c r="AD111" i="9"/>
  <c r="V112" i="9"/>
  <c r="AB112" i="9"/>
  <c r="AD112" i="9"/>
  <c r="V114" i="9"/>
  <c r="AB114" i="9"/>
  <c r="AD114" i="9"/>
  <c r="V117" i="9"/>
  <c r="AB117" i="9"/>
  <c r="AD117" i="9"/>
  <c r="V121" i="9"/>
  <c r="AB121" i="9"/>
  <c r="AD121" i="9"/>
  <c r="V124" i="9"/>
  <c r="AB124" i="9"/>
  <c r="AD124" i="9"/>
  <c r="V125" i="9"/>
  <c r="AB125" i="9"/>
  <c r="AD125" i="9"/>
  <c r="V137" i="9"/>
  <c r="AB137" i="9"/>
  <c r="AD137" i="9"/>
  <c r="V138" i="9"/>
  <c r="AB138" i="9"/>
  <c r="AD138" i="9"/>
  <c r="V139" i="9"/>
  <c r="AB139" i="9"/>
  <c r="AD139" i="9"/>
  <c r="V141" i="9"/>
  <c r="AB141" i="9"/>
  <c r="AD141" i="9"/>
  <c r="V148" i="9"/>
  <c r="AB148" i="9"/>
  <c r="AD148" i="9"/>
  <c r="V153" i="9"/>
  <c r="AB153" i="9"/>
  <c r="AD153" i="9"/>
  <c r="V154" i="9"/>
  <c r="AB154" i="9"/>
  <c r="AD154" i="9"/>
  <c r="V156" i="9"/>
  <c r="AB156" i="9"/>
  <c r="AD156" i="9"/>
  <c r="V160" i="9"/>
  <c r="AB160" i="9"/>
  <c r="AD160" i="9"/>
  <c r="V163" i="9"/>
  <c r="AB163" i="9"/>
  <c r="AD163" i="9"/>
  <c r="V164" i="9"/>
  <c r="AB164" i="9"/>
  <c r="V166" i="9"/>
  <c r="AB166" i="9"/>
  <c r="V167" i="9"/>
  <c r="AB167" i="9"/>
  <c r="V169" i="9"/>
  <c r="AB169" i="9"/>
  <c r="V172" i="9"/>
  <c r="AB172" i="9"/>
  <c r="V174" i="9"/>
  <c r="AB174" i="9"/>
  <c r="V178" i="9"/>
  <c r="AB178" i="9"/>
  <c r="V180" i="9"/>
  <c r="AB180" i="9"/>
  <c r="V182" i="9"/>
  <c r="AB182" i="9"/>
  <c r="V184" i="9"/>
  <c r="AB184" i="9"/>
  <c r="V186" i="9"/>
  <c r="AB186" i="9"/>
  <c r="AB190" i="9"/>
  <c r="V190" i="9"/>
  <c r="V191" i="9"/>
  <c r="AB191" i="9"/>
  <c r="V193" i="9"/>
  <c r="AB193" i="9"/>
  <c r="V198" i="9"/>
  <c r="AB198" i="9"/>
  <c r="V199" i="9"/>
  <c r="AB199" i="9"/>
  <c r="V201" i="9"/>
  <c r="AB201" i="9"/>
  <c r="V204" i="9"/>
  <c r="AB204" i="9"/>
  <c r="V207" i="9"/>
  <c r="AB207" i="9"/>
  <c r="V209" i="9"/>
  <c r="AB209" i="9"/>
  <c r="V210" i="9"/>
  <c r="AB210" i="9"/>
  <c r="V212" i="9"/>
  <c r="AB212" i="9"/>
  <c r="V213" i="9"/>
  <c r="AB213" i="9"/>
  <c r="V214" i="9"/>
  <c r="AB214" i="9"/>
  <c r="V216" i="9"/>
  <c r="AB216" i="9"/>
  <c r="V218" i="9"/>
  <c r="AB218" i="9"/>
  <c r="V226" i="9"/>
  <c r="AB226" i="9"/>
  <c r="V228" i="9"/>
  <c r="AB228" i="9"/>
  <c r="V231" i="9"/>
  <c r="AB231" i="9"/>
  <c r="V232" i="9"/>
  <c r="AB232" i="9"/>
  <c r="AB234" i="9"/>
  <c r="V234" i="9"/>
  <c r="V236" i="9"/>
  <c r="AB236" i="9"/>
  <c r="V241" i="9"/>
  <c r="AB241" i="9"/>
  <c r="V243" i="9"/>
  <c r="AB243" i="9"/>
  <c r="V245" i="9"/>
  <c r="AB245" i="9"/>
  <c r="V247" i="9"/>
  <c r="AB247" i="9"/>
  <c r="V249" i="9"/>
  <c r="AB249" i="9"/>
  <c r="V250" i="9"/>
  <c r="AB250" i="9"/>
  <c r="V254" i="9"/>
  <c r="AB254" i="9"/>
  <c r="V256" i="9"/>
  <c r="AB256" i="9"/>
  <c r="V258" i="9"/>
  <c r="AB258" i="9"/>
  <c r="V260" i="9"/>
  <c r="AB260" i="9"/>
  <c r="V263" i="9"/>
  <c r="AB263" i="9"/>
  <c r="V265" i="9"/>
  <c r="AB265" i="9"/>
  <c r="V269" i="9"/>
  <c r="AB269" i="9"/>
  <c r="V271" i="9"/>
  <c r="AB271" i="9"/>
  <c r="V274" i="9"/>
  <c r="AB274" i="9"/>
  <c r="V276" i="9"/>
  <c r="AB276" i="9"/>
  <c r="V278" i="9"/>
  <c r="AB278" i="9"/>
  <c r="V280" i="9"/>
  <c r="AB280" i="9"/>
  <c r="V282" i="9"/>
  <c r="AB282" i="9"/>
  <c r="V285" i="9"/>
  <c r="AB285" i="9"/>
  <c r="AB290" i="9"/>
  <c r="V290" i="9"/>
  <c r="V291" i="9"/>
  <c r="AB291" i="9"/>
  <c r="V292" i="9"/>
  <c r="AB292" i="9"/>
  <c r="V294" i="9"/>
  <c r="AB294" i="9"/>
  <c r="V301" i="9"/>
  <c r="AB301" i="9"/>
  <c r="V305" i="9"/>
  <c r="AB305" i="9"/>
  <c r="V307" i="9"/>
  <c r="AB307" i="9"/>
  <c r="V315" i="9"/>
  <c r="AB315" i="9"/>
  <c r="V316" i="9"/>
  <c r="AB316" i="9"/>
  <c r="V318" i="9"/>
  <c r="AB318" i="9"/>
  <c r="V321" i="9"/>
  <c r="AB321" i="9"/>
  <c r="V322" i="9"/>
  <c r="AB322" i="9"/>
  <c r="V323" i="9"/>
  <c r="AB323" i="9"/>
  <c r="V324" i="9"/>
  <c r="AB324" i="9"/>
  <c r="V328" i="9"/>
  <c r="AB328" i="9"/>
  <c r="V331" i="9"/>
  <c r="AB331" i="9"/>
  <c r="AB334" i="9"/>
  <c r="V334" i="9"/>
  <c r="V336" i="9"/>
  <c r="AB336" i="9"/>
  <c r="V342" i="9"/>
  <c r="AB342" i="9"/>
  <c r="V344" i="9"/>
  <c r="AB344" i="9"/>
  <c r="V348" i="9"/>
  <c r="AB348" i="9"/>
  <c r="V350" i="9"/>
  <c r="AB350" i="9"/>
  <c r="V353" i="9"/>
  <c r="AB353" i="9"/>
  <c r="V355" i="9"/>
  <c r="AB355" i="9"/>
  <c r="V359" i="9"/>
  <c r="AB359" i="9"/>
  <c r="V361" i="9"/>
  <c r="AB361" i="9"/>
  <c r="V364" i="9"/>
  <c r="AB364" i="9"/>
  <c r="V366" i="9"/>
  <c r="AB366" i="9"/>
  <c r="V367" i="9"/>
  <c r="AB367" i="9"/>
  <c r="V369" i="9"/>
  <c r="AB369" i="9"/>
  <c r="V370" i="9"/>
  <c r="AB370" i="9"/>
  <c r="V372" i="9"/>
  <c r="AB372" i="9"/>
  <c r="V377" i="9"/>
  <c r="AB377" i="9"/>
  <c r="V379" i="9"/>
  <c r="AB379" i="9"/>
  <c r="V381" i="9"/>
  <c r="AB381" i="9"/>
  <c r="V382" i="9"/>
  <c r="AB382" i="9"/>
  <c r="V384" i="9"/>
  <c r="AB384" i="9"/>
  <c r="V388" i="9"/>
  <c r="AB388" i="9"/>
  <c r="V391" i="9"/>
  <c r="AB391" i="9"/>
  <c r="V396" i="9"/>
  <c r="AB396" i="9"/>
  <c r="V405" i="9"/>
  <c r="AB405" i="9"/>
  <c r="V408" i="9"/>
  <c r="AB408" i="9"/>
  <c r="V410" i="9"/>
  <c r="AB410" i="9"/>
  <c r="V412" i="9"/>
  <c r="AB412" i="9"/>
  <c r="V417" i="9"/>
  <c r="AB417" i="9"/>
  <c r="V419" i="9"/>
  <c r="AB419" i="9"/>
  <c r="V420" i="9"/>
  <c r="AB420" i="9"/>
  <c r="V423" i="9"/>
  <c r="AB423" i="9"/>
  <c r="V424" i="9"/>
  <c r="AB424" i="9"/>
  <c r="V429" i="9"/>
  <c r="AB429" i="9"/>
  <c r="V430" i="9"/>
  <c r="AB430" i="9"/>
  <c r="V431" i="9"/>
  <c r="AB431" i="9"/>
  <c r="V434" i="9"/>
  <c r="AB434" i="9"/>
  <c r="V435" i="9"/>
  <c r="AB435" i="9"/>
  <c r="V439" i="9"/>
  <c r="AB439" i="9"/>
  <c r="V441" i="9"/>
  <c r="AB441" i="9"/>
  <c r="V445" i="9"/>
  <c r="AB445" i="9"/>
  <c r="V447" i="9"/>
  <c r="AB447" i="9"/>
  <c r="V450" i="9"/>
  <c r="AB450" i="9"/>
  <c r="V451" i="9"/>
  <c r="AB451" i="9"/>
  <c r="V453" i="9"/>
  <c r="AB453" i="9"/>
  <c r="V454" i="9"/>
  <c r="AB454" i="9"/>
  <c r="V455" i="9"/>
  <c r="AB455" i="9"/>
  <c r="V456" i="9"/>
  <c r="AB456" i="9"/>
  <c r="V458" i="9"/>
  <c r="AB458" i="9"/>
  <c r="V459" i="9"/>
  <c r="AB459" i="9"/>
  <c r="V462" i="9"/>
  <c r="AB462" i="9"/>
  <c r="V466" i="9"/>
  <c r="AB466" i="9"/>
  <c r="V469" i="9"/>
  <c r="AB469" i="9"/>
  <c r="V470" i="9"/>
  <c r="AB470" i="9"/>
  <c r="V471" i="9"/>
  <c r="AB471" i="9"/>
  <c r="V475" i="9"/>
  <c r="AB475" i="9"/>
  <c r="AB478" i="9"/>
  <c r="V478" i="9"/>
  <c r="V481" i="9"/>
  <c r="AB481" i="9"/>
  <c r="V482" i="9"/>
  <c r="AB482" i="9"/>
  <c r="V483" i="9"/>
  <c r="AB483" i="9"/>
  <c r="V491" i="9"/>
  <c r="AB491" i="9"/>
  <c r="V493" i="9"/>
  <c r="AB493" i="9"/>
  <c r="V496" i="9"/>
  <c r="AB496" i="9"/>
  <c r="V498" i="9"/>
  <c r="AB498" i="9"/>
  <c r="V504" i="9"/>
  <c r="AB504" i="9"/>
  <c r="AB505" i="9"/>
  <c r="V505" i="9"/>
  <c r="V507" i="9"/>
  <c r="AB507" i="9"/>
  <c r="V508" i="9"/>
  <c r="V510" i="9"/>
  <c r="AB510" i="9"/>
  <c r="V514" i="9"/>
  <c r="AB514" i="9"/>
  <c r="AB515" i="9"/>
  <c r="V515" i="9"/>
  <c r="V518" i="9"/>
  <c r="AB518" i="9"/>
  <c r="V520" i="9"/>
  <c r="AB520" i="9"/>
  <c r="AB521" i="9"/>
  <c r="V521" i="9"/>
  <c r="V525" i="9"/>
  <c r="AB525" i="9"/>
  <c r="V528" i="9"/>
  <c r="AB528" i="9"/>
  <c r="V536" i="9"/>
  <c r="AB536" i="9"/>
  <c r="AB543" i="9"/>
  <c r="V543" i="9"/>
  <c r="V548" i="9"/>
  <c r="AB548" i="9"/>
  <c r="V550" i="9"/>
  <c r="AB550" i="9"/>
  <c r="V554" i="9"/>
  <c r="AB554" i="9"/>
  <c r="V558" i="9"/>
  <c r="AB558" i="9"/>
  <c r="AB561" i="9"/>
  <c r="V561" i="9"/>
  <c r="AB563" i="9"/>
  <c r="V563" i="9"/>
  <c r="V564" i="9"/>
  <c r="AB564" i="9"/>
  <c r="V565" i="9"/>
  <c r="AB565" i="9"/>
  <c r="V568" i="9"/>
  <c r="AB568" i="9"/>
  <c r="V572" i="9"/>
  <c r="AB572" i="9"/>
  <c r="V574" i="9"/>
  <c r="AB574" i="9"/>
  <c r="AB576" i="9"/>
  <c r="V576" i="9"/>
  <c r="V578" i="9"/>
  <c r="AB578" i="9"/>
  <c r="V579" i="9"/>
  <c r="AB579" i="9"/>
  <c r="AB581" i="9"/>
  <c r="V581" i="9"/>
  <c r="V582" i="9"/>
  <c r="AB582" i="9"/>
  <c r="V584" i="9"/>
  <c r="AB584" i="9"/>
  <c r="AB588" i="9"/>
  <c r="V588" i="9"/>
  <c r="V589" i="9"/>
  <c r="AB589" i="9"/>
  <c r="V595" i="9"/>
  <c r="AB595" i="9"/>
  <c r="V600" i="9"/>
  <c r="AB600" i="9"/>
  <c r="AB601" i="9"/>
  <c r="V601" i="9"/>
  <c r="V603" i="9"/>
  <c r="AB603" i="9"/>
  <c r="V604" i="9"/>
  <c r="AB604" i="9"/>
  <c r="V609" i="9"/>
  <c r="AB609" i="9"/>
  <c r="V619" i="9"/>
  <c r="AB619" i="9"/>
  <c r="AB623" i="9"/>
  <c r="V623" i="9"/>
  <c r="V625" i="9"/>
  <c r="AB625" i="9"/>
  <c r="V627" i="9"/>
  <c r="AB627" i="9"/>
  <c r="AB629" i="9"/>
  <c r="V629" i="9"/>
  <c r="V631" i="9"/>
  <c r="AB631" i="9"/>
  <c r="V638" i="9"/>
  <c r="AB638" i="9"/>
  <c r="V639" i="9"/>
  <c r="AB639" i="9"/>
  <c r="V641" i="9"/>
  <c r="AB641" i="9"/>
  <c r="V644" i="9"/>
  <c r="AB644" i="9"/>
  <c r="V646" i="9"/>
  <c r="AB646" i="9"/>
  <c r="AB650" i="9"/>
  <c r="V650" i="9"/>
  <c r="V652" i="9"/>
  <c r="AB652" i="9"/>
  <c r="V653" i="9"/>
  <c r="AB653" i="9"/>
  <c r="AB655" i="9"/>
  <c r="V655" i="9"/>
  <c r="V657" i="9"/>
  <c r="AB657" i="9"/>
  <c r="AB660" i="9"/>
  <c r="V660" i="9"/>
  <c r="V662" i="9"/>
  <c r="AB662" i="9"/>
  <c r="V666" i="9"/>
  <c r="AB666" i="9"/>
  <c r="AB669" i="9"/>
  <c r="V669" i="9"/>
  <c r="V670" i="9"/>
  <c r="AB670" i="9"/>
  <c r="AB672" i="9"/>
  <c r="V672" i="9"/>
  <c r="V674" i="9"/>
  <c r="AB674" i="9"/>
  <c r="V680" i="9"/>
  <c r="AB680" i="9"/>
  <c r="V681" i="9"/>
  <c r="AB681" i="9"/>
  <c r="V684" i="9"/>
  <c r="AB684" i="9"/>
  <c r="V685" i="9"/>
  <c r="AB685" i="9"/>
  <c r="AB687" i="9"/>
  <c r="V687" i="9"/>
  <c r="V688" i="9"/>
  <c r="AB688" i="9"/>
  <c r="V692" i="9"/>
  <c r="AB692" i="9"/>
  <c r="AB693" i="9"/>
  <c r="V693" i="9"/>
  <c r="V695" i="9"/>
  <c r="AB695" i="9"/>
  <c r="V696" i="9"/>
  <c r="AB696" i="9"/>
  <c r="AB699" i="9"/>
  <c r="V699" i="9"/>
  <c r="V701" i="9"/>
  <c r="AB701" i="9"/>
  <c r="V703" i="9"/>
  <c r="AB703" i="9"/>
  <c r="V707" i="9"/>
  <c r="AB707" i="9"/>
  <c r="V717" i="9"/>
  <c r="AB717" i="9"/>
  <c r="V719" i="9"/>
  <c r="AB719" i="9"/>
  <c r="V791" i="9"/>
  <c r="AB791" i="9"/>
  <c r="V793" i="9"/>
  <c r="AB793" i="9"/>
  <c r="V801" i="9"/>
  <c r="AB801" i="9"/>
  <c r="V803" i="9"/>
  <c r="AB803" i="9"/>
  <c r="V881" i="9"/>
  <c r="AB881" i="9"/>
  <c r="V883" i="9"/>
  <c r="AB883" i="9"/>
  <c r="V891" i="9"/>
  <c r="AB891" i="9"/>
  <c r="V893" i="9"/>
  <c r="AB893" i="9"/>
  <c r="V965" i="9"/>
  <c r="AB965" i="9"/>
  <c r="V967" i="9"/>
  <c r="AB967" i="9"/>
  <c r="V975" i="9"/>
  <c r="AB975" i="9"/>
  <c r="V977" i="9"/>
  <c r="AB977" i="9"/>
  <c r="V1056" i="9"/>
  <c r="AB1056" i="9"/>
  <c r="V1058" i="9"/>
  <c r="AB1058" i="9"/>
  <c r="AD1058" i="9"/>
  <c r="AD1056" i="9"/>
  <c r="AD977" i="9"/>
  <c r="AD975" i="9"/>
  <c r="AD967" i="9"/>
  <c r="AD965" i="9"/>
  <c r="AD893" i="9"/>
  <c r="AD891" i="9"/>
  <c r="AD883" i="9"/>
  <c r="AD881" i="9"/>
  <c r="AD803" i="9"/>
  <c r="AD801" i="9"/>
  <c r="AD793" i="9"/>
  <c r="AD791" i="9"/>
  <c r="AD719" i="9"/>
  <c r="AD717" i="9"/>
  <c r="AD709" i="9"/>
  <c r="AD707" i="9"/>
  <c r="AD702" i="9"/>
  <c r="AD698" i="9"/>
  <c r="AD686" i="9"/>
  <c r="AD683" i="9"/>
  <c r="AD682" i="9"/>
  <c r="AD679" i="9"/>
  <c r="AD677" i="9"/>
  <c r="AD668" i="9"/>
  <c r="AD665" i="9"/>
  <c r="AD659" i="9"/>
  <c r="AD656" i="9"/>
  <c r="AD654" i="9"/>
  <c r="AD649" i="9"/>
  <c r="AD633" i="9"/>
  <c r="AD626" i="9"/>
  <c r="AD621" i="9"/>
  <c r="AD619" i="9"/>
  <c r="AD611" i="9"/>
  <c r="AD609" i="9"/>
  <c r="AD599" i="9"/>
  <c r="AD596" i="9"/>
  <c r="AD594" i="9"/>
  <c r="AD592" i="9"/>
  <c r="AD590" i="9"/>
  <c r="AD587" i="9"/>
  <c r="AD583" i="9"/>
  <c r="AD580" i="9"/>
  <c r="AD575" i="9"/>
  <c r="AD573" i="9"/>
  <c r="AD571" i="9"/>
  <c r="AD567" i="9"/>
  <c r="AD566" i="9"/>
  <c r="AD562" i="9"/>
  <c r="AD557" i="9"/>
  <c r="AD556" i="9"/>
  <c r="AD555" i="9"/>
  <c r="AD553" i="9"/>
  <c r="AD552" i="9"/>
  <c r="AD551" i="9"/>
  <c r="AD549" i="9"/>
  <c r="AD547" i="9"/>
  <c r="AD544" i="9"/>
  <c r="AD542" i="9"/>
  <c r="AD541" i="9"/>
  <c r="AD540" i="9"/>
  <c r="AD538" i="9"/>
  <c r="AD536" i="9"/>
  <c r="AD530" i="9"/>
  <c r="AD528" i="9"/>
  <c r="AD524" i="9"/>
  <c r="AD523" i="9"/>
  <c r="AD522" i="9"/>
  <c r="AD519" i="9"/>
  <c r="AD517" i="9"/>
  <c r="AD516" i="9"/>
  <c r="AD513" i="9"/>
  <c r="AD506" i="9"/>
  <c r="AD502" i="9"/>
  <c r="AD499" i="9"/>
  <c r="AD497" i="9"/>
  <c r="AD495" i="9"/>
  <c r="AD494" i="9"/>
  <c r="AD492" i="9"/>
  <c r="AD490" i="9"/>
  <c r="AD480" i="9"/>
  <c r="AD479" i="9"/>
  <c r="AD477" i="9"/>
  <c r="AD476" i="9"/>
  <c r="AD474" i="9"/>
  <c r="AD468" i="9"/>
  <c r="AD467" i="9"/>
  <c r="AD465" i="9"/>
  <c r="AD464" i="9"/>
  <c r="AD463" i="9"/>
  <c r="AD457" i="9"/>
  <c r="AD452" i="9"/>
  <c r="AD449" i="9"/>
  <c r="AD447" i="9"/>
  <c r="AD445" i="9"/>
  <c r="AD441" i="9"/>
  <c r="AD439" i="9"/>
  <c r="AD436" i="9"/>
  <c r="AD433" i="9"/>
  <c r="AD432" i="9"/>
  <c r="AD428" i="9"/>
  <c r="AD425" i="9"/>
  <c r="AD422" i="9"/>
  <c r="AD421" i="9"/>
  <c r="AD418" i="9"/>
  <c r="AD416" i="9"/>
  <c r="AD413" i="9"/>
  <c r="AD411" i="9"/>
  <c r="AD409" i="9"/>
  <c r="AD407" i="9"/>
  <c r="AD406" i="9"/>
  <c r="AD404" i="9"/>
  <c r="AD403" i="9"/>
  <c r="AD395" i="9"/>
  <c r="AD394" i="9"/>
  <c r="AD393" i="9"/>
  <c r="AD392" i="9"/>
  <c r="AD390" i="9"/>
  <c r="AD389" i="9"/>
  <c r="AD387" i="9"/>
  <c r="AD383" i="9"/>
  <c r="AD380" i="9"/>
  <c r="AD378" i="9"/>
  <c r="AD376" i="9"/>
  <c r="AD373" i="9"/>
  <c r="AD368" i="9"/>
  <c r="AD365" i="9"/>
  <c r="AD363" i="9"/>
  <c r="AD361" i="9"/>
  <c r="AD359" i="9"/>
  <c r="AD355" i="9"/>
  <c r="AD353" i="9"/>
  <c r="AD349" i="9"/>
  <c r="AD347" i="9"/>
  <c r="AD346" i="9"/>
  <c r="AD345" i="9"/>
  <c r="AD343" i="9"/>
  <c r="AD341" i="9"/>
  <c r="AD338" i="9"/>
  <c r="AD337" i="9"/>
  <c r="AD335" i="9"/>
  <c r="AD333" i="9"/>
  <c r="AD332" i="9"/>
  <c r="AD330" i="9"/>
  <c r="AD329" i="9"/>
  <c r="AD327" i="9"/>
  <c r="AD320" i="9"/>
  <c r="AD319" i="9"/>
  <c r="AD317" i="9"/>
  <c r="AD308" i="9"/>
  <c r="AD306" i="9"/>
  <c r="AD304" i="9"/>
  <c r="AD303" i="9"/>
  <c r="AD302" i="9"/>
  <c r="AD300" i="9"/>
  <c r="AD299" i="9"/>
  <c r="AD298" i="9"/>
  <c r="AD297" i="9"/>
  <c r="AD293" i="9"/>
  <c r="AD289" i="9"/>
  <c r="AD288" i="9"/>
  <c r="AD284" i="9"/>
  <c r="AD283" i="9"/>
  <c r="AD281" i="9"/>
  <c r="AD279" i="9"/>
  <c r="AD277" i="9"/>
  <c r="AD275" i="9"/>
  <c r="AD273" i="9"/>
  <c r="AD271" i="9"/>
  <c r="AD269" i="9"/>
  <c r="AD265" i="9"/>
  <c r="AD263" i="9"/>
  <c r="AD259" i="9"/>
  <c r="AD257" i="9"/>
  <c r="AD255" i="9"/>
  <c r="AD253" i="9"/>
  <c r="AD248" i="9"/>
  <c r="AD246" i="9"/>
  <c r="AD244" i="9"/>
  <c r="AD242" i="9"/>
  <c r="AD240" i="9"/>
  <c r="AD239" i="9"/>
  <c r="AD235" i="9"/>
  <c r="AD233" i="9"/>
  <c r="AD230" i="9"/>
  <c r="AD229" i="9"/>
  <c r="AD227" i="9"/>
  <c r="AD225" i="9"/>
  <c r="AD217" i="9"/>
  <c r="AD215" i="9"/>
  <c r="AD211" i="9"/>
  <c r="AD208" i="9"/>
  <c r="AD203" i="9"/>
  <c r="AD202" i="9"/>
  <c r="AD200" i="9"/>
  <c r="AD197" i="9"/>
  <c r="AD196" i="9"/>
  <c r="AD192" i="9"/>
  <c r="AD189" i="9"/>
  <c r="AD188" i="9"/>
  <c r="AD187" i="9"/>
  <c r="AD185" i="9"/>
  <c r="AD183" i="9"/>
  <c r="AD180" i="9"/>
  <c r="AD178" i="9"/>
  <c r="AD174" i="9"/>
  <c r="AD172" i="9"/>
  <c r="AD168" i="9"/>
  <c r="AD165" i="9"/>
  <c r="AD161" i="9"/>
  <c r="AD159" i="9"/>
  <c r="AD155" i="9"/>
  <c r="AD152" i="9"/>
  <c r="AD149" i="9"/>
  <c r="AD146" i="9"/>
  <c r="AD140" i="9"/>
  <c r="AD135" i="9"/>
  <c r="AD126" i="9"/>
  <c r="AD123" i="9"/>
  <c r="AD120" i="9"/>
  <c r="AD115" i="9"/>
  <c r="AD113" i="9"/>
  <c r="AD110" i="9"/>
  <c r="AD102" i="9"/>
  <c r="AD99" i="9"/>
  <c r="AD94" i="9"/>
  <c r="AD92" i="9"/>
  <c r="AD86" i="9"/>
  <c r="AD74" i="9"/>
  <c r="AD70" i="9"/>
  <c r="AD66" i="9"/>
  <c r="AD61" i="9"/>
  <c r="AD58" i="9"/>
  <c r="AD55" i="9"/>
  <c r="AD50" i="9"/>
  <c r="AD47" i="9"/>
  <c r="AD35" i="9"/>
  <c r="AD32" i="9"/>
  <c r="AD29" i="9"/>
  <c r="AD26" i="9"/>
  <c r="AD17" i="9"/>
  <c r="AD13" i="9"/>
  <c r="AD11" i="9"/>
  <c r="AD10" i="9"/>
  <c r="AD9" i="9"/>
  <c r="AD8" i="9"/>
  <c r="AB1057" i="9"/>
  <c r="AB1050" i="9"/>
  <c r="AB1047" i="9"/>
  <c r="AB1042" i="9"/>
  <c r="AB1035" i="9"/>
  <c r="AB1033" i="9"/>
  <c r="AB1031" i="9"/>
  <c r="AB1027" i="9"/>
  <c r="AB1023" i="9"/>
  <c r="AB1021" i="9"/>
  <c r="AB1009" i="9"/>
  <c r="AB1008" i="9"/>
  <c r="AB1007" i="9"/>
  <c r="AB997" i="9"/>
  <c r="AB994" i="9"/>
  <c r="AB992" i="9"/>
  <c r="AB986" i="9"/>
  <c r="AB979" i="9"/>
  <c r="AB976" i="9"/>
  <c r="AB966" i="9"/>
  <c r="AB961" i="9"/>
  <c r="AB958" i="9"/>
  <c r="AB957" i="9"/>
  <c r="AB951" i="9"/>
  <c r="AB946" i="9"/>
  <c r="AB943" i="9"/>
  <c r="AB941" i="9"/>
  <c r="AB934" i="9"/>
  <c r="AB931" i="9"/>
  <c r="AB930" i="9"/>
  <c r="AB916" i="9"/>
  <c r="AB912" i="9"/>
  <c r="AB909" i="9"/>
  <c r="AB907" i="9"/>
  <c r="AB903" i="9"/>
  <c r="AB898" i="9"/>
  <c r="AB892" i="9"/>
  <c r="AB882" i="9"/>
  <c r="AB876" i="9"/>
  <c r="AB870" i="9"/>
  <c r="AB868" i="9"/>
  <c r="AB862" i="9"/>
  <c r="AB859" i="9"/>
  <c r="AB856" i="9"/>
  <c r="AB848" i="9"/>
  <c r="AB846" i="9"/>
  <c r="AB844" i="9"/>
  <c r="AB838" i="9"/>
  <c r="AB835" i="9"/>
  <c r="AB832" i="9"/>
  <c r="AB829" i="9"/>
  <c r="AB823" i="9"/>
  <c r="AB821" i="9"/>
  <c r="AB819" i="9"/>
  <c r="AB817" i="9"/>
  <c r="AB816" i="9"/>
  <c r="AB812" i="9"/>
  <c r="AB806" i="9"/>
  <c r="AB802" i="9"/>
  <c r="AB792" i="9"/>
  <c r="AB786" i="9"/>
  <c r="AB783" i="9"/>
  <c r="AB779" i="9"/>
  <c r="AB775" i="9"/>
  <c r="AB771" i="9"/>
  <c r="AB766" i="9"/>
  <c r="AB764" i="9"/>
  <c r="AB759" i="9"/>
  <c r="AB752" i="9"/>
  <c r="AB749" i="9"/>
  <c r="AB744" i="9"/>
  <c r="AB740" i="9"/>
  <c r="AB736" i="9"/>
  <c r="AB733" i="9"/>
  <c r="AB727" i="9"/>
  <c r="AB721" i="9"/>
  <c r="AB718" i="9"/>
  <c r="AB698" i="9"/>
  <c r="AB686" i="9"/>
  <c r="AB682" i="9"/>
  <c r="AB677" i="9"/>
  <c r="AB668" i="9"/>
  <c r="AB659" i="9"/>
  <c r="AB654" i="9"/>
  <c r="AB649" i="9"/>
  <c r="AB633" i="9"/>
  <c r="AB621" i="9"/>
  <c r="AB596" i="9"/>
  <c r="AB592" i="9"/>
  <c r="AB587" i="9"/>
  <c r="AB580" i="9"/>
  <c r="AB575" i="9"/>
  <c r="AB567" i="9"/>
  <c r="AB551" i="9"/>
  <c r="AB542" i="9"/>
  <c r="AB540" i="9"/>
  <c r="AB538" i="9"/>
  <c r="V577" i="9"/>
  <c r="AB577" i="9"/>
  <c r="V593" i="9"/>
  <c r="AB593" i="9"/>
  <c r="V602" i="9"/>
  <c r="AB602" i="9"/>
  <c r="V605" i="9"/>
  <c r="AB605" i="9"/>
  <c r="V606" i="9"/>
  <c r="AB606" i="9"/>
  <c r="V608" i="9"/>
  <c r="AB608" i="9"/>
  <c r="V610" i="9"/>
  <c r="AB610" i="9"/>
  <c r="V618" i="9"/>
  <c r="AB618" i="9"/>
  <c r="AB620" i="9"/>
  <c r="V620" i="9"/>
  <c r="V624" i="9"/>
  <c r="AB624" i="9"/>
  <c r="V628" i="9"/>
  <c r="AB628" i="9"/>
  <c r="V630" i="9"/>
  <c r="AB630" i="9"/>
  <c r="V632" i="9"/>
  <c r="AB632" i="9"/>
  <c r="V637" i="9"/>
  <c r="AB637" i="9"/>
  <c r="V640" i="9"/>
  <c r="AB640" i="9"/>
  <c r="V643" i="9"/>
  <c r="AB643" i="9"/>
  <c r="V645" i="9"/>
  <c r="AB645" i="9"/>
  <c r="V651" i="9"/>
  <c r="AB651" i="9"/>
  <c r="V658" i="9"/>
  <c r="AB658" i="9"/>
  <c r="V661" i="9"/>
  <c r="AB661" i="9"/>
  <c r="V671" i="9"/>
  <c r="AB671" i="9"/>
  <c r="V673" i="9"/>
  <c r="AB673" i="9"/>
  <c r="V678" i="9"/>
  <c r="AB678" i="9"/>
  <c r="V691" i="9"/>
  <c r="AB691" i="9"/>
  <c r="V694" i="9"/>
  <c r="AB694" i="9"/>
  <c r="V697" i="9"/>
  <c r="AB697" i="9"/>
  <c r="V700" i="9"/>
  <c r="AB700" i="9"/>
  <c r="V704" i="9"/>
  <c r="AB704" i="9"/>
  <c r="V706" i="9"/>
  <c r="AB706" i="9"/>
  <c r="V708" i="9"/>
  <c r="AB708" i="9"/>
  <c r="V716" i="9"/>
  <c r="AB716" i="9"/>
  <c r="V722" i="9"/>
  <c r="AB722" i="9"/>
  <c r="V723" i="9"/>
  <c r="AB723" i="9"/>
  <c r="V724" i="9"/>
  <c r="AB724" i="9"/>
  <c r="V726" i="9"/>
  <c r="AB726" i="9"/>
  <c r="V728" i="9"/>
  <c r="AB728" i="9"/>
  <c r="V732" i="9"/>
  <c r="AB732" i="9"/>
  <c r="V734" i="9"/>
  <c r="AB734" i="9"/>
  <c r="V737" i="9"/>
  <c r="AB737" i="9"/>
  <c r="V739" i="9"/>
  <c r="AB739" i="9"/>
  <c r="V741" i="9"/>
  <c r="AB741" i="9"/>
  <c r="V742" i="9"/>
  <c r="AB742" i="9"/>
  <c r="V743" i="9"/>
  <c r="AB743" i="9"/>
  <c r="V747" i="9"/>
  <c r="AB747" i="9"/>
  <c r="V748" i="9"/>
  <c r="AB748" i="9"/>
  <c r="V750" i="9"/>
  <c r="AB750" i="9"/>
  <c r="V751" i="9"/>
  <c r="AB751" i="9"/>
  <c r="V753" i="9"/>
  <c r="AB753" i="9"/>
  <c r="V754" i="9"/>
  <c r="AB754" i="9"/>
  <c r="V758" i="9"/>
  <c r="AB758" i="9"/>
  <c r="V760" i="9"/>
  <c r="AB760" i="9"/>
  <c r="V761" i="9"/>
  <c r="AB761" i="9"/>
  <c r="V763" i="9"/>
  <c r="AB763" i="9"/>
  <c r="V765" i="9"/>
  <c r="AB765" i="9"/>
  <c r="V767" i="9"/>
  <c r="AB767" i="9"/>
  <c r="V773" i="9"/>
  <c r="AB773" i="9"/>
  <c r="V774" i="9"/>
  <c r="AB774" i="9"/>
  <c r="V780" i="9"/>
  <c r="AB780" i="9"/>
  <c r="V782" i="9"/>
  <c r="AB782" i="9"/>
  <c r="V784" i="9"/>
  <c r="AB784" i="9"/>
  <c r="V785" i="9"/>
  <c r="AB785" i="9"/>
  <c r="V787" i="9"/>
  <c r="AB787" i="9"/>
  <c r="V805" i="9"/>
  <c r="AB805" i="9"/>
  <c r="V807" i="9"/>
  <c r="AB807" i="9"/>
  <c r="V808" i="9"/>
  <c r="AB808" i="9"/>
  <c r="V811" i="9"/>
  <c r="AB811" i="9"/>
  <c r="V813" i="9"/>
  <c r="AB813" i="9"/>
  <c r="V818" i="9"/>
  <c r="AB818" i="9"/>
  <c r="V822" i="9"/>
  <c r="AB822" i="9"/>
  <c r="V824" i="9"/>
  <c r="AB824" i="9"/>
  <c r="V828" i="9"/>
  <c r="AB828" i="9"/>
  <c r="V830" i="9"/>
  <c r="AB830" i="9"/>
  <c r="V834" i="9"/>
  <c r="AB834" i="9"/>
  <c r="V836" i="9"/>
  <c r="AB836" i="9"/>
  <c r="V841" i="9"/>
  <c r="AB841" i="9"/>
  <c r="V843" i="9"/>
  <c r="AB843" i="9"/>
  <c r="V850" i="9"/>
  <c r="AB850" i="9"/>
  <c r="V854" i="9"/>
  <c r="AB854" i="9"/>
  <c r="V858" i="9"/>
  <c r="AB858" i="9"/>
  <c r="V861" i="9"/>
  <c r="AB861" i="9"/>
  <c r="V863" i="9"/>
  <c r="AB863" i="9"/>
  <c r="V867" i="9"/>
  <c r="AB867" i="9"/>
  <c r="V871" i="9"/>
  <c r="AB871" i="9"/>
  <c r="V873" i="9"/>
  <c r="AB873" i="9"/>
  <c r="V874" i="9"/>
  <c r="AB874" i="9"/>
  <c r="V875" i="9"/>
  <c r="AB875" i="9"/>
  <c r="V877" i="9"/>
  <c r="AB877" i="9"/>
  <c r="V895" i="9"/>
  <c r="AB895" i="9"/>
  <c r="V897" i="9"/>
  <c r="AB897" i="9"/>
  <c r="V899" i="9"/>
  <c r="AB899" i="9"/>
  <c r="V900" i="9"/>
  <c r="AB900" i="9"/>
  <c r="V902" i="9"/>
  <c r="AB902" i="9"/>
  <c r="V906" i="9"/>
  <c r="AB906" i="9"/>
  <c r="V908" i="9"/>
  <c r="AB908" i="9"/>
  <c r="V910" i="9"/>
  <c r="AB910" i="9"/>
  <c r="V913" i="9"/>
  <c r="AB913" i="9"/>
  <c r="V915" i="9"/>
  <c r="AB915" i="9"/>
  <c r="V921" i="9"/>
  <c r="AB921" i="9"/>
  <c r="V924" i="9"/>
  <c r="AB924" i="9"/>
  <c r="V928" i="9"/>
  <c r="AB928" i="9"/>
  <c r="V932" i="9"/>
  <c r="AB932" i="9"/>
  <c r="V933" i="9"/>
  <c r="AB933" i="9"/>
  <c r="V936" i="9"/>
  <c r="AB936" i="9"/>
  <c r="V937" i="9"/>
  <c r="AB937" i="9"/>
  <c r="V940" i="9"/>
  <c r="AB940" i="9"/>
  <c r="V944" i="9"/>
  <c r="AB944" i="9"/>
  <c r="V945" i="9"/>
  <c r="AB945" i="9"/>
  <c r="V947" i="9"/>
  <c r="AB947" i="9"/>
  <c r="V952" i="9"/>
  <c r="AB952" i="9"/>
  <c r="V954" i="9"/>
  <c r="AB954" i="9"/>
  <c r="V956" i="9"/>
  <c r="AB956" i="9"/>
  <c r="V960" i="9"/>
  <c r="AB960" i="9"/>
  <c r="V962" i="9"/>
  <c r="AB962" i="9"/>
  <c r="V980" i="9"/>
  <c r="AB980" i="9"/>
  <c r="V982" i="9"/>
  <c r="AB982" i="9"/>
  <c r="V984" i="9"/>
  <c r="AB984" i="9"/>
  <c r="V987" i="9"/>
  <c r="AB987" i="9"/>
  <c r="V990" i="9"/>
  <c r="AB990" i="9"/>
  <c r="V991" i="9"/>
  <c r="AB991" i="9"/>
  <c r="V993" i="9"/>
  <c r="AB993" i="9"/>
  <c r="V995" i="9"/>
  <c r="AB995" i="9"/>
  <c r="V998" i="9"/>
  <c r="AB998" i="9"/>
  <c r="V1000" i="9"/>
  <c r="AB1000" i="9"/>
  <c r="V1002" i="9"/>
  <c r="AB1002" i="9"/>
  <c r="V1010" i="9"/>
  <c r="AB1010" i="9"/>
  <c r="V1013" i="9"/>
  <c r="AB1013" i="9"/>
  <c r="V1016" i="9"/>
  <c r="AB1016" i="9"/>
  <c r="V1017" i="9"/>
  <c r="AB1017" i="9"/>
  <c r="V1018" i="9"/>
  <c r="AB1018" i="9"/>
  <c r="V1020" i="9"/>
  <c r="AB1020" i="9"/>
  <c r="V1022" i="9"/>
  <c r="AB1022" i="9"/>
  <c r="V1028" i="9"/>
  <c r="AB1028" i="9"/>
  <c r="V1030" i="9"/>
  <c r="AB1030" i="9"/>
  <c r="V1032" i="9"/>
  <c r="AB1032" i="9"/>
  <c r="V1034" i="9"/>
  <c r="AB1034" i="9"/>
  <c r="V1036" i="9"/>
  <c r="AB1036" i="9"/>
  <c r="V1037" i="9"/>
  <c r="AB1037" i="9"/>
  <c r="V1041" i="9"/>
  <c r="AB1041" i="9"/>
  <c r="V1043" i="9"/>
  <c r="AB1043" i="9"/>
  <c r="V1045" i="9"/>
  <c r="AB1045" i="9"/>
  <c r="V1046" i="9"/>
  <c r="AB1046" i="9"/>
  <c r="V1048" i="9"/>
  <c r="AB1048" i="9"/>
  <c r="V1052" i="9"/>
  <c r="AB1052" i="9"/>
  <c r="V1053" i="9"/>
  <c r="AB1053" i="9"/>
  <c r="AD1057" i="9"/>
  <c r="AD1055" i="9"/>
  <c r="AD1051" i="9"/>
  <c r="AD1050" i="9"/>
  <c r="AD1049" i="9"/>
  <c r="AD1047" i="9"/>
  <c r="AD1044" i="9"/>
  <c r="AD1042" i="9"/>
  <c r="AD1038" i="9"/>
  <c r="AD1035" i="9"/>
  <c r="AD1033" i="9"/>
  <c r="AD1031" i="9"/>
  <c r="AD1029" i="9"/>
  <c r="AD1027" i="9"/>
  <c r="AD1024" i="9"/>
  <c r="AD1023" i="9"/>
  <c r="AD1021" i="9"/>
  <c r="AD1019" i="9"/>
  <c r="AD1012" i="9"/>
  <c r="AD1011" i="9"/>
  <c r="AD1009" i="9"/>
  <c r="AD1008" i="9"/>
  <c r="AD1007" i="9"/>
  <c r="AD1003" i="9"/>
  <c r="AD999" i="9"/>
  <c r="AD997" i="9"/>
  <c r="AD996" i="9"/>
  <c r="AD994" i="9"/>
  <c r="AD992" i="9"/>
  <c r="AD986" i="9"/>
  <c r="AD985" i="9"/>
  <c r="AD983" i="9"/>
  <c r="AD981" i="9"/>
  <c r="AD979" i="9"/>
  <c r="AD976" i="9"/>
  <c r="AD974" i="9"/>
  <c r="AD966" i="9"/>
  <c r="AD964" i="9"/>
  <c r="AD961" i="9"/>
  <c r="AD959" i="9"/>
  <c r="AD958" i="9"/>
  <c r="AD957" i="9"/>
  <c r="AD955" i="9"/>
  <c r="AD953" i="9"/>
  <c r="AD951" i="9"/>
  <c r="AD948" i="9"/>
  <c r="AD946" i="9"/>
  <c r="AD943" i="9"/>
  <c r="AD942" i="9"/>
  <c r="AD941" i="9"/>
  <c r="AD935" i="9"/>
  <c r="AD934" i="9"/>
  <c r="AD931" i="9"/>
  <c r="AD930" i="9"/>
  <c r="AD929" i="9"/>
  <c r="AD925" i="9"/>
  <c r="AD923" i="9"/>
  <c r="AD922" i="9"/>
  <c r="AD920" i="9"/>
  <c r="AD917" i="9"/>
  <c r="AD916" i="9"/>
  <c r="AD914" i="9"/>
  <c r="AD912" i="9"/>
  <c r="AD911" i="9"/>
  <c r="AD909" i="9"/>
  <c r="AD907" i="9"/>
  <c r="AD903" i="9"/>
  <c r="AD901" i="9"/>
  <c r="AD898" i="9"/>
  <c r="AD896" i="9"/>
  <c r="AD892" i="9"/>
  <c r="AD890" i="9"/>
  <c r="AD882" i="9"/>
  <c r="AD880" i="9"/>
  <c r="AD878" i="9"/>
  <c r="AD876" i="9"/>
  <c r="AD872" i="9"/>
  <c r="AD870" i="9"/>
  <c r="AD869" i="9"/>
  <c r="AD868" i="9"/>
  <c r="AD864" i="9"/>
  <c r="AD862" i="9"/>
  <c r="AD860" i="9"/>
  <c r="AD859" i="9"/>
  <c r="AD857" i="9"/>
  <c r="AD856" i="9"/>
  <c r="AD855" i="9"/>
  <c r="AD851" i="9"/>
  <c r="AD849" i="9"/>
  <c r="AD848" i="9"/>
  <c r="AD847" i="9"/>
  <c r="AD846" i="9"/>
  <c r="AD845" i="9"/>
  <c r="AD844" i="9"/>
  <c r="AD842" i="9"/>
  <c r="AD838" i="9"/>
  <c r="AD835" i="9"/>
  <c r="AD833" i="9"/>
  <c r="AD832" i="9"/>
  <c r="AD829" i="9"/>
  <c r="AD825" i="9"/>
  <c r="AD823" i="9"/>
  <c r="AD821" i="9"/>
  <c r="AD820" i="9"/>
  <c r="AD819" i="9"/>
  <c r="AD817" i="9"/>
  <c r="AD816" i="9"/>
  <c r="AD812" i="9"/>
  <c r="AD810" i="9"/>
  <c r="AD809" i="9"/>
  <c r="AD806" i="9"/>
  <c r="AD802" i="9"/>
  <c r="AD800" i="9"/>
  <c r="AD792" i="9"/>
  <c r="AD790" i="9"/>
  <c r="AD788" i="9"/>
  <c r="AD786" i="9"/>
  <c r="AD783" i="9"/>
  <c r="AD781" i="9"/>
  <c r="AD779" i="9"/>
  <c r="AD776" i="9"/>
  <c r="AD775" i="9"/>
  <c r="AD772" i="9"/>
  <c r="AD771" i="9"/>
  <c r="AD768" i="9"/>
  <c r="AD766" i="9"/>
  <c r="AD764" i="9"/>
  <c r="AD762" i="9"/>
  <c r="AD759" i="9"/>
  <c r="AD757" i="9"/>
  <c r="AD752" i="9"/>
  <c r="AD749" i="9"/>
  <c r="AD744" i="9"/>
  <c r="AD740" i="9"/>
  <c r="AD738" i="9"/>
  <c r="AD736" i="9"/>
  <c r="AD735" i="9"/>
  <c r="AD733" i="9"/>
  <c r="AD729" i="9"/>
  <c r="AD727" i="9"/>
  <c r="AD721" i="9"/>
  <c r="AD718" i="9"/>
  <c r="AD716" i="9"/>
  <c r="AD708" i="9"/>
  <c r="AD706" i="9"/>
  <c r="AD703" i="9"/>
  <c r="AD701" i="9"/>
  <c r="AD699" i="9"/>
  <c r="AD696" i="9"/>
  <c r="AD695" i="9"/>
  <c r="AD693" i="9"/>
  <c r="AD692" i="9"/>
  <c r="AD688" i="9"/>
  <c r="AD687" i="9"/>
  <c r="AD685" i="9"/>
  <c r="AD684" i="9"/>
  <c r="AD681" i="9"/>
  <c r="AD680" i="9"/>
  <c r="AD674" i="9"/>
  <c r="AD672" i="9"/>
  <c r="AD670" i="9"/>
  <c r="AD669" i="9"/>
  <c r="AD666" i="9"/>
  <c r="AD662" i="9"/>
  <c r="AD660" i="9"/>
  <c r="AD657" i="9"/>
  <c r="AD655" i="9"/>
  <c r="AD653" i="9"/>
  <c r="AD652" i="9"/>
  <c r="AD650" i="9"/>
  <c r="AD646" i="9"/>
  <c r="AD644" i="9"/>
  <c r="AD641" i="9"/>
  <c r="AD639" i="9"/>
  <c r="AD638" i="9"/>
  <c r="AD631" i="9"/>
  <c r="AD629" i="9"/>
  <c r="AD627" i="9"/>
  <c r="AD625" i="9"/>
  <c r="AD623" i="9"/>
  <c r="AD620" i="9"/>
  <c r="AD610" i="9"/>
  <c r="AD608" i="9"/>
  <c r="AD604" i="9"/>
  <c r="AD603" i="9"/>
  <c r="AD601" i="9"/>
  <c r="AD600" i="9"/>
  <c r="AD595" i="9"/>
  <c r="AD589" i="9"/>
  <c r="AD588" i="9"/>
  <c r="AD584" i="9"/>
  <c r="AD582" i="9"/>
  <c r="AD581" i="9"/>
  <c r="AD579" i="9"/>
  <c r="AD578" i="9"/>
  <c r="AD576" i="9"/>
  <c r="AD574" i="9"/>
  <c r="AD572" i="9"/>
  <c r="AD568" i="9"/>
  <c r="AD565" i="9"/>
  <c r="AD564" i="9"/>
  <c r="AD563" i="9"/>
  <c r="AD561" i="9"/>
  <c r="AD558" i="9"/>
  <c r="AD554" i="9"/>
  <c r="AD550" i="9"/>
  <c r="AD548" i="9"/>
  <c r="AD543" i="9"/>
  <c r="AD537" i="9"/>
  <c r="AD535" i="9"/>
  <c r="AD529" i="9"/>
  <c r="AD527" i="9"/>
  <c r="AD525" i="9"/>
  <c r="AD521" i="9"/>
  <c r="AD520" i="9"/>
  <c r="AD518" i="9"/>
  <c r="AD515" i="9"/>
  <c r="AD514" i="9"/>
  <c r="AD510" i="9"/>
  <c r="AD507" i="9"/>
  <c r="AD505" i="9"/>
  <c r="AD504" i="9"/>
  <c r="AD498" i="9"/>
  <c r="AD496" i="9"/>
  <c r="AD493" i="9"/>
  <c r="AD491" i="9"/>
  <c r="AD483" i="9"/>
  <c r="AD482" i="9"/>
  <c r="AD481" i="9"/>
  <c r="AD478" i="9"/>
  <c r="AD475" i="9"/>
  <c r="AD471" i="9"/>
  <c r="AD470" i="9"/>
  <c r="AD469" i="9"/>
  <c r="AD466" i="9"/>
  <c r="AD462" i="9"/>
  <c r="AD459" i="9"/>
  <c r="AD458" i="9"/>
  <c r="AD456" i="9"/>
  <c r="AD455" i="9"/>
  <c r="AD454" i="9"/>
  <c r="AD453" i="9"/>
  <c r="AD451" i="9"/>
  <c r="AD450" i="9"/>
  <c r="AD446" i="9"/>
  <c r="AD444" i="9"/>
  <c r="AD440" i="9"/>
  <c r="AD438" i="9"/>
  <c r="AD435" i="9"/>
  <c r="AD434" i="9"/>
  <c r="AD431" i="9"/>
  <c r="AD430" i="9"/>
  <c r="AD429" i="9"/>
  <c r="AD424" i="9"/>
  <c r="AD423" i="9"/>
  <c r="AD420" i="9"/>
  <c r="AD419" i="9"/>
  <c r="AD417" i="9"/>
  <c r="AD412" i="9"/>
  <c r="AD410" i="9"/>
  <c r="AD408" i="9"/>
  <c r="AD405" i="9"/>
  <c r="AD396" i="9"/>
  <c r="AD391" i="9"/>
  <c r="AD388" i="9"/>
  <c r="AD384" i="9"/>
  <c r="AD382" i="9"/>
  <c r="AD381" i="9"/>
  <c r="AD379" i="9"/>
  <c r="AD377" i="9"/>
  <c r="AD372" i="9"/>
  <c r="AD370" i="9"/>
  <c r="AD369" i="9"/>
  <c r="AD367" i="9"/>
  <c r="AD366" i="9"/>
  <c r="AD364" i="9"/>
  <c r="AD360" i="9"/>
  <c r="AD358" i="9"/>
  <c r="AD354" i="9"/>
  <c r="AD352" i="9"/>
  <c r="AD350" i="9"/>
  <c r="AD348" i="9"/>
  <c r="AD344" i="9"/>
  <c r="AD342" i="9"/>
  <c r="AD336" i="9"/>
  <c r="AD334" i="9"/>
  <c r="AD331" i="9"/>
  <c r="AD328" i="9"/>
  <c r="AD324" i="9"/>
  <c r="AD323" i="9"/>
  <c r="AD322" i="9"/>
  <c r="AD321" i="9"/>
  <c r="AD318" i="9"/>
  <c r="AD316" i="9"/>
  <c r="AD315" i="9"/>
  <c r="AD307" i="9"/>
  <c r="AD305" i="9"/>
  <c r="AD301" i="9"/>
  <c r="AD294" i="9"/>
  <c r="AD292" i="9"/>
  <c r="AD291" i="9"/>
  <c r="AD290" i="9"/>
  <c r="AD285" i="9"/>
  <c r="AD282" i="9"/>
  <c r="AD280" i="9"/>
  <c r="AD278" i="9"/>
  <c r="AD276" i="9"/>
  <c r="AD274" i="9"/>
  <c r="AD270" i="9"/>
  <c r="AD268" i="9"/>
  <c r="AD264" i="9"/>
  <c r="AD262" i="9"/>
  <c r="AD260" i="9"/>
  <c r="AD258" i="9"/>
  <c r="AD256" i="9"/>
  <c r="AD254" i="9"/>
  <c r="AD250" i="9"/>
  <c r="AD249" i="9"/>
  <c r="AD247" i="9"/>
  <c r="AD245" i="9"/>
  <c r="AD243" i="9"/>
  <c r="AD241" i="9"/>
  <c r="AD236" i="9"/>
  <c r="AD234" i="9"/>
  <c r="AD232" i="9"/>
  <c r="AD231" i="9"/>
  <c r="AD228" i="9"/>
  <c r="AD226" i="9"/>
  <c r="AD218" i="9"/>
  <c r="AD216" i="9"/>
  <c r="AD214" i="9"/>
  <c r="AD213" i="9"/>
  <c r="AD212" i="9"/>
  <c r="AD210" i="9"/>
  <c r="AD209" i="9"/>
  <c r="AD207" i="9"/>
  <c r="AD204" i="9"/>
  <c r="AD201" i="9"/>
  <c r="AD199" i="9"/>
  <c r="AD198" i="9"/>
  <c r="AD193" i="9"/>
  <c r="AD191" i="9"/>
  <c r="AD190" i="9"/>
  <c r="AD186" i="9"/>
  <c r="AD184" i="9"/>
  <c r="AD182" i="9"/>
  <c r="AD179" i="9"/>
  <c r="AD177" i="9"/>
  <c r="AD173" i="9"/>
  <c r="AD171" i="9"/>
  <c r="AD169" i="9"/>
  <c r="AD167" i="9"/>
  <c r="AD166" i="9"/>
  <c r="AD164" i="9"/>
  <c r="AD162" i="9"/>
  <c r="AD151" i="9"/>
  <c r="AD150" i="9"/>
  <c r="AD147" i="9"/>
  <c r="AD136" i="9"/>
  <c r="AD128" i="9"/>
  <c r="AD127" i="9"/>
  <c r="AD122" i="9"/>
  <c r="AD116" i="9"/>
  <c r="AD109" i="9"/>
  <c r="AD97" i="9"/>
  <c r="AD90" i="9"/>
  <c r="AD84" i="9"/>
  <c r="AD80" i="9"/>
  <c r="AD77" i="9"/>
  <c r="AD73" i="9"/>
  <c r="AD64" i="9"/>
  <c r="AD62" i="9"/>
  <c r="AD48" i="9"/>
  <c r="AD46" i="9"/>
  <c r="AD44" i="9"/>
  <c r="AD36" i="9"/>
  <c r="AD34" i="9"/>
  <c r="AD28" i="9"/>
  <c r="AD24" i="9"/>
  <c r="AD20" i="9"/>
  <c r="AD18" i="9"/>
  <c r="AD14" i="9"/>
  <c r="AD4" i="9"/>
  <c r="AB1055" i="9"/>
  <c r="AB1051" i="9"/>
  <c r="AB1049" i="9"/>
  <c r="AB1044" i="9"/>
  <c r="AB1038" i="9"/>
  <c r="AB1029" i="9"/>
  <c r="AB1024" i="9"/>
  <c r="AB1019" i="9"/>
  <c r="AB1012" i="9"/>
  <c r="AB1011" i="9"/>
  <c r="AB1003" i="9"/>
  <c r="AB999" i="9"/>
  <c r="AB996" i="9"/>
  <c r="AB985" i="9"/>
  <c r="AB983" i="9"/>
  <c r="AB981" i="9"/>
  <c r="AB974" i="9"/>
  <c r="AB964" i="9"/>
  <c r="AB959" i="9"/>
  <c r="AB955" i="9"/>
  <c r="AB953" i="9"/>
  <c r="AB948" i="9"/>
  <c r="AB942" i="9"/>
  <c r="AB935" i="9"/>
  <c r="AB929" i="9"/>
  <c r="AB925" i="9"/>
  <c r="AB923" i="9"/>
  <c r="AB922" i="9"/>
  <c r="AB920" i="9"/>
  <c r="AB917" i="9"/>
  <c r="AB914" i="9"/>
  <c r="AB911" i="9"/>
  <c r="AB901" i="9"/>
  <c r="AB896" i="9"/>
  <c r="AB890" i="9"/>
  <c r="AB880" i="9"/>
  <c r="AB878" i="9"/>
  <c r="AB872" i="9"/>
  <c r="AB869" i="9"/>
  <c r="AB864" i="9"/>
  <c r="AB860" i="9"/>
  <c r="AB857" i="9"/>
  <c r="AB855" i="9"/>
  <c r="AB851" i="9"/>
  <c r="AB849" i="9"/>
  <c r="AB847" i="9"/>
  <c r="AB845" i="9"/>
  <c r="AB842" i="9"/>
  <c r="AB833" i="9"/>
  <c r="AB825" i="9"/>
  <c r="AB820" i="9"/>
  <c r="AB810" i="9"/>
  <c r="AB809" i="9"/>
  <c r="AB800" i="9"/>
  <c r="AB790" i="9"/>
  <c r="AB788" i="9"/>
  <c r="AB781" i="9"/>
  <c r="AB776" i="9"/>
  <c r="AB772" i="9"/>
  <c r="AB768" i="9"/>
  <c r="AB762" i="9"/>
  <c r="AB757" i="9"/>
  <c r="AB738" i="9"/>
  <c r="AB735" i="9"/>
  <c r="AB729" i="9"/>
  <c r="AB709" i="9"/>
  <c r="AB702" i="9"/>
  <c r="AB683" i="9"/>
  <c r="AB679" i="9"/>
  <c r="AB665" i="9"/>
  <c r="AB656" i="9"/>
  <c r="AB626" i="9"/>
  <c r="AB611" i="9"/>
  <c r="AB599" i="9"/>
  <c r="AB594" i="9"/>
  <c r="AB590" i="9"/>
  <c r="AB583" i="9"/>
  <c r="AB571" i="9"/>
  <c r="AB556" i="9"/>
  <c r="AB553" i="9"/>
  <c r="AB547" i="9"/>
  <c r="AB530" i="9"/>
  <c r="AB523" i="9"/>
  <c r="AB517" i="9"/>
  <c r="AB513" i="9"/>
  <c r="AB506" i="9"/>
</calcChain>
</file>

<file path=xl/comments1.xml><?xml version="1.0" encoding="utf-8"?>
<comments xmlns="http://schemas.openxmlformats.org/spreadsheetml/2006/main">
  <authors>
    <author/>
  </authors>
  <commentList>
    <comment ref="E68" authorId="0" shape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 shape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  <author>Windows User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K1" authorId="1" shape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  <comment ref="CE1" authorId="2" shapeId="0">
      <text>
        <r>
          <rPr>
            <b/>
            <sz val="9"/>
            <color indexed="81"/>
            <rFont val="Tahoma"/>
            <family val="2"/>
          </rPr>
          <t>SHervieu:</t>
        </r>
        <r>
          <rPr>
            <sz val="9"/>
            <color indexed="81"/>
            <rFont val="Tahoma"/>
            <family val="2"/>
          </rPr>
          <t xml:space="preserve">
date de pesée MF</t>
        </r>
      </text>
    </comment>
    <comment ref="CH1" authorId="2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Cylinrosporiose</t>
        </r>
      </text>
    </comment>
    <comment ref="CI1" authorId="2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Dry Stem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<sst xmlns="http://schemas.openxmlformats.org/spreadsheetml/2006/main" count="18328" uniqueCount="8715">
  <si>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</si>
  <si>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</si>
  <si>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</si>
  <si>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</si>
  <si>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</si>
  <si>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</si>
  <si>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</si>
  <si>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</si>
  <si>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</si>
  <si>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</si>
  <si>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</si>
  <si>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</si>
  <si>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</si>
  <si>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</si>
  <si>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</si>
  <si>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</si>
  <si>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</si>
  <si>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</si>
  <si>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</si>
  <si>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</si>
  <si>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</si>
  <si>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</si>
  <si>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</si>
  <si>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</si>
  <si>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</si>
  <si>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</si>
  <si>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</si>
  <si>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</si>
  <si>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</si>
  <si>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</si>
  <si>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</si>
  <si>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</si>
  <si>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</si>
  <si>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</si>
  <si>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</si>
  <si>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</si>
  <si>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</si>
  <si>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</si>
  <si>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</si>
  <si>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</si>
  <si>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</si>
  <si>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</si>
  <si>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</si>
  <si>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</si>
  <si>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</si>
  <si>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</si>
  <si>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</si>
  <si>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</si>
  <si>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</si>
  <si>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</si>
  <si>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</si>
  <si>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</si>
  <si>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</si>
  <si>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</si>
  <si>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</si>
  <si>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</si>
  <si>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</si>
  <si>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</si>
  <si>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</si>
  <si>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</si>
  <si>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</si>
  <si>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</si>
  <si>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</si>
  <si>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</si>
  <si>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</si>
  <si>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</si>
  <si>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</si>
  <si>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</si>
  <si>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</si>
  <si>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</si>
  <si>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</si>
  <si>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</si>
  <si>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</si>
  <si>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</si>
  <si>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</si>
  <si>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</si>
  <si>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</si>
  <si>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</si>
  <si>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</si>
  <si>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</si>
  <si>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</si>
  <si>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</si>
  <si>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</si>
  <si>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</si>
  <si>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</si>
  <si>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</si>
  <si>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</si>
  <si>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</si>
  <si>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</si>
  <si>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</si>
  <si>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</si>
  <si>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</si>
  <si>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</si>
  <si>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</si>
  <si>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</si>
  <si>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</si>
  <si>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</si>
  <si>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</si>
  <si>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</si>
  <si>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</si>
  <si>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</si>
  <si>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</si>
  <si>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</si>
  <si>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</si>
  <si>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</si>
  <si>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</si>
  <si>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</si>
  <si>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</si>
  <si>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</si>
  <si>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</si>
  <si>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</si>
  <si>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</si>
  <si>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</si>
  <si>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</si>
  <si>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</si>
  <si>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</si>
  <si>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</si>
  <si>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</si>
  <si>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</si>
  <si>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</si>
  <si>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</si>
  <si>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</si>
  <si>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</si>
  <si>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</si>
  <si>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</si>
  <si>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</si>
  <si>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</si>
  <si>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</si>
  <si>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</si>
  <si>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</si>
  <si>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</si>
  <si>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</si>
  <si>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</si>
  <si>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</si>
  <si>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</si>
  <si>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</si>
  <si>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</si>
  <si>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</si>
  <si>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</si>
  <si>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</si>
  <si>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</si>
  <si>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</si>
  <si>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</si>
  <si>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</si>
  <si>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</si>
  <si>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</si>
  <si>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</si>
  <si>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</si>
  <si>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</si>
  <si>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</si>
  <si>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</si>
  <si>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</si>
  <si>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</si>
  <si>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</si>
  <si>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</si>
  <si>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</si>
  <si>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</si>
  <si>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</si>
  <si>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</si>
  <si>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</si>
  <si>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</si>
  <si>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</si>
  <si>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</si>
  <si>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</si>
  <si>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</si>
  <si>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</si>
  <si>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</si>
  <si>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</si>
  <si>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</si>
  <si>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</si>
  <si>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</si>
  <si>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</si>
  <si>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</si>
  <si>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</si>
  <si>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</si>
  <si>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</si>
  <si>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</si>
  <si>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</si>
  <si>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</si>
  <si>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</si>
  <si>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</si>
  <si>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</si>
  <si>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</si>
  <si>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</si>
  <si>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</si>
  <si>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</si>
  <si>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</si>
  <si>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</si>
  <si>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</si>
  <si>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</si>
  <si>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</si>
  <si>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</si>
  <si>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</si>
  <si>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</si>
  <si>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</si>
  <si>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</si>
  <si>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</si>
  <si>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</si>
  <si>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</si>
  <si>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</si>
  <si>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</si>
  <si>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</si>
  <si>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</si>
  <si>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</si>
  <si>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</si>
  <si>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</si>
  <si>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</si>
  <si>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</si>
  <si>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</si>
  <si>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</si>
  <si>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</si>
  <si>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</si>
  <si>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</si>
  <si>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</si>
  <si>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</si>
  <si>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</si>
  <si>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</si>
  <si>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</si>
  <si>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</si>
  <si>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</si>
  <si>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</si>
  <si>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</si>
  <si>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</si>
  <si>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</si>
  <si>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</si>
  <si>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</si>
  <si>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</si>
  <si>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</si>
  <si>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</si>
  <si>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</si>
  <si>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</si>
  <si>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</si>
  <si>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</si>
  <si>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</si>
  <si>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</si>
  <si>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</si>
  <si>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</si>
  <si>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</si>
  <si>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</si>
  <si>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</si>
  <si>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</si>
  <si>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</si>
  <si>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</si>
  <si>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</si>
  <si>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</si>
  <si>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</si>
  <si>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</si>
  <si>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</si>
  <si>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</si>
  <si>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</si>
  <si>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</si>
  <si>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</si>
  <si>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</si>
  <si>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</si>
  <si>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</si>
  <si>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</si>
  <si>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</si>
  <si>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</si>
  <si>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</si>
  <si>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</si>
  <si>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</si>
  <si>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</si>
  <si>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</si>
  <si>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</si>
  <si>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</si>
  <si>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</si>
  <si>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</si>
  <si>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</si>
  <si>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</si>
  <si>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</si>
  <si>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</si>
  <si>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</si>
  <si>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</si>
  <si>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</si>
  <si>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</si>
  <si>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</si>
  <si>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</si>
  <si>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</si>
  <si>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</si>
  <si>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</si>
  <si>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</si>
  <si>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</si>
  <si>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</si>
  <si>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</si>
  <si>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</si>
  <si>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</si>
  <si>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</si>
  <si>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</si>
  <si>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</si>
  <si>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</si>
  <si>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</si>
  <si>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</si>
  <si>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</si>
  <si>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</si>
  <si>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</si>
  <si>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</si>
  <si>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</si>
  <si>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</si>
  <si>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</si>
  <si>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</si>
  <si>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</si>
  <si>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</si>
  <si>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</si>
  <si>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</si>
  <si>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</si>
  <si>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</si>
  <si>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</si>
  <si>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</si>
  <si>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</si>
  <si>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</si>
  <si>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</si>
  <si>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</si>
  <si>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</si>
  <si>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</si>
  <si>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</si>
  <si>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</si>
  <si>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</si>
  <si>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</si>
  <si>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</si>
  <si>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</si>
  <si>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</si>
  <si>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</si>
  <si>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</si>
  <si>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</si>
  <si>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</si>
  <si>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</si>
  <si>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</si>
  <si>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</si>
  <si>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</si>
  <si>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</si>
  <si>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</si>
  <si>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</si>
  <si>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</si>
  <si>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</si>
  <si>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</si>
  <si>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</si>
  <si>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</si>
  <si>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</si>
  <si>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</si>
  <si>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</si>
  <si>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</si>
  <si>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</si>
  <si>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</si>
  <si>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</si>
  <si>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</si>
  <si>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</si>
  <si>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</si>
  <si>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</si>
  <si>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</si>
  <si>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</si>
  <si>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</si>
  <si>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</si>
  <si>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</si>
  <si>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</si>
  <si>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</si>
  <si>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</si>
  <si>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</si>
  <si>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</si>
  <si>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</si>
  <si>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</si>
  <si>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</si>
  <si>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</si>
  <si>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</si>
  <si>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</si>
  <si>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</si>
  <si>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</si>
  <si>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</si>
  <si>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</si>
  <si>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</si>
  <si>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</si>
  <si>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</si>
  <si>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</si>
  <si>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</si>
  <si>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</si>
  <si>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</si>
  <si>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</si>
  <si>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</si>
  <si>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</si>
  <si>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</si>
  <si>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</si>
  <si>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</si>
  <si>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</si>
  <si>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</si>
  <si>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</si>
  <si>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</si>
  <si>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</si>
  <si>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</si>
  <si>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</si>
  <si>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</si>
  <si>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</si>
  <si>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</si>
  <si>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</si>
  <si>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</si>
  <si>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</si>
  <si>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</si>
  <si>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</si>
  <si>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</si>
  <si>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</si>
  <si>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</si>
  <si>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</si>
  <si>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</si>
  <si>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</si>
  <si>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</si>
  <si>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</si>
  <si>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</si>
  <si>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</si>
  <si>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</si>
  <si>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</si>
  <si>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</si>
  <si>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</si>
  <si>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</si>
  <si>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</si>
  <si>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</si>
  <si>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</si>
  <si>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</si>
  <si>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</si>
  <si>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</si>
  <si>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</si>
  <si>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</si>
  <si>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</si>
  <si>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</si>
  <si>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</si>
  <si>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</si>
  <si>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</si>
  <si>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</si>
  <si>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</si>
  <si>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</si>
  <si>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</si>
  <si>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</si>
  <si>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</si>
  <si>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</si>
  <si>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</si>
  <si>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</si>
  <si>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</si>
  <si>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</si>
  <si>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</si>
  <si>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</si>
  <si>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</si>
  <si>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</si>
  <si>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</si>
  <si>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</si>
  <si>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</si>
  <si>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</si>
  <si>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</si>
  <si>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</si>
  <si>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</si>
  <si>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</si>
  <si>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</si>
  <si>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</si>
  <si>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</si>
  <si>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</si>
  <si>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</si>
  <si>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</si>
  <si>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</si>
  <si>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</si>
  <si>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</si>
  <si>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</si>
  <si>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</si>
  <si>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</si>
  <si>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</si>
  <si>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</si>
  <si>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</si>
  <si>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</si>
  <si>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</si>
  <si>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</si>
  <si>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</si>
  <si>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</si>
  <si>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</si>
  <si>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</si>
  <si>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</si>
  <si>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</si>
  <si>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</si>
  <si>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</si>
  <si>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</si>
  <si>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</si>
  <si>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</si>
  <si>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</si>
  <si>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</si>
  <si>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</si>
  <si>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</si>
  <si>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</si>
  <si>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</si>
  <si>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</si>
  <si>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</si>
  <si>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</si>
  <si>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</si>
  <si>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</si>
  <si>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</si>
  <si>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</si>
  <si>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</si>
  <si>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</si>
  <si>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</si>
  <si>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</si>
  <si>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</si>
  <si>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</si>
  <si>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</si>
  <si>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</si>
  <si>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</si>
  <si>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</si>
  <si>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</si>
  <si>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</si>
  <si>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</si>
  <si>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</si>
  <si>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</si>
  <si>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</si>
  <si>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</si>
  <si>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</si>
  <si>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</si>
  <si>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</si>
  <si>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</si>
  <si>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</si>
  <si>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</si>
  <si>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</si>
  <si>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</si>
  <si>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</si>
  <si>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</si>
  <si>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</si>
  <si>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</si>
  <si>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</si>
  <si>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</si>
  <si>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</si>
  <si>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</si>
  <si>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</si>
  <si>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</si>
  <si>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</si>
  <si>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</si>
  <si>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</si>
  <si>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</si>
  <si>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</si>
  <si>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</si>
  <si>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</si>
  <si>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</si>
  <si>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</si>
  <si>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</si>
  <si>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</si>
  <si>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</si>
  <si>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</si>
  <si>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</si>
  <si>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</si>
  <si>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</si>
  <si>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</si>
  <si>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</si>
  <si>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</si>
  <si>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</si>
  <si>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</si>
  <si>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</si>
  <si>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</si>
  <si>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</si>
  <si>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</si>
  <si>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</si>
  <si>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</si>
  <si>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</si>
  <si>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</si>
  <si>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</si>
  <si>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</si>
  <si>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</si>
  <si>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</si>
  <si>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</si>
  <si>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</si>
  <si>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</si>
  <si>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</si>
  <si>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</si>
  <si>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</si>
  <si>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</si>
  <si>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</si>
  <si>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</si>
  <si>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</si>
  <si>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</si>
  <si>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</si>
  <si>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</si>
  <si>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</si>
  <si>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</si>
  <si>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</si>
  <si>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</si>
  <si>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</si>
  <si>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</si>
  <si>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</si>
  <si>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</si>
  <si>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</si>
  <si>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</si>
  <si>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</si>
  <si>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</si>
  <si>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</si>
  <si>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</si>
  <si>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</si>
  <si>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</si>
  <si>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</si>
  <si>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</si>
  <si>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</si>
  <si>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</si>
  <si>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</si>
  <si>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</si>
  <si>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</si>
  <si>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</si>
  <si>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</si>
  <si>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</si>
  <si>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</si>
  <si>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</si>
  <si>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</si>
  <si>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</si>
  <si>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</si>
  <si>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</si>
  <si>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</si>
  <si>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</si>
  <si>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</si>
  <si>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</si>
  <si>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</si>
  <si>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</si>
  <si>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</si>
  <si>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</si>
  <si>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</si>
  <si>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</si>
  <si>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</si>
  <si>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</si>
  <si>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</si>
  <si>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</si>
  <si>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</si>
  <si>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</si>
  <si>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</si>
  <si>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</si>
  <si>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</si>
  <si>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</si>
  <si>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</si>
  <si>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</si>
  <si>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</si>
  <si>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</si>
  <si>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</si>
  <si>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</si>
  <si>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</si>
  <si>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</si>
  <si>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</si>
  <si>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</si>
  <si>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</si>
  <si>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</si>
  <si>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</si>
  <si>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</si>
  <si>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</si>
  <si>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</si>
  <si>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</si>
  <si>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</si>
  <si>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</si>
  <si>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</si>
  <si>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</si>
  <si>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</si>
  <si>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</si>
  <si>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</si>
  <si>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</si>
  <si>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</si>
  <si>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</si>
  <si>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</si>
  <si>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</si>
  <si>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</si>
  <si>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</si>
  <si>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</si>
  <si>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</si>
  <si>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</si>
  <si>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</si>
  <si>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</si>
  <si>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</si>
  <si>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</si>
  <si>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</si>
  <si>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</si>
  <si>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</si>
  <si>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</si>
  <si>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</si>
  <si>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</si>
  <si>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</si>
  <si>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</si>
  <si>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</si>
  <si>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</si>
  <si>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</si>
  <si>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</si>
  <si>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</si>
  <si>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</si>
  <si>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</si>
  <si>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</si>
  <si>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</si>
  <si>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</si>
  <si>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</si>
  <si>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</si>
  <si>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</si>
  <si>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</si>
  <si>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</si>
  <si>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</si>
  <si>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</si>
  <si>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</si>
  <si>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</si>
  <si>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</si>
  <si>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</si>
  <si>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</si>
  <si>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</si>
  <si>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</si>
  <si>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</si>
  <si>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</si>
  <si>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</si>
  <si>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</si>
  <si>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</si>
  <si>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</si>
  <si>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</si>
  <si>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</si>
  <si>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</si>
  <si>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</si>
  <si>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</si>
  <si>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</si>
  <si>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</si>
  <si>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</si>
  <si>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</si>
  <si>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</si>
  <si>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</si>
  <si>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</si>
  <si>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</si>
  <si>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</si>
  <si>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</si>
  <si>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</si>
  <si>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</si>
  <si>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</si>
  <si>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</si>
  <si>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</si>
  <si>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</si>
  <si>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</si>
  <si>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</si>
  <si>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</si>
  <si>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</si>
  <si>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</si>
  <si>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</si>
  <si>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</si>
  <si>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</si>
  <si>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</si>
  <si>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</si>
  <si>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</si>
  <si>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</si>
  <si>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</si>
  <si>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</si>
  <si>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</si>
  <si>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</si>
  <si>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</si>
  <si>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</si>
  <si>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</si>
  <si>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</si>
  <si>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</si>
  <si>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</si>
  <si>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</si>
  <si>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</si>
  <si>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</si>
  <si>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</si>
  <si>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</si>
  <si>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</si>
  <si>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</si>
  <si>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</si>
  <si>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</si>
  <si>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</si>
  <si>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</si>
  <si>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</si>
  <si>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</si>
  <si>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</si>
  <si>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</si>
  <si>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</si>
  <si>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</si>
  <si>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</si>
  <si>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</si>
  <si>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</si>
  <si>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</si>
  <si>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</si>
  <si>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</si>
  <si>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</si>
  <si>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</si>
  <si>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</si>
  <si>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</si>
  <si>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</si>
  <si>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</si>
  <si>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</si>
  <si>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</si>
  <si>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</si>
  <si>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</si>
  <si>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</si>
  <si>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</si>
  <si>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</si>
  <si>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</si>
  <si>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</si>
  <si>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</si>
  <si>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</si>
  <si>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</si>
  <si>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</si>
  <si>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</si>
  <si>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</si>
  <si>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</si>
  <si>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</si>
  <si>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</si>
  <si>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</si>
  <si>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</si>
  <si>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</si>
  <si>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</si>
  <si>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</si>
  <si>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</si>
  <si>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</si>
  <si>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</si>
  <si>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</si>
  <si>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</si>
  <si>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</si>
  <si>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</si>
  <si>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</si>
  <si>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</si>
  <si>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</si>
  <si>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</si>
  <si>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</si>
  <si>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</si>
  <si>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</si>
  <si>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</si>
  <si>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</si>
  <si>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</si>
  <si>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</si>
  <si>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</si>
  <si>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</si>
  <si>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</si>
  <si>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</si>
  <si>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</si>
  <si>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</si>
  <si>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</si>
  <si>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</si>
  <si>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</si>
  <si>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</si>
  <si>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</si>
  <si>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</si>
  <si>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</si>
  <si>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</si>
  <si>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</si>
  <si>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</si>
  <si>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</si>
  <si>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</si>
  <si>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</si>
  <si>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</si>
  <si>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</si>
  <si>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</si>
  <si>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</si>
  <si>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</si>
  <si>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</si>
  <si>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</si>
  <si>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</si>
  <si>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</si>
  <si>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</si>
  <si>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</si>
  <si>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</si>
  <si>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</si>
  <si>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</si>
  <si>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</si>
  <si>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</si>
  <si>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</si>
  <si>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</si>
  <si>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</si>
  <si>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</si>
  <si>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</si>
  <si>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</si>
  <si>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</si>
  <si>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</si>
  <si>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</si>
  <si>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</si>
  <si>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</si>
  <si>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</si>
  <si>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</si>
  <si>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</si>
  <si>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</si>
  <si>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</si>
  <si>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</si>
  <si>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</si>
  <si>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</si>
  <si>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</si>
  <si>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</si>
  <si>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</si>
  <si>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</si>
  <si>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</si>
  <si>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</si>
  <si>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</si>
  <si>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</si>
  <si>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</si>
  <si>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</si>
  <si>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</si>
  <si>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</si>
  <si>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</si>
  <si>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</si>
  <si>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</si>
  <si>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</si>
  <si>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</si>
  <si>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</si>
  <si>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</si>
  <si>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</si>
  <si>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</si>
  <si>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</si>
  <si>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</si>
  <si>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</si>
  <si>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</si>
  <si>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</si>
  <si>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</si>
  <si>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</si>
  <si>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</si>
  <si>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</si>
  <si>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</si>
  <si>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</si>
  <si>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</si>
  <si>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</si>
  <si>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</si>
  <si>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</si>
  <si>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</si>
  <si>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</si>
  <si>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</si>
  <si>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</si>
  <si>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</si>
  <si>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</si>
  <si>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</si>
  <si>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</si>
  <si>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</si>
  <si>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</si>
  <si>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</si>
  <si>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</si>
  <si>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</si>
  <si>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</si>
  <si>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</si>
  <si>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</si>
  <si>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</si>
  <si>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</si>
  <si>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</si>
  <si>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</si>
  <si>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</si>
  <si>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</si>
  <si>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</si>
  <si>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</si>
  <si>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</si>
  <si>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</si>
  <si>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</si>
  <si>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</si>
  <si>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</si>
  <si>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</si>
  <si>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</si>
  <si>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</si>
  <si>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</si>
  <si>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</si>
  <si>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</si>
  <si>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</si>
  <si>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</si>
  <si>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</si>
  <si>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</si>
  <si>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</si>
  <si>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</si>
  <si>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</si>
  <si>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</si>
  <si>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</si>
  <si>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</si>
  <si>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</si>
  <si>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</si>
  <si>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</si>
  <si>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</si>
  <si>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</si>
  <si>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</si>
  <si>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</si>
  <si>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</si>
  <si>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</si>
  <si>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</si>
  <si>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</si>
  <si>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</si>
  <si>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</si>
  <si>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</si>
  <si>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</si>
  <si>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</si>
  <si>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</si>
  <si>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</si>
  <si>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</si>
  <si>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</si>
  <si>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</si>
  <si>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</si>
  <si>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</si>
  <si>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</si>
  <si>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</si>
  <si>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</si>
  <si>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</si>
  <si>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</si>
  <si>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</si>
  <si>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</si>
  <si>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</si>
  <si>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</si>
  <si>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</si>
  <si>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</si>
  <si>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</si>
  <si>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</si>
  <si>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</si>
  <si>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</si>
  <si>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</si>
  <si>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</si>
  <si>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</si>
  <si>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</si>
  <si>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</si>
  <si>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</si>
  <si>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</si>
  <si>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</si>
  <si>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</si>
  <si>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</si>
  <si>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</si>
  <si>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</si>
  <si>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</si>
  <si>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</si>
  <si>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</si>
  <si>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</si>
  <si>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</si>
  <si>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</si>
  <si>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</si>
  <si>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</si>
  <si>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</si>
  <si>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</si>
  <si>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</si>
  <si>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</si>
  <si>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</si>
  <si>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</si>
  <si>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</si>
  <si>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</si>
  <si>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</si>
  <si>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</si>
  <si>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</si>
  <si>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</si>
  <si>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</si>
  <si>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</si>
  <si>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</si>
  <si>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</si>
  <si>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</si>
  <si>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</si>
  <si>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</si>
  <si>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</si>
  <si>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</si>
  <si>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</si>
  <si>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</si>
  <si>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</si>
  <si>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</si>
  <si>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</si>
  <si>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</si>
  <si>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</si>
  <si>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</si>
  <si>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</si>
  <si>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</si>
  <si>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</si>
  <si>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</si>
  <si>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</si>
  <si>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</si>
  <si>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</si>
  <si>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</si>
  <si>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</si>
  <si>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</si>
  <si>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</si>
  <si>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</si>
  <si>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</si>
  <si>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</si>
  <si>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</si>
  <si>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</si>
  <si>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</si>
  <si>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</si>
  <si>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</si>
  <si>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</si>
  <si>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</si>
  <si>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</si>
  <si>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</si>
  <si>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</si>
  <si>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</si>
  <si>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</si>
  <si>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</si>
  <si>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</si>
  <si>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</si>
  <si>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</si>
  <si>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</si>
  <si>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</si>
  <si>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</si>
  <si>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</si>
  <si>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</si>
  <si>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</si>
  <si>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</si>
  <si>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</si>
  <si>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</si>
  <si>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</si>
  <si>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</si>
  <si>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</si>
  <si>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</si>
  <si>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</si>
  <si>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</si>
  <si>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</si>
  <si>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</si>
  <si>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</si>
  <si>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</si>
  <si>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</si>
  <si>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</si>
  <si>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</si>
  <si>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</si>
  <si>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</si>
  <si>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</si>
  <si>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</si>
  <si>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</si>
  <si>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</si>
  <si>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</si>
  <si>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</si>
  <si>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</si>
  <si>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</si>
  <si>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</si>
  <si>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</si>
  <si>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</si>
  <si>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</si>
  <si>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</si>
  <si>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</si>
  <si>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</si>
  <si>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</si>
  <si>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</si>
  <si>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</si>
  <si>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</si>
  <si>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</si>
  <si>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</si>
  <si>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</si>
  <si>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</si>
  <si>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</si>
  <si>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</si>
  <si>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</si>
  <si>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</si>
  <si>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</si>
  <si>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</si>
  <si>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</si>
  <si>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</si>
  <si>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</si>
  <si>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</si>
  <si>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</si>
  <si>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</si>
  <si>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</si>
  <si>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</si>
  <si>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</si>
  <si>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</si>
  <si>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</si>
  <si>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</si>
  <si>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</si>
  <si>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</si>
  <si>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</si>
  <si>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</si>
  <si>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</si>
  <si>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</si>
  <si>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</si>
  <si>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</si>
  <si>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</si>
  <si>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</si>
  <si>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</si>
  <si>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</si>
  <si>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</si>
  <si>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</si>
  <si>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</si>
  <si>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</si>
  <si>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</si>
  <si>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</si>
  <si>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</si>
  <si>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</si>
  <si>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</si>
  <si>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</si>
  <si>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</si>
  <si>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</si>
  <si>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</si>
  <si>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</si>
  <si>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</si>
  <si>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</si>
  <si>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</si>
  <si>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</si>
  <si>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</si>
  <si>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</si>
  <si>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</si>
  <si>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</si>
  <si>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</si>
  <si>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</si>
  <si>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</si>
  <si>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</si>
  <si>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</si>
  <si>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</si>
  <si>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</si>
  <si>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</si>
  <si>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</si>
  <si>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</si>
  <si>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</si>
  <si>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</si>
  <si>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</si>
  <si>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</si>
  <si>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</si>
  <si>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</si>
  <si>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</si>
  <si>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</si>
  <si>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</si>
  <si>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</si>
  <si>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</si>
  <si>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</si>
  <si>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</si>
  <si>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</si>
  <si>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</si>
  <si>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</si>
  <si>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</si>
  <si>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</si>
  <si>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</si>
  <si>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</si>
  <si>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</si>
  <si>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</si>
  <si>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</si>
  <si>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</si>
  <si>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</si>
  <si>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</si>
  <si>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</si>
  <si>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</si>
  <si>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</si>
  <si>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</si>
  <si>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</si>
  <si>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</si>
  <si>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</si>
  <si>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</si>
  <si>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</si>
  <si>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</si>
  <si>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</si>
  <si>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</si>
  <si>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</si>
  <si>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</si>
  <si>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</si>
  <si>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</si>
  <si>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</si>
  <si>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</si>
  <si>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</si>
  <si>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</si>
  <si>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</si>
  <si>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</si>
  <si>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</si>
  <si>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</si>
  <si>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</si>
  <si>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</si>
  <si>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</si>
  <si>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</si>
  <si>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</si>
  <si>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</si>
  <si>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</si>
  <si>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</si>
  <si>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</si>
  <si>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</si>
  <si>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</si>
  <si>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</si>
  <si>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</si>
  <si>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</si>
  <si>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</si>
  <si>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</si>
  <si>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</si>
  <si>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</si>
  <si>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</si>
  <si>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</si>
  <si>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</si>
  <si>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</si>
  <si>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</si>
  <si>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</si>
  <si>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</si>
  <si>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</si>
  <si>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</si>
  <si>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</si>
  <si>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</si>
  <si>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</si>
  <si>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</si>
  <si>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</si>
  <si>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</si>
  <si>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</si>
  <si>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</si>
  <si>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</si>
  <si>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</si>
  <si>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</si>
  <si>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</si>
  <si>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</si>
  <si>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</si>
  <si>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</si>
  <si>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</si>
  <si>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</si>
  <si>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</si>
  <si>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</si>
  <si>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</si>
  <si>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</si>
  <si>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</si>
  <si>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</si>
  <si>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</si>
  <si>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</si>
  <si>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</si>
  <si>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</si>
  <si>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</si>
  <si>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</si>
  <si>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</si>
  <si>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</si>
  <si>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</si>
  <si>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</si>
  <si>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</si>
  <si>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</si>
  <si>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</si>
  <si>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</si>
  <si>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</si>
  <si>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</si>
  <si>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</si>
  <si>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</si>
  <si>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</si>
  <si>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</si>
  <si>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</si>
  <si>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</si>
  <si>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</si>
  <si>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</si>
  <si>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</si>
  <si>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</si>
  <si>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</si>
  <si>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</si>
  <si>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</si>
  <si>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</si>
  <si>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</si>
  <si>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</si>
  <si>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</si>
  <si>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</si>
  <si>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</si>
  <si>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</si>
  <si>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</si>
  <si>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</si>
  <si>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</si>
  <si>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</si>
  <si>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</si>
  <si>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</si>
  <si>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</si>
  <si>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</si>
  <si>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</si>
  <si>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</si>
  <si>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</si>
  <si>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</si>
  <si>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</si>
  <si>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</si>
  <si>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</si>
  <si>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</si>
  <si>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</si>
  <si>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</si>
  <si>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</si>
  <si>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</si>
  <si>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</si>
  <si>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</si>
  <si>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</si>
  <si>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</si>
  <si>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</si>
  <si>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</si>
  <si>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</si>
  <si>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</si>
  <si>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</si>
  <si>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</si>
  <si>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</si>
  <si>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</si>
  <si>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</si>
  <si>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</si>
  <si>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</si>
  <si>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</si>
  <si>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</si>
  <si>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</si>
  <si>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</si>
  <si>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</si>
  <si>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</si>
  <si>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</si>
  <si>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</si>
  <si>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</si>
  <si>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</si>
  <si>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</si>
  <si>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</si>
  <si>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</si>
  <si>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</si>
  <si>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</si>
  <si>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</si>
  <si>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</si>
  <si>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</si>
  <si>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</si>
  <si>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</si>
  <si>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</si>
  <si>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</si>
  <si>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</si>
  <si>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</si>
  <si>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</si>
  <si>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</si>
  <si>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</si>
  <si>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</si>
  <si>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</si>
  <si>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</si>
  <si>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</si>
  <si>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</si>
  <si>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</si>
  <si>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</si>
  <si>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</si>
  <si>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</si>
  <si>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</si>
  <si>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</si>
  <si>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</si>
  <si>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</si>
  <si>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</si>
  <si>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</si>
  <si>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</si>
  <si>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</si>
  <si>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</si>
  <si>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</si>
  <si>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</si>
  <si>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</si>
  <si>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</si>
  <si>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</si>
  <si>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</si>
  <si>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</si>
  <si>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</si>
  <si>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</si>
  <si>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</si>
  <si>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</si>
  <si>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</si>
  <si>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</si>
  <si>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</si>
  <si>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</si>
  <si>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</si>
  <si>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</si>
  <si>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</si>
  <si>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</si>
  <si>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</si>
  <si>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</si>
  <si>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</si>
  <si>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</si>
  <si>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</si>
  <si>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</si>
  <si>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</si>
  <si>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</si>
  <si>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</si>
  <si>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</si>
  <si>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</si>
  <si>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</si>
  <si>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</si>
  <si>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</si>
  <si>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</si>
  <si>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</si>
  <si>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</si>
  <si>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</si>
  <si>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</si>
  <si>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</si>
  <si>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</si>
  <si>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</si>
  <si>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</si>
  <si>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</si>
  <si>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</si>
  <si>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</si>
  <si>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</si>
  <si>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</si>
  <si>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</si>
  <si>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</si>
  <si>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</si>
  <si>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</si>
  <si>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</si>
  <si>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</si>
  <si>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</si>
  <si>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</si>
  <si>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</si>
  <si>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</si>
  <si>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</si>
  <si>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</si>
  <si>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</si>
  <si>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</si>
  <si>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</si>
  <si>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</si>
  <si>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</si>
  <si>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</si>
  <si>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</si>
  <si>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</si>
  <si>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</si>
  <si>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</si>
  <si>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</si>
  <si>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</si>
  <si>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</si>
  <si>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</si>
  <si>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</si>
  <si>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</si>
  <si>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</si>
  <si>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</si>
  <si>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</si>
  <si>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</si>
  <si>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</si>
  <si>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</si>
  <si>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</si>
  <si>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</si>
  <si>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</si>
  <si>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</si>
  <si>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</si>
  <si>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</si>
  <si>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</si>
  <si>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</si>
  <si>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</si>
  <si>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</si>
  <si>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</si>
  <si>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</si>
  <si>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</si>
  <si>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</si>
  <si>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</si>
  <si>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</si>
  <si>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</si>
  <si>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</si>
  <si>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</si>
  <si>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</si>
  <si>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</si>
  <si>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</si>
  <si>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</si>
  <si>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</si>
  <si>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</si>
  <si>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</si>
  <si>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</si>
  <si>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</si>
  <si>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</si>
  <si>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</si>
  <si>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</si>
  <si>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</si>
  <si>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</si>
  <si>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</si>
  <si>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</si>
  <si>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</si>
  <si>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</si>
  <si>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</si>
  <si>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</si>
  <si>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</si>
  <si>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</si>
  <si>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</si>
  <si>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</si>
  <si>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</si>
  <si>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</si>
  <si>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</si>
  <si>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</si>
  <si>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</si>
  <si>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</si>
  <si>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</si>
  <si>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</si>
  <si>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</si>
  <si>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</si>
  <si>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</si>
  <si>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</si>
  <si>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</si>
  <si>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</si>
  <si>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</si>
  <si>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</si>
  <si>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</si>
  <si>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</si>
  <si>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</si>
  <si>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</si>
  <si>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</si>
  <si>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</si>
  <si>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</si>
  <si>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</si>
  <si>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</si>
  <si>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</si>
  <si>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</si>
  <si>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</si>
  <si>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</si>
  <si>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</si>
  <si>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</si>
  <si>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</si>
  <si>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</si>
  <si>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</si>
  <si>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</si>
  <si>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</si>
  <si>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</si>
  <si>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</si>
  <si>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</si>
  <si>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</si>
  <si>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</si>
  <si>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</si>
  <si>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</si>
  <si>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</si>
  <si>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</si>
  <si>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</si>
  <si>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</si>
  <si>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</si>
  <si>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</si>
  <si>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</si>
  <si>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</si>
  <si>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</si>
  <si>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</si>
  <si>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</si>
  <si>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</si>
  <si>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</si>
  <si>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</si>
  <si>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</si>
  <si>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</si>
  <si>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</si>
  <si>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</si>
  <si>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</si>
  <si>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</si>
  <si>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</si>
  <si>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</si>
  <si>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</si>
  <si>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</si>
  <si>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</si>
  <si>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</si>
  <si>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</si>
  <si>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</si>
  <si>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</si>
  <si>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</si>
  <si>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</si>
  <si>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</si>
  <si>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</si>
  <si>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</si>
  <si>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</si>
  <si>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</si>
  <si>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</si>
  <si>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</si>
  <si>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</si>
  <si>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</si>
  <si>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</si>
  <si>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</si>
  <si>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</si>
  <si>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</si>
  <si>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</si>
  <si>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</si>
  <si>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</si>
  <si>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</si>
  <si>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</si>
  <si>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</si>
  <si>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</si>
  <si>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</si>
  <si>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</si>
  <si>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</si>
  <si>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</si>
  <si>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</si>
  <si>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</si>
  <si>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</si>
  <si>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</si>
  <si>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</si>
  <si>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</si>
  <si>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</si>
  <si>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</si>
  <si>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</si>
  <si>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</si>
  <si>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</si>
  <si>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</si>
  <si>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</si>
  <si>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</si>
  <si>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</si>
  <si>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</si>
  <si>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</si>
  <si>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</si>
  <si>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</si>
  <si>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</si>
  <si>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</si>
  <si>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</si>
  <si>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</si>
  <si>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</si>
  <si>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</si>
  <si>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</si>
  <si>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</si>
  <si>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</si>
  <si>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</si>
  <si>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</si>
  <si>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</si>
  <si>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</si>
  <si>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</si>
  <si>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</si>
  <si>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</si>
  <si>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</si>
  <si>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</si>
  <si>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</si>
  <si>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</si>
  <si>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</si>
  <si>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</si>
  <si>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</si>
  <si>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</si>
  <si>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</si>
  <si>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</si>
  <si>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</si>
  <si>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</si>
  <si>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</si>
  <si>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</si>
  <si>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</si>
  <si>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</si>
  <si>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</si>
  <si>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</si>
  <si>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</si>
  <si>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</si>
  <si>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</si>
  <si>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</si>
  <si>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</si>
  <si>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</si>
  <si>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</si>
  <si>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</si>
  <si>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</si>
  <si>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</si>
  <si>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</si>
  <si>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</si>
  <si>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</si>
  <si>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</si>
  <si>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</si>
  <si>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</si>
  <si>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</si>
  <si>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</si>
  <si>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</si>
  <si>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</si>
  <si>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</si>
  <si>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</si>
  <si>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</si>
  <si>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</si>
  <si>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</si>
  <si>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</si>
  <si>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</si>
  <si>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</si>
  <si>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</si>
  <si>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</si>
  <si>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</si>
  <si>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</si>
  <si>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</si>
  <si>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</si>
  <si>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</si>
  <si>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</si>
  <si>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</si>
  <si>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</si>
  <si>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</si>
  <si>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</si>
  <si>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</si>
  <si>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</si>
  <si>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</si>
  <si>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</si>
  <si>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</si>
  <si>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</si>
  <si>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</si>
  <si>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</si>
  <si>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</si>
  <si>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</si>
  <si>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</si>
  <si>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</si>
  <si>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</si>
  <si>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</si>
  <si>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</si>
  <si>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</si>
  <si>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</si>
  <si>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</si>
  <si>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</si>
  <si>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</si>
  <si>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</si>
  <si>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</si>
  <si>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</si>
  <si>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</si>
  <si>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</si>
  <si>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</si>
  <si>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</si>
  <si>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</si>
  <si>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</si>
  <si>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</si>
  <si>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</si>
  <si>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</si>
  <si>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</si>
  <si>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</si>
  <si>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</si>
  <si>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</si>
  <si>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</si>
  <si>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</si>
  <si>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</si>
  <si>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</si>
  <si>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</si>
  <si>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</si>
  <si>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</si>
  <si>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</si>
  <si>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</si>
  <si>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</si>
  <si>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</si>
  <si>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</si>
  <si>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</si>
  <si>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</si>
  <si>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</si>
  <si>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</si>
  <si>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</si>
  <si>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</si>
  <si>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</si>
  <si>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</si>
  <si>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</si>
  <si>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</si>
  <si>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</si>
  <si>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</si>
  <si>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</si>
  <si>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</si>
  <si>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</si>
  <si>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</si>
  <si>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</si>
  <si>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</si>
  <si>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</si>
  <si>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</si>
  <si>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</si>
  <si>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</si>
  <si>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</si>
  <si>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</si>
  <si>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</si>
  <si>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</si>
  <si>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</si>
  <si>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</si>
  <si>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</si>
  <si>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</si>
  <si>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</si>
  <si>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</si>
  <si>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</si>
  <si>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</si>
  <si>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</si>
  <si>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</si>
  <si>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</si>
  <si>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</si>
  <si>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</si>
  <si>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</si>
  <si>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</si>
  <si>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</si>
  <si>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</si>
  <si>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</si>
  <si>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</si>
  <si>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</si>
  <si>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</si>
  <si>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</si>
  <si>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</si>
  <si>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</si>
  <si>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</si>
  <si>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</si>
  <si>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</si>
  <si>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</si>
  <si>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</si>
  <si>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</si>
  <si>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</si>
  <si>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</si>
  <si>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</si>
  <si>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</si>
  <si>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</si>
  <si>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</si>
  <si>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</si>
  <si>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</si>
  <si>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</si>
  <si>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</si>
  <si>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</si>
  <si>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</si>
  <si>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</si>
  <si>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</si>
  <si>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</si>
  <si>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</si>
  <si>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</si>
  <si>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</si>
  <si>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</si>
  <si>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</si>
  <si>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</si>
  <si>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</si>
  <si>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</si>
  <si>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</si>
  <si>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</si>
  <si>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</si>
  <si>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</si>
  <si>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</si>
  <si>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</si>
  <si>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</si>
  <si>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</si>
  <si>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</si>
  <si>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</si>
  <si>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</si>
  <si>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</si>
  <si>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</si>
  <si>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</si>
  <si>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</si>
  <si>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</si>
  <si>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</si>
  <si>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</si>
  <si>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</si>
  <si>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</si>
  <si>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</si>
  <si>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</si>
  <si>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</si>
  <si>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</si>
  <si>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</si>
  <si>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</si>
  <si>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</si>
  <si>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</si>
  <si>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</si>
  <si>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</si>
  <si>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</si>
  <si>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</si>
  <si>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</si>
  <si>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</si>
  <si>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</si>
  <si>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</si>
  <si>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</si>
  <si>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</si>
  <si>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</si>
  <si>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</si>
  <si>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</si>
  <si>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</si>
  <si>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</si>
  <si>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</si>
  <si>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</si>
  <si>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</si>
  <si>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</si>
  <si>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</si>
  <si>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</si>
  <si>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</si>
  <si>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</si>
  <si>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</si>
  <si>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</si>
  <si>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</si>
  <si>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</si>
  <si>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</si>
  <si>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</si>
  <si>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</si>
  <si>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</si>
  <si>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</si>
  <si>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</si>
  <si>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</si>
  <si>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</si>
  <si>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</si>
  <si>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</si>
  <si>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</si>
  <si>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</si>
  <si>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</si>
  <si>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</si>
  <si>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</si>
  <si>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</si>
  <si>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</si>
  <si>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</si>
  <si>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</si>
  <si>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</si>
  <si>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</si>
  <si>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</si>
  <si>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</si>
  <si>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</si>
  <si>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</si>
  <si>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</si>
  <si>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</si>
  <si>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</si>
  <si>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</si>
  <si>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</si>
  <si>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</si>
  <si>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</si>
  <si>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</si>
  <si>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</si>
  <si>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</si>
  <si>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</si>
  <si>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</si>
  <si>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</si>
  <si>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</si>
  <si>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</si>
  <si>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</si>
  <si>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</si>
  <si>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</si>
  <si>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</si>
  <si>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</si>
  <si>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</si>
  <si>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</si>
  <si>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</si>
  <si>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</si>
  <si>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</si>
  <si>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</si>
  <si>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</si>
  <si>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</si>
  <si>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</si>
  <si>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</si>
  <si>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</si>
  <si>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</si>
  <si>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</si>
  <si>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</si>
  <si>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</si>
  <si>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</si>
  <si>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</si>
  <si>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</si>
  <si>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</si>
  <si>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</si>
  <si>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</si>
  <si>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</si>
  <si>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</si>
  <si>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</si>
  <si>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</si>
  <si>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</si>
  <si>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</si>
  <si>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</si>
  <si>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</si>
  <si>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</si>
  <si>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</si>
  <si>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</si>
  <si>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</si>
  <si>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</si>
  <si>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</si>
  <si>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</si>
  <si>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</si>
  <si>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</si>
  <si>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</si>
  <si>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</si>
  <si>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</si>
  <si>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</si>
  <si>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</si>
  <si>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</si>
  <si>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</si>
  <si>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</si>
  <si>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</si>
  <si>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</si>
  <si>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</si>
  <si>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</si>
  <si>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</si>
  <si>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</si>
  <si>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</si>
  <si>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</si>
  <si>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</si>
  <si>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</si>
  <si>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</si>
  <si>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</si>
  <si>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</si>
  <si>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</si>
  <si>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</si>
  <si>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</si>
  <si>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</si>
  <si>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</si>
  <si>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</si>
  <si>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</si>
  <si>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</si>
  <si>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</si>
  <si>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</si>
  <si>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</si>
  <si>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</si>
  <si>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</si>
  <si>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</si>
  <si>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</si>
  <si>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</si>
  <si>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</si>
  <si>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</si>
  <si>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</si>
  <si>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</si>
  <si>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</si>
  <si>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</si>
  <si>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</si>
  <si>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</si>
  <si>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</si>
  <si>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</si>
  <si>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</si>
  <si>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</si>
  <si>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</si>
  <si>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</si>
  <si>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</si>
  <si>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</si>
  <si>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</si>
  <si>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</si>
  <si>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</si>
  <si>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</si>
  <si>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</si>
  <si>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</si>
  <si>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</si>
  <si>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</si>
  <si>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</si>
  <si>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</si>
  <si>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</si>
  <si>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</si>
  <si>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</si>
  <si>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</si>
  <si>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</si>
  <si>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</si>
  <si>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</si>
  <si>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</si>
  <si>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</si>
  <si>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</si>
  <si>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</si>
  <si>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</si>
  <si>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</si>
  <si>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</si>
  <si>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</si>
  <si>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</si>
  <si>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</si>
  <si>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</si>
  <si>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</si>
  <si>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</si>
  <si>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</si>
  <si>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</si>
  <si>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</si>
  <si>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</si>
  <si>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</si>
  <si>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</si>
  <si>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</si>
  <si>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</si>
  <si>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</si>
  <si>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</si>
  <si>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</si>
  <si>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</si>
  <si>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</si>
  <si>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</si>
  <si>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</si>
  <si>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</si>
  <si>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</si>
  <si>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</si>
  <si>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</si>
  <si>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</si>
  <si>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</si>
  <si>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</si>
  <si>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</si>
  <si>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</si>
  <si>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</si>
  <si>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</si>
  <si>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</si>
  <si>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</si>
  <si>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</si>
  <si>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</si>
  <si>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</si>
  <si>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</si>
  <si>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</si>
  <si>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</si>
  <si>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</si>
  <si>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</si>
  <si>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</si>
  <si>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</si>
  <si>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</si>
  <si>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</si>
  <si>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</si>
  <si>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</si>
  <si>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</si>
  <si>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</si>
  <si>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</si>
  <si>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</si>
  <si>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</si>
  <si>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</si>
  <si>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</si>
  <si>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</si>
  <si>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</si>
  <si>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</si>
  <si>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</si>
  <si>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</si>
  <si>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</si>
  <si>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</si>
  <si>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</si>
  <si>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</si>
  <si>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</si>
  <si>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</si>
  <si>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</si>
  <si>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</si>
  <si>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</si>
  <si>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</si>
  <si>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</si>
  <si>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</si>
  <si>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</si>
  <si>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</si>
  <si>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</si>
  <si>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</si>
  <si>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</si>
  <si>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</si>
  <si>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</si>
  <si>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</si>
  <si>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</si>
  <si>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</si>
  <si>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</si>
  <si>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</si>
  <si>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</si>
  <si>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</si>
  <si>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</si>
  <si>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</si>
  <si>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</si>
  <si>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</si>
  <si>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</si>
  <si>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</si>
  <si>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</si>
  <si>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</si>
  <si>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</si>
  <si>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</si>
  <si>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</si>
  <si>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</si>
  <si>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</si>
  <si>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</si>
  <si>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</si>
  <si>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</si>
  <si>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</si>
  <si>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</si>
  <si>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</si>
  <si>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</si>
  <si>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</si>
  <si>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</si>
  <si>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</si>
  <si>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</si>
  <si>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</si>
  <si>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</si>
  <si>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</si>
  <si>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</si>
  <si>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</si>
  <si>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</si>
  <si>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</si>
  <si>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</si>
  <si>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</si>
  <si>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</si>
  <si>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</si>
  <si>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</si>
  <si>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</si>
  <si>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</si>
  <si>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</si>
  <si>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</si>
  <si>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</si>
  <si>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</si>
  <si>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</si>
  <si>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</si>
  <si>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</si>
  <si>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</si>
  <si>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</si>
  <si>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</si>
  <si>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</si>
  <si>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</si>
  <si>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</si>
  <si>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</si>
  <si>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</si>
  <si>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</si>
  <si>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</si>
  <si>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</si>
  <si>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</si>
  <si>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</si>
  <si>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</si>
  <si>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</si>
  <si>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</si>
  <si>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</si>
  <si>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</si>
  <si>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</si>
  <si>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</si>
  <si>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</si>
  <si>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</si>
  <si>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</si>
  <si>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</si>
  <si>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</si>
  <si>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</si>
  <si>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</si>
  <si>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</si>
  <si>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</si>
  <si>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</si>
  <si>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</si>
  <si>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</si>
  <si>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</si>
  <si>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</si>
  <si>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</si>
  <si>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</si>
  <si>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</si>
  <si>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</si>
  <si>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</si>
  <si>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</si>
  <si>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</si>
  <si>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</si>
  <si>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</si>
  <si>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</si>
  <si>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</si>
  <si>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</si>
  <si>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</si>
  <si>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</si>
  <si>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</si>
  <si>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</si>
  <si>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</si>
  <si>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</si>
  <si>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</si>
  <si>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</si>
  <si>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</si>
  <si>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</si>
  <si>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</si>
  <si>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</si>
  <si>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</si>
  <si>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</si>
  <si>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</si>
  <si>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</si>
  <si>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</si>
  <si>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</si>
  <si>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</si>
  <si>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</si>
  <si>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</si>
  <si>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</si>
  <si>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</si>
  <si>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</si>
  <si>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</si>
  <si>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</si>
  <si>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</si>
  <si>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</si>
  <si>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</si>
  <si>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</si>
  <si>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</si>
  <si>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</si>
  <si>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</si>
  <si>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</si>
  <si>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</si>
  <si>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</si>
  <si>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</si>
  <si>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</si>
  <si>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</si>
  <si>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</si>
  <si>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</si>
  <si>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</si>
  <si>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</si>
  <si>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</si>
  <si>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</si>
  <si>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</si>
  <si>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</si>
  <si>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</si>
  <si>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</si>
  <si>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</si>
  <si>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</si>
  <si>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</si>
  <si>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</si>
  <si>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</si>
  <si>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</si>
  <si>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</si>
  <si>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</si>
  <si>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</si>
  <si>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</si>
  <si>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</si>
  <si>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</si>
  <si>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</si>
  <si>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</si>
  <si>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</si>
  <si>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</si>
  <si>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</si>
  <si>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</si>
  <si>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</si>
  <si>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</si>
  <si>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</si>
  <si>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</si>
  <si>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</si>
  <si>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</si>
  <si>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</si>
  <si>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</si>
  <si>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</si>
  <si>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</si>
  <si>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</si>
  <si>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</si>
  <si>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</si>
  <si>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</si>
  <si>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</si>
  <si>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</si>
  <si>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</si>
  <si>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</si>
  <si>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</si>
  <si>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</si>
  <si>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</si>
  <si>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</si>
  <si>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</si>
  <si>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</si>
  <si>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</si>
  <si>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</si>
  <si>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</si>
  <si>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</si>
  <si>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</si>
  <si>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</si>
  <si>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</si>
  <si>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</si>
  <si>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</si>
  <si>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</si>
  <si>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</si>
  <si>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</si>
  <si>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</si>
  <si>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</si>
  <si>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</si>
  <si>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</si>
  <si>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</si>
  <si>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</si>
  <si>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</si>
  <si>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</si>
  <si>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</si>
  <si>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</si>
  <si>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</si>
  <si>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</si>
  <si>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</si>
  <si>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</si>
  <si>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</si>
  <si>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</si>
  <si>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</si>
  <si>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</si>
  <si>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</si>
  <si>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</si>
  <si>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</si>
  <si>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</si>
  <si>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</si>
  <si>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</si>
  <si>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</si>
  <si>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</si>
  <si>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</si>
  <si>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</si>
  <si>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</si>
  <si>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</si>
  <si>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</si>
  <si>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</si>
  <si>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</si>
  <si>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</si>
  <si>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</si>
  <si>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</si>
  <si>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</si>
  <si>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</si>
  <si>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</si>
  <si>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</si>
  <si>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</si>
  <si>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</si>
  <si>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</si>
  <si>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</si>
  <si>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</si>
  <si>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</si>
  <si>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</si>
  <si>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</si>
  <si>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</si>
  <si>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</si>
  <si>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</si>
  <si>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</si>
  <si>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</si>
  <si>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</si>
  <si>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</si>
  <si>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</si>
  <si>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</si>
  <si>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</si>
  <si>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</si>
  <si>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</si>
  <si>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</si>
  <si>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</si>
  <si>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</si>
  <si>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</si>
  <si>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</si>
  <si>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</si>
  <si>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</si>
  <si>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</si>
  <si>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</si>
  <si>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</si>
  <si>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</si>
  <si>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</si>
  <si>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</si>
  <si>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</si>
  <si>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</si>
  <si>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</si>
  <si>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</si>
  <si>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</si>
  <si>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</si>
  <si>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</si>
  <si>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</si>
  <si>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</si>
  <si>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</si>
  <si>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</si>
  <si>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</si>
  <si>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</si>
  <si>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</si>
  <si>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</si>
  <si>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</si>
  <si>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</si>
  <si>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</si>
  <si>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</si>
  <si>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</si>
  <si>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</si>
  <si>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</si>
  <si>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</si>
  <si>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</si>
  <si>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</si>
  <si>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</si>
  <si>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</si>
  <si>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</si>
  <si>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</si>
  <si>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</si>
  <si>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</si>
  <si>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</si>
  <si>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</si>
  <si>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</si>
  <si>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</si>
  <si>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</si>
  <si>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</si>
  <si>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</si>
  <si>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</si>
  <si>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</si>
  <si>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</si>
  <si>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</si>
  <si>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</si>
  <si>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</si>
  <si>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</si>
  <si>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</si>
  <si>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</si>
  <si>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</si>
  <si>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</si>
  <si>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</si>
  <si>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</si>
  <si>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</si>
  <si>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</si>
  <si>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</si>
  <si>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</si>
  <si>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</si>
  <si>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</si>
  <si>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</si>
  <si>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</si>
  <si>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</si>
  <si>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</si>
  <si>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</si>
  <si>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</si>
  <si>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</si>
  <si>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</si>
  <si>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</si>
  <si>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</si>
  <si>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</si>
  <si>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</si>
  <si>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</si>
  <si>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</si>
  <si>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</si>
  <si>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</si>
  <si>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</si>
  <si>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</si>
  <si>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</si>
  <si>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</si>
  <si>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</si>
  <si>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</si>
  <si>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</si>
  <si>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</si>
  <si>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</si>
  <si>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</si>
  <si>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</si>
  <si>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</si>
  <si>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</si>
  <si>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</si>
  <si>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</si>
  <si>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</si>
  <si>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</si>
  <si>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</si>
  <si>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</si>
  <si>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</si>
  <si>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</si>
  <si>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</si>
  <si>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</si>
  <si>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</si>
  <si>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</si>
  <si>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</si>
  <si>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</si>
  <si>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</si>
  <si>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</si>
  <si>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</si>
  <si>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</si>
  <si>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</si>
  <si>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</si>
  <si>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</si>
  <si>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</si>
  <si>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</si>
  <si>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</si>
  <si>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</si>
  <si>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</si>
  <si>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</si>
  <si>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</si>
  <si>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</si>
  <si>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</si>
  <si>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</si>
  <si>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</si>
  <si>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</si>
  <si>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</si>
  <si>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</si>
  <si>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</si>
  <si>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</si>
  <si>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</si>
  <si>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</si>
  <si>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</si>
  <si>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</si>
  <si>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</si>
  <si>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</si>
  <si>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</si>
  <si>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</si>
  <si>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</si>
  <si>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</si>
  <si>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</si>
  <si>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</si>
  <si>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</si>
  <si>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</si>
  <si>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</si>
  <si>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</si>
  <si>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</si>
  <si>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</si>
  <si>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</si>
  <si>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</si>
  <si>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</si>
  <si>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</si>
  <si>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</si>
  <si>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</si>
  <si>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</si>
  <si>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</si>
  <si>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</si>
  <si>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</si>
  <si>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</si>
  <si>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</si>
  <si>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</si>
  <si>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</si>
  <si>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</si>
  <si>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</si>
  <si>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</si>
  <si>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</si>
  <si>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</si>
  <si>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</si>
  <si>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</si>
  <si>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</si>
  <si>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</si>
  <si>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</si>
  <si>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</si>
  <si>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</si>
  <si>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</si>
  <si>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</si>
  <si>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</si>
  <si>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</si>
  <si>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</si>
  <si>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</si>
  <si>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</si>
  <si>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</si>
  <si>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</si>
  <si>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</si>
  <si>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</si>
  <si>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</si>
  <si>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</si>
  <si>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</si>
  <si>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</si>
  <si>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</si>
  <si>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</si>
  <si>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</si>
  <si>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</si>
  <si>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</si>
  <si>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</si>
  <si>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</si>
  <si>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</si>
  <si>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</si>
  <si>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</si>
  <si>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</si>
  <si>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</si>
  <si>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</si>
  <si>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</si>
  <si>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</si>
  <si>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</si>
  <si>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</si>
  <si>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</si>
  <si>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</si>
  <si>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</si>
  <si>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</si>
  <si>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</si>
  <si>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</si>
  <si>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</si>
  <si>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</si>
  <si>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</si>
  <si>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</si>
  <si>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</si>
  <si>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</si>
  <si>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</si>
  <si>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</si>
  <si>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</si>
  <si>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</si>
  <si>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</si>
  <si>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</si>
  <si>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</si>
  <si>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</si>
  <si>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</si>
  <si>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</si>
  <si>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</si>
  <si>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</si>
  <si>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</si>
  <si>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</si>
  <si>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</si>
  <si>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</si>
  <si>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</si>
  <si>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</si>
  <si>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</si>
  <si>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</si>
  <si>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</si>
  <si>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</si>
  <si>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</si>
  <si>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</si>
  <si>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</si>
  <si>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</si>
  <si>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</si>
  <si>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</si>
  <si>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</si>
  <si>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</si>
  <si>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</si>
  <si>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</si>
  <si>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</si>
  <si>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</si>
  <si>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</si>
  <si>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</si>
  <si>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</si>
  <si>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</si>
  <si>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</si>
  <si>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</si>
  <si>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</si>
  <si>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</si>
  <si>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</si>
  <si>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</si>
  <si>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</si>
  <si>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</si>
  <si>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</si>
  <si>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</si>
  <si>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</si>
  <si>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</si>
  <si>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</si>
  <si>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</si>
  <si>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</si>
  <si>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</si>
  <si>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</si>
  <si>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</si>
  <si>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</si>
  <si>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</si>
  <si>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</si>
  <si>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</si>
  <si>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</si>
  <si>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</si>
  <si>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</si>
  <si>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</si>
  <si>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</si>
  <si>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</si>
  <si>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</si>
  <si>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</si>
  <si>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</si>
  <si>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</si>
  <si>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</si>
  <si>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</si>
  <si>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</si>
  <si>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</si>
  <si>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</si>
  <si>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</si>
  <si>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</si>
  <si>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</si>
  <si>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</si>
  <si>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</si>
  <si>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</si>
  <si>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</si>
  <si>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</si>
  <si>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</si>
  <si>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</si>
  <si>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</si>
  <si>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</si>
  <si>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</si>
  <si>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</si>
  <si>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</si>
  <si>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</si>
  <si>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</si>
  <si>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</si>
  <si>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</si>
  <si>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</si>
  <si>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</si>
  <si>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</si>
  <si>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</si>
  <si>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</si>
  <si>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</si>
  <si>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</si>
  <si>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</si>
  <si>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</si>
  <si>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</si>
  <si>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</si>
  <si>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</si>
  <si>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</si>
  <si>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</si>
  <si>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</si>
  <si>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</si>
  <si>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</si>
  <si>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</si>
  <si>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</si>
  <si>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</si>
  <si>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</si>
  <si>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</si>
  <si>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</si>
  <si>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</si>
  <si>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</si>
  <si>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</si>
  <si>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</si>
  <si>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</si>
  <si>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</si>
  <si>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</si>
  <si>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</si>
  <si>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</si>
  <si>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</si>
  <si>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</si>
  <si>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</si>
  <si>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</si>
  <si>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</si>
  <si>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</si>
  <si>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</si>
  <si>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</si>
  <si>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</si>
  <si>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</si>
  <si>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</si>
  <si>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</si>
  <si>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</si>
  <si>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</si>
  <si>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</si>
  <si>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</si>
  <si>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</si>
  <si>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</si>
  <si>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</si>
  <si>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</si>
  <si>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</si>
  <si>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</si>
  <si>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</si>
  <si>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</si>
  <si>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</si>
  <si>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</si>
  <si>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</si>
  <si>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</si>
  <si>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</si>
  <si>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</si>
  <si>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</si>
  <si>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</si>
  <si>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</si>
  <si>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</si>
  <si>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</si>
  <si>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</si>
  <si>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</si>
  <si>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</si>
  <si>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</si>
  <si>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</si>
  <si>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</si>
  <si>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</si>
  <si>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</si>
  <si>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</si>
  <si>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</si>
  <si>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</si>
  <si>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</si>
  <si>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</si>
  <si>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</si>
  <si>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</si>
  <si>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</si>
  <si>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</si>
  <si>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</si>
  <si>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</si>
  <si>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</si>
  <si>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</si>
  <si>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</si>
  <si>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</si>
  <si>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</si>
  <si>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</si>
  <si>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</si>
  <si>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</si>
  <si>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</si>
  <si>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</si>
  <si>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</si>
  <si>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</si>
  <si>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</si>
  <si>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</si>
  <si>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</si>
  <si>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</si>
  <si>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</si>
  <si>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</si>
  <si>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</si>
  <si>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</si>
  <si>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</si>
  <si>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</si>
  <si>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</si>
  <si>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</si>
  <si>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</si>
  <si>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</si>
  <si>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</si>
  <si>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</si>
  <si>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</si>
  <si>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</si>
  <si>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</si>
  <si>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</si>
  <si>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</si>
  <si>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</si>
  <si>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</si>
  <si>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</si>
  <si>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</si>
  <si>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</si>
  <si>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</si>
  <si>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</si>
  <si>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</si>
  <si>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</si>
  <si>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</si>
  <si>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</si>
  <si>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</si>
  <si>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</si>
  <si>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</si>
  <si>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</si>
  <si>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</si>
  <si>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</si>
  <si>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</si>
  <si>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</si>
  <si>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</si>
  <si>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</si>
  <si>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</si>
  <si>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</si>
  <si>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</si>
  <si>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</si>
  <si>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</si>
  <si>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</si>
  <si>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</si>
  <si>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</si>
  <si>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</si>
  <si>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</si>
  <si>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</si>
  <si>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</si>
  <si>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</si>
  <si>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</si>
  <si>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</si>
  <si>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</si>
  <si>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</si>
  <si>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</si>
  <si>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</si>
  <si>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</si>
  <si>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</si>
  <si>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</si>
  <si>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</si>
  <si>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</si>
  <si>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</si>
  <si>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</si>
  <si>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</si>
  <si>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</si>
  <si>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</si>
  <si>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</si>
  <si>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</si>
  <si>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</si>
  <si>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</si>
  <si>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</si>
  <si>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</si>
  <si>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</si>
  <si>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</si>
  <si>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</si>
  <si>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</si>
  <si>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</si>
  <si>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</si>
  <si>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</si>
  <si>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</si>
  <si>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</si>
  <si>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</si>
  <si>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</si>
  <si>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</si>
  <si>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</si>
  <si>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</si>
  <si>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</si>
  <si>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</si>
  <si>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</si>
  <si>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</si>
  <si>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</si>
  <si>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</si>
  <si>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</si>
  <si>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</si>
  <si>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</si>
  <si>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</si>
  <si>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</si>
  <si>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</si>
  <si>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</si>
  <si>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</si>
  <si>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</si>
  <si>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</si>
  <si>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</si>
  <si>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</si>
  <si>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</si>
  <si>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</si>
  <si>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</si>
  <si>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</si>
  <si>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</si>
  <si>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</si>
  <si>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</si>
  <si>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</si>
  <si>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</si>
  <si>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</si>
  <si>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</si>
  <si>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</si>
  <si>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</si>
  <si>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</si>
  <si>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</si>
  <si>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</si>
  <si>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</si>
  <si>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</si>
  <si>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</si>
  <si>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</si>
  <si>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</si>
  <si>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</si>
  <si>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</si>
  <si>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</si>
  <si>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</si>
  <si>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</si>
  <si>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</si>
  <si>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</si>
  <si>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</si>
  <si>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</si>
  <si>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</si>
  <si>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</si>
  <si>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</si>
  <si>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</si>
  <si>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</si>
  <si>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</si>
  <si>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</si>
  <si>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</si>
  <si>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</si>
  <si>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</si>
  <si>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</si>
  <si>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</si>
  <si>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</si>
  <si>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</si>
  <si>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</si>
  <si>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</si>
  <si>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</si>
  <si>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</si>
  <si>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</si>
  <si>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</si>
  <si>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</si>
  <si>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</si>
  <si>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</si>
  <si>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</si>
  <si>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</si>
  <si>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</si>
  <si>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</si>
  <si>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</si>
  <si>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</si>
  <si>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</si>
  <si>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</si>
  <si>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</si>
  <si>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</si>
  <si>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</si>
  <si>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</si>
  <si>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</si>
  <si>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</si>
  <si>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</si>
  <si>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</si>
  <si>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</si>
  <si>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</si>
  <si>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</si>
  <si>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</si>
  <si>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</si>
  <si>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</si>
  <si>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</si>
  <si>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</si>
  <si>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</si>
  <si>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</si>
  <si>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</si>
  <si>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</si>
  <si>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</si>
  <si>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</si>
  <si>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</si>
  <si>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</si>
  <si>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</si>
  <si>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</si>
  <si>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</si>
  <si>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</si>
  <si>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</si>
  <si>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</si>
  <si>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</si>
  <si>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</si>
  <si>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</si>
  <si>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</si>
  <si>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</si>
  <si>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</si>
  <si>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</si>
  <si>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</si>
  <si>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</si>
  <si>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</si>
  <si>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</si>
  <si>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</si>
  <si>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</si>
  <si>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</si>
  <si>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</si>
  <si>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</si>
  <si>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</si>
  <si>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</si>
  <si>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</si>
  <si>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</si>
  <si>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</si>
  <si>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</si>
  <si>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</si>
  <si>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</si>
  <si>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</si>
  <si>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</si>
  <si>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</si>
  <si>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</si>
  <si>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</si>
  <si>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</si>
  <si>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</si>
  <si>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</si>
  <si>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</si>
  <si>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</si>
  <si>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</si>
  <si>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</si>
  <si>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</si>
  <si>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</si>
  <si>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</si>
  <si>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</si>
  <si>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</si>
  <si>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</si>
  <si>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</si>
  <si>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</si>
  <si>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</si>
  <si>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</si>
  <si>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</si>
  <si>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</si>
  <si>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</si>
  <si>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</si>
  <si>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</si>
  <si>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</si>
  <si>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</si>
  <si>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</si>
  <si>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</si>
  <si>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</si>
  <si>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</si>
  <si>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</si>
  <si>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</si>
  <si>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</si>
  <si>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</si>
  <si>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</si>
  <si>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</si>
  <si>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</si>
  <si>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</si>
  <si>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</si>
  <si>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</si>
  <si>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</si>
  <si>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</si>
  <si>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</si>
  <si>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</si>
  <si>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</si>
  <si>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</si>
  <si>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</si>
  <si>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</si>
  <si>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</si>
  <si>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</si>
  <si>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</si>
  <si>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</si>
  <si>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</si>
  <si>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</si>
  <si>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</si>
  <si>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</si>
  <si>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</si>
  <si>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</si>
  <si>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</si>
  <si>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</si>
  <si>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</si>
  <si>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</si>
  <si>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</si>
  <si>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</si>
  <si>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</si>
  <si>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</si>
  <si>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</si>
  <si>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</si>
  <si>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</si>
  <si>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</si>
  <si>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</si>
  <si>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</si>
  <si>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</si>
  <si>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</si>
  <si>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</si>
  <si>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</si>
  <si>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</si>
  <si>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</si>
  <si>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</si>
  <si>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</si>
  <si>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</si>
  <si>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</si>
  <si>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</si>
  <si>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</si>
  <si>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</si>
  <si>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</si>
  <si>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</si>
  <si>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</si>
  <si>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</si>
  <si>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</si>
  <si>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</si>
  <si>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</si>
  <si>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</si>
  <si>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</si>
  <si>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</si>
  <si>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</si>
  <si>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</si>
  <si>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</si>
  <si>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</si>
  <si>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</si>
  <si>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</si>
  <si>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</si>
  <si>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</si>
  <si>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</si>
  <si>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</si>
  <si>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</si>
  <si>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</si>
  <si>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</si>
  <si>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</si>
  <si>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</si>
  <si>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</si>
  <si>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</si>
  <si>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</si>
  <si>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</si>
  <si>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</si>
  <si>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</si>
  <si>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</si>
  <si>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</si>
  <si>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</si>
  <si>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</si>
  <si>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</si>
  <si>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</si>
  <si>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</si>
  <si>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</si>
  <si>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</si>
  <si>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</si>
  <si>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</si>
  <si>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</si>
  <si>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</si>
  <si>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</si>
  <si>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</si>
  <si>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</si>
  <si>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</si>
  <si>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</si>
  <si>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</si>
  <si>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</si>
  <si>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</si>
  <si>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</si>
  <si>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</si>
  <si>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</si>
  <si>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</si>
  <si>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</si>
  <si>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</si>
  <si>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</si>
  <si>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</si>
  <si>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</si>
  <si>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</si>
  <si>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</si>
  <si>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</si>
  <si>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</si>
  <si>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</si>
  <si>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</si>
  <si>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</si>
  <si>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</si>
  <si>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</si>
  <si>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</si>
  <si>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</si>
  <si>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</si>
  <si>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</si>
  <si>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</si>
  <si>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</si>
  <si>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</si>
  <si>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</si>
  <si>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</si>
  <si>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</si>
  <si>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</si>
  <si>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</si>
  <si>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</si>
  <si>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</si>
  <si>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</si>
  <si>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</si>
  <si>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</si>
  <si>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</si>
  <si>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</si>
  <si>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</si>
  <si>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</si>
  <si>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</si>
  <si>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</si>
  <si>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</si>
  <si>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</si>
  <si>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</si>
  <si>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</si>
  <si>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</si>
  <si>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</si>
  <si>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</si>
  <si>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</si>
  <si>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</si>
  <si>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</si>
  <si>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</si>
  <si>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</si>
  <si>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</si>
  <si>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</si>
  <si>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</si>
  <si>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</si>
  <si>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</si>
  <si>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</si>
  <si>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</si>
  <si>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</si>
  <si>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</si>
  <si>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</si>
  <si>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</si>
  <si>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</si>
  <si>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</si>
  <si>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</si>
  <si>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</si>
  <si>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</si>
  <si>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</si>
  <si>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</si>
  <si>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</si>
  <si>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</si>
  <si>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</si>
  <si>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</si>
  <si>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</si>
  <si>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</si>
  <si>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</si>
  <si>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</si>
  <si>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</si>
  <si>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</si>
  <si>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</si>
  <si>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</si>
  <si>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</si>
  <si>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</si>
  <si>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</si>
  <si>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</si>
  <si>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</si>
  <si>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</si>
  <si>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</si>
  <si>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</si>
  <si>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</si>
  <si>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</si>
  <si>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</si>
  <si>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</si>
  <si>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</si>
  <si>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</si>
  <si>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</si>
  <si>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</si>
  <si>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</si>
  <si>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</si>
  <si>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</si>
  <si>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</si>
  <si>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</si>
  <si>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</si>
  <si>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</si>
  <si>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</si>
  <si>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</si>
  <si>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</si>
  <si>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</si>
  <si>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</si>
  <si>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</si>
  <si>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</si>
  <si>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</si>
  <si>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</si>
  <si>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</si>
  <si>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</si>
  <si>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</si>
  <si>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</si>
  <si>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</si>
  <si>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</si>
  <si>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</si>
  <si>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</si>
  <si>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</si>
  <si>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</si>
  <si>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</si>
  <si>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</si>
  <si>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</si>
  <si>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</si>
  <si>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</si>
  <si>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</si>
  <si>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</si>
  <si>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</si>
  <si>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</si>
  <si>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</si>
  <si>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</si>
  <si>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</si>
  <si>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</si>
  <si>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</si>
  <si>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</si>
  <si>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</si>
  <si>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</si>
  <si>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</si>
  <si>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</si>
  <si>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</si>
  <si>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</si>
  <si>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</si>
  <si>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</si>
  <si>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</si>
  <si>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</si>
  <si>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</si>
  <si>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</si>
  <si>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</si>
  <si>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</si>
  <si>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</si>
  <si>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</si>
  <si>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</si>
  <si>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</si>
  <si>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</si>
  <si>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</si>
  <si>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</si>
  <si>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</si>
  <si>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</si>
  <si>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</si>
  <si>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</si>
  <si>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</si>
  <si>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</si>
  <si>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</si>
  <si>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</si>
  <si>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</si>
  <si>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</si>
  <si>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</si>
  <si>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</si>
  <si>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</si>
  <si>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</si>
  <si>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</si>
  <si>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</si>
  <si>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</si>
  <si>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</si>
  <si>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</si>
  <si>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</si>
  <si>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</si>
  <si>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</si>
  <si>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</si>
  <si>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</si>
  <si>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</si>
  <si>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</si>
  <si>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</si>
  <si>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</si>
  <si>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</si>
  <si>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</si>
  <si>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</si>
  <si>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</si>
  <si>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</si>
  <si>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</si>
  <si>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</si>
  <si>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</si>
  <si>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</si>
  <si>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</si>
  <si>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</si>
  <si>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</si>
  <si>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</si>
  <si>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</si>
  <si>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</si>
  <si>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</si>
  <si>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</si>
  <si>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</si>
  <si>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</si>
  <si>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</si>
  <si>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</si>
  <si>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</si>
  <si>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</si>
  <si>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</si>
  <si>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</si>
  <si>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</si>
  <si>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</si>
  <si>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</si>
  <si>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</si>
  <si>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</si>
  <si>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</si>
  <si>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</si>
  <si>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</si>
  <si>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</si>
  <si>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</si>
  <si>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</si>
  <si>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</si>
  <si>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</si>
  <si>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</si>
  <si>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</si>
  <si>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</si>
  <si>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</si>
  <si>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</si>
  <si>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</si>
  <si>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</si>
  <si>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</si>
  <si>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</si>
  <si>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</si>
  <si>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</si>
  <si>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</si>
  <si>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</si>
  <si>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</si>
  <si>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</si>
  <si>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</si>
  <si>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</si>
  <si>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</si>
  <si>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</si>
  <si>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</si>
  <si>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</si>
  <si>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</si>
  <si>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</si>
  <si>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</si>
  <si>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</si>
  <si>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</si>
  <si>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</si>
  <si>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</si>
  <si>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</si>
  <si>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</si>
  <si>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</si>
  <si>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</si>
  <si>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</si>
  <si>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</si>
  <si>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</si>
  <si>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</si>
  <si>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</si>
  <si>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</si>
  <si>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</si>
  <si>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</si>
  <si>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</si>
  <si>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</si>
  <si>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</si>
  <si>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</si>
  <si>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</si>
  <si>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</si>
  <si>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</si>
  <si>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</si>
  <si>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</si>
  <si>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</si>
  <si>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</si>
  <si>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</si>
  <si>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</si>
  <si>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</si>
  <si>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</si>
  <si>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</si>
  <si>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</si>
  <si>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</si>
  <si>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</si>
  <si>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</si>
  <si>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</si>
  <si>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</si>
  <si>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</si>
  <si>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</si>
  <si>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</si>
  <si>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</si>
  <si>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</si>
  <si>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</si>
  <si>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</si>
  <si>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</si>
  <si>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</si>
  <si>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</si>
  <si>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</si>
  <si>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</si>
  <si>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</si>
  <si>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</si>
  <si>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</si>
  <si>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</si>
  <si>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</si>
  <si>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</si>
  <si>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</si>
  <si>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</si>
  <si>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</si>
  <si>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</si>
  <si>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</si>
  <si>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</si>
  <si>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</si>
  <si>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</si>
  <si>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</si>
  <si>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</si>
  <si>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</si>
  <si>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</si>
  <si>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</si>
  <si>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</si>
  <si>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</si>
  <si>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</si>
  <si>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</si>
  <si>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</si>
  <si>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</si>
  <si>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</si>
  <si>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</si>
  <si>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</si>
  <si>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</si>
  <si>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</si>
  <si>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</si>
  <si>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</si>
  <si>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</si>
  <si>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</si>
  <si>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</si>
  <si>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</si>
  <si>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</si>
  <si>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</si>
  <si>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</si>
  <si>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</si>
  <si>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</si>
  <si>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</si>
  <si>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</si>
  <si>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</si>
  <si>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</si>
  <si>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</si>
  <si>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</si>
  <si>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</si>
  <si>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</si>
  <si>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</si>
  <si>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</si>
  <si>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</si>
  <si>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</si>
  <si>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</si>
  <si>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</si>
  <si>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</si>
  <si>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</si>
  <si>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</si>
  <si>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</si>
  <si>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</si>
  <si>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</si>
  <si>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</si>
  <si>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</si>
  <si>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</si>
  <si>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</si>
  <si>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</si>
  <si>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</si>
  <si>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</si>
  <si>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</si>
  <si>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</si>
  <si>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</si>
  <si>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</si>
  <si>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</si>
  <si>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</si>
  <si>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</si>
  <si>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</si>
  <si>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</si>
  <si>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</si>
  <si>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</si>
  <si>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</si>
  <si>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</si>
  <si>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</si>
  <si>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</si>
  <si>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</si>
  <si>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</si>
  <si>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</si>
  <si>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</si>
  <si>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</si>
  <si>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</si>
  <si>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</si>
  <si>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</si>
  <si>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</si>
  <si>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</si>
  <si>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</si>
  <si>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</si>
  <si>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</si>
  <si>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</si>
  <si>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</si>
  <si>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</si>
  <si>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</si>
  <si>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</si>
  <si>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</si>
  <si>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</si>
  <si>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</si>
  <si>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</si>
  <si>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</si>
  <si>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</si>
  <si>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</si>
  <si>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</si>
  <si>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</si>
  <si>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</si>
  <si>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</si>
  <si>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</si>
  <si>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</si>
  <si>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</si>
  <si>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</si>
  <si>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</si>
  <si>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</si>
  <si>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</si>
  <si>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</si>
  <si>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</si>
  <si>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</si>
  <si>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</si>
  <si>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</si>
  <si>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</si>
  <si>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</si>
  <si>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</si>
  <si>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</si>
  <si>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</si>
  <si>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</si>
  <si>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</si>
  <si>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</si>
  <si>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</si>
  <si>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</si>
  <si>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</si>
  <si>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</si>
  <si>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</si>
  <si>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</si>
  <si>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</si>
  <si>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</si>
  <si>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</si>
  <si>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</si>
  <si>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</si>
  <si>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</si>
  <si>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</si>
  <si>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</si>
  <si>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</si>
  <si>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</si>
  <si>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</si>
  <si>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</si>
  <si>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</si>
  <si>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</si>
  <si>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</si>
  <si>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</si>
  <si>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</si>
  <si>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</si>
  <si>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</si>
  <si>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</si>
  <si>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</si>
  <si>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</si>
  <si>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</si>
  <si>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</si>
  <si>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</si>
  <si>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</si>
  <si>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</si>
  <si>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</si>
  <si>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</si>
  <si>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</si>
  <si>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</si>
  <si>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</si>
  <si>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</si>
  <si>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</si>
  <si>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</si>
  <si>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</si>
  <si>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</si>
  <si>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</si>
  <si>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</si>
  <si>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</si>
  <si>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</si>
  <si>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</si>
  <si>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</si>
  <si>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</si>
  <si>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</si>
  <si>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</si>
  <si>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</si>
  <si>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</si>
  <si>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</si>
  <si>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</si>
  <si>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</si>
  <si>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</si>
  <si>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</si>
  <si>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</si>
  <si>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</si>
  <si>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</si>
  <si>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</si>
  <si>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</si>
  <si>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</si>
  <si>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</si>
  <si>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</si>
  <si>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</si>
  <si>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</si>
  <si>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</si>
  <si>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</si>
  <si>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</si>
  <si>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</si>
  <si>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</si>
  <si>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</si>
  <si>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</si>
  <si>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</si>
  <si>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</si>
  <si>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</si>
  <si>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</si>
  <si>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</si>
  <si>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</si>
  <si>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</si>
  <si>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</si>
  <si>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</si>
  <si>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</si>
  <si>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</si>
  <si>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</si>
  <si>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</si>
  <si>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</si>
  <si>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</si>
  <si>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</si>
  <si>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</si>
  <si>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</si>
  <si>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</si>
  <si>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</si>
  <si>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</si>
  <si>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</si>
  <si>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</si>
  <si>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</si>
  <si>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</si>
  <si>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</si>
  <si>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</si>
  <si>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</si>
  <si>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</si>
  <si>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</si>
  <si>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</si>
  <si>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</si>
  <si>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</si>
  <si>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</si>
  <si>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</si>
  <si>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</si>
  <si>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</si>
  <si>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</si>
  <si>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</si>
  <si>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</si>
  <si>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</si>
  <si>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</si>
  <si>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</si>
  <si>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</si>
  <si>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</si>
  <si>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</si>
  <si>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</si>
  <si>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</si>
  <si>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</si>
  <si>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</si>
  <si>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</si>
  <si>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</si>
  <si>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</si>
  <si>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</si>
  <si>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</si>
  <si>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</si>
  <si>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</si>
  <si>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</si>
  <si>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</si>
  <si>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</si>
  <si>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</si>
  <si>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</si>
  <si>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</si>
  <si>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</si>
  <si>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</si>
  <si>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</si>
  <si>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</si>
  <si>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</si>
  <si>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</si>
  <si>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</si>
  <si>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</si>
  <si>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</si>
  <si>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</si>
  <si>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</si>
  <si>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</si>
  <si>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</si>
  <si>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</si>
  <si>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</si>
  <si>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</si>
  <si>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</si>
  <si>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</si>
  <si>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</si>
  <si>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</si>
  <si>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</si>
  <si>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</si>
  <si>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</si>
  <si>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</si>
  <si>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</si>
  <si>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</si>
  <si>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</si>
  <si>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</si>
  <si>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</si>
  <si>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</si>
  <si>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</si>
  <si>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</si>
  <si>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</si>
  <si>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</si>
  <si>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</si>
  <si>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</si>
  <si>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</si>
  <si>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</si>
  <si>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</si>
  <si>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</si>
  <si>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</si>
  <si>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</si>
  <si>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</si>
  <si>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</si>
  <si>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</si>
  <si>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</si>
  <si>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</si>
  <si>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</si>
  <si>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</si>
  <si>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</si>
  <si>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</si>
  <si>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</si>
  <si>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</si>
  <si>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</si>
  <si>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</si>
  <si>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</si>
  <si>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</si>
  <si>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</si>
  <si>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</si>
  <si>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</si>
  <si>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</si>
  <si>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</si>
  <si>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</si>
  <si>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</si>
  <si>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</si>
  <si>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</si>
  <si>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</si>
  <si>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</si>
  <si>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</si>
  <si>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</si>
  <si>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</si>
  <si>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</si>
  <si>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</si>
  <si>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</si>
  <si>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</si>
  <si>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</si>
  <si>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</si>
  <si>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</si>
  <si>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</si>
  <si>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</si>
  <si>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</si>
  <si>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</si>
  <si>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</si>
  <si>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</si>
  <si>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</si>
  <si>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</si>
  <si>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</si>
  <si>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</si>
  <si>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</si>
  <si>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</si>
  <si>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</si>
  <si>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</si>
  <si>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</si>
  <si>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</si>
  <si>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</si>
  <si>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</si>
  <si>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</si>
  <si>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</si>
  <si>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</si>
  <si>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</si>
  <si>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</si>
  <si>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</si>
  <si>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</si>
  <si>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</si>
  <si>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</si>
  <si>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</si>
  <si>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</si>
  <si>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</si>
  <si>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</si>
  <si>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</si>
  <si>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</si>
  <si>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</si>
  <si>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</si>
  <si>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</si>
  <si>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</si>
  <si>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</si>
  <si>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</si>
  <si>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</si>
  <si>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</si>
  <si>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</si>
  <si>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</si>
  <si>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</si>
  <si>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</si>
  <si>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</si>
  <si>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</si>
  <si>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</si>
  <si>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</si>
  <si>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</si>
  <si>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</si>
  <si>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</si>
  <si>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</si>
  <si>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</si>
  <si>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</si>
  <si>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</si>
  <si>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</si>
  <si>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</si>
  <si>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</si>
  <si>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</si>
  <si>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</si>
  <si>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</si>
  <si>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</si>
  <si>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</si>
  <si>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</si>
  <si>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</si>
  <si>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</si>
  <si>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</si>
  <si>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</si>
  <si>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</si>
  <si>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</si>
  <si>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</si>
  <si>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</si>
  <si>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</si>
  <si>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</si>
  <si>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</si>
  <si>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</si>
  <si>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</si>
  <si>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</si>
  <si>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</si>
  <si>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</si>
  <si>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</si>
  <si>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</si>
  <si>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</si>
  <si>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</si>
  <si>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</si>
  <si>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</si>
  <si>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</si>
  <si>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</si>
  <si>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</si>
  <si>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</si>
  <si>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</si>
  <si>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</si>
  <si>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</si>
  <si>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</si>
  <si>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</si>
  <si>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</si>
  <si>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</si>
  <si>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</si>
  <si>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</si>
  <si>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</si>
  <si>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</si>
  <si>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</si>
  <si>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</si>
  <si>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</si>
  <si>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</si>
  <si>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</si>
  <si>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</si>
  <si>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</si>
  <si>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</si>
  <si>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</si>
  <si>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</si>
  <si>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</si>
  <si>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</si>
  <si>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</si>
  <si>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</si>
  <si>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</si>
  <si>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</si>
  <si>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</si>
  <si>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</si>
  <si>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</si>
  <si>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</si>
  <si>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</si>
  <si>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</si>
  <si>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</si>
  <si>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</si>
  <si>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</si>
  <si>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</si>
  <si>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</si>
  <si>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</si>
  <si>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</si>
  <si>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</si>
  <si>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</si>
  <si>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</si>
  <si>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</si>
  <si>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</si>
  <si>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</si>
  <si>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</si>
  <si>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</si>
  <si>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</si>
  <si>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</si>
  <si>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</si>
  <si>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</si>
  <si>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</si>
  <si>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</si>
  <si>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</si>
  <si>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</si>
  <si>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</si>
  <si>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</si>
  <si>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</si>
  <si>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</si>
  <si>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</si>
  <si>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</si>
  <si>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</si>
  <si>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</si>
  <si>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</si>
  <si>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</si>
  <si>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</si>
  <si>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</si>
  <si>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</si>
  <si>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</si>
  <si>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</si>
  <si>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</si>
  <si>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</si>
  <si>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</si>
  <si>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</si>
  <si>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</si>
  <si>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</si>
  <si>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</si>
  <si>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</si>
  <si>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</si>
  <si>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</si>
  <si>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</si>
  <si>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</si>
  <si>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</si>
  <si>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</si>
  <si>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</si>
  <si>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</si>
  <si>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</si>
  <si>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</si>
  <si>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</si>
  <si>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</si>
  <si>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</si>
  <si>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</si>
  <si>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</si>
  <si>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</si>
  <si>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</si>
  <si>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</si>
  <si>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</si>
  <si>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</si>
  <si>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</si>
  <si>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</si>
  <si>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</si>
  <si>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</si>
  <si>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</si>
  <si>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</si>
  <si>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</si>
  <si>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</si>
  <si>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</si>
  <si>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</si>
  <si>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</si>
  <si>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</si>
  <si>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</si>
  <si>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</si>
  <si>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</si>
  <si>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</si>
  <si>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</si>
  <si>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</si>
  <si>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</si>
  <si>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</si>
  <si>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</si>
  <si>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</si>
  <si>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</si>
  <si>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</si>
  <si>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</si>
  <si>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</si>
  <si>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</si>
  <si>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</si>
  <si>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</si>
  <si>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</si>
  <si>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</si>
  <si>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</si>
  <si>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</si>
  <si>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</si>
  <si>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</si>
  <si>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</si>
  <si>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</si>
  <si>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</si>
  <si>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</si>
  <si>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</si>
  <si>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</si>
  <si>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</si>
  <si>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</si>
  <si>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</si>
  <si>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</si>
  <si>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</si>
  <si>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</si>
  <si>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</si>
  <si>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</si>
  <si>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</si>
  <si>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</si>
  <si>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</si>
  <si>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</si>
  <si>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</si>
  <si>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</si>
  <si>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</si>
  <si>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</si>
  <si>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</si>
  <si>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</si>
  <si>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</si>
  <si>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</si>
  <si>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</si>
  <si>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</si>
  <si>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</si>
  <si>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</si>
  <si>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</si>
  <si>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</si>
  <si>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</si>
  <si>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</si>
  <si>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</si>
  <si>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</si>
  <si>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</si>
  <si>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</si>
  <si>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</si>
  <si>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</si>
  <si>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</si>
  <si>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</si>
  <si>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</si>
  <si>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</si>
  <si>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</si>
  <si>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</si>
  <si>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</si>
  <si>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</si>
  <si>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</si>
  <si>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</si>
  <si>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</si>
  <si>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</si>
  <si>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</si>
  <si>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</si>
  <si>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</si>
  <si>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</si>
  <si>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</si>
  <si>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</si>
  <si>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</si>
  <si>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</si>
  <si>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</si>
  <si>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</si>
  <si>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</si>
  <si>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</si>
  <si>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</si>
  <si>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</si>
  <si>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</si>
  <si>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</si>
  <si>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</si>
  <si>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</si>
  <si>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</si>
  <si>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</si>
  <si>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</si>
  <si>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</si>
  <si>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</si>
  <si>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</si>
  <si>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</si>
  <si>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</si>
  <si>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</si>
  <si>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</si>
  <si>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</si>
  <si>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</si>
  <si>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</si>
  <si>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</si>
  <si>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</si>
  <si>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</si>
  <si>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</si>
  <si>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</si>
  <si>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</si>
  <si>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</si>
  <si>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</si>
  <si>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</si>
  <si>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</si>
  <si>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</si>
  <si>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</si>
  <si>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</si>
  <si>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</si>
  <si>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</si>
  <si>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</si>
  <si>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</si>
  <si>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</si>
  <si>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</si>
  <si>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</si>
  <si>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</si>
  <si>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</si>
  <si>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</si>
  <si>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</si>
  <si>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</si>
  <si>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</si>
  <si>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</si>
  <si>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</si>
  <si>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</si>
  <si>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</si>
  <si>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</si>
  <si>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</si>
  <si>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</si>
  <si>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</si>
  <si>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</si>
  <si>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</si>
  <si>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</si>
  <si>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</si>
  <si>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</si>
  <si>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</si>
  <si>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</si>
  <si>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</si>
  <si>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</si>
  <si>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</si>
  <si>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</si>
  <si>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</si>
  <si>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</si>
  <si>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</si>
  <si>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</si>
  <si>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</si>
  <si>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</si>
  <si>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</si>
  <si>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</si>
  <si>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</si>
  <si>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</si>
  <si>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</si>
  <si>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</si>
  <si>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</si>
  <si>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</si>
  <si>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</si>
  <si>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</si>
  <si>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</si>
  <si>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</si>
  <si>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</si>
  <si>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</si>
  <si>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</si>
  <si>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</si>
  <si>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</si>
  <si>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</si>
  <si>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</si>
  <si>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</si>
  <si>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</si>
  <si>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</si>
  <si>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</si>
  <si>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</si>
  <si>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</si>
  <si>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</si>
  <si>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</si>
  <si>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</si>
  <si>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</si>
  <si>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</si>
  <si>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</si>
  <si>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</si>
  <si>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</si>
  <si>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</si>
  <si>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</si>
  <si>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</si>
  <si>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</si>
  <si>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</si>
  <si>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</si>
  <si>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</si>
  <si>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</si>
  <si>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</si>
  <si>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</si>
  <si>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</si>
  <si>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</si>
  <si>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</si>
  <si>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</si>
  <si>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</si>
  <si>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</si>
  <si>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</si>
  <si>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</si>
  <si>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</si>
  <si>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</si>
  <si>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</si>
  <si>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</si>
  <si>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</si>
  <si>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</si>
  <si>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</si>
  <si>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</si>
  <si>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</si>
  <si>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</si>
  <si>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</si>
  <si>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</si>
  <si>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</si>
  <si>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</si>
  <si>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</si>
  <si>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</si>
  <si>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</si>
  <si>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</si>
  <si>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</si>
  <si>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</si>
  <si>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</si>
  <si>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</si>
  <si>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</si>
  <si>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</si>
  <si>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</si>
  <si>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</si>
  <si>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</si>
  <si>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</si>
  <si>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</si>
  <si>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</si>
  <si>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</si>
  <si>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</si>
  <si>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</si>
  <si>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</si>
  <si>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</si>
  <si>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</si>
  <si>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</si>
  <si>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</si>
  <si>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</si>
  <si>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</si>
  <si>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</si>
  <si>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</si>
  <si>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</si>
  <si>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</si>
  <si>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</si>
  <si>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</si>
  <si>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</si>
  <si>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</si>
  <si>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</si>
  <si>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</si>
  <si>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</si>
  <si>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</si>
  <si>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</si>
  <si>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</si>
  <si>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</si>
  <si>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</si>
  <si>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</si>
  <si>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</si>
  <si>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</si>
  <si>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</si>
  <si>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</si>
  <si>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</si>
  <si>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</si>
  <si>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</si>
  <si>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</si>
  <si>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</si>
  <si>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</si>
  <si>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</si>
  <si>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</si>
  <si>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</si>
  <si>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</si>
  <si>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</si>
  <si>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</si>
  <si>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</si>
  <si>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</si>
  <si>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</si>
  <si>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</si>
  <si>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</si>
  <si>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</si>
  <si>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</si>
  <si>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</si>
  <si>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</si>
  <si>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</si>
  <si>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</si>
  <si>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</si>
  <si>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</si>
  <si>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</si>
  <si>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</si>
  <si>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</si>
  <si>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</si>
  <si>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</si>
  <si>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</si>
  <si>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</si>
  <si>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</si>
  <si>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</si>
  <si>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</si>
  <si>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</si>
  <si>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</si>
  <si>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</si>
  <si>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</si>
  <si>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</si>
  <si>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</si>
  <si>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</si>
  <si>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</si>
  <si>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</si>
  <si>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</si>
  <si>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</si>
  <si>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</si>
  <si>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</si>
  <si>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</si>
  <si>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</si>
  <si>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</si>
  <si>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</si>
  <si>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</si>
  <si>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</si>
  <si>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</si>
  <si>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</si>
  <si>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</si>
  <si>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</si>
  <si>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</si>
  <si>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</si>
  <si>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</si>
  <si>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</si>
  <si>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</si>
  <si>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</si>
  <si>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</si>
  <si>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</si>
  <si>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</si>
  <si>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</si>
  <si>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</si>
  <si>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</si>
  <si>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</si>
  <si>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</si>
  <si>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</si>
  <si>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</si>
  <si>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</si>
  <si>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</si>
  <si>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</si>
  <si>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</si>
  <si>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</si>
  <si>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</si>
  <si>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</si>
  <si>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</si>
  <si>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</si>
  <si>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</si>
  <si>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</si>
  <si>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</si>
  <si>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</si>
  <si>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</si>
  <si>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</si>
  <si>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</si>
  <si>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</si>
  <si>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</si>
  <si>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</si>
  <si>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</si>
  <si>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</si>
  <si>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</si>
  <si>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</si>
  <si>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</si>
  <si>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</si>
  <si>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</si>
  <si>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</si>
  <si>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</si>
  <si>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</si>
  <si>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</si>
  <si>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</si>
  <si>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</si>
  <si>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</si>
  <si>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</si>
  <si>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</si>
  <si>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</si>
  <si>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</si>
  <si>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</si>
  <si>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</si>
  <si>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</si>
  <si>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</si>
  <si>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</si>
  <si>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</si>
  <si>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</si>
  <si>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</si>
  <si>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</si>
  <si>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</si>
  <si>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</si>
  <si>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</si>
  <si>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</si>
  <si>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</si>
  <si>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</si>
  <si>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</si>
  <si>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</si>
  <si>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</si>
  <si>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</si>
  <si>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</si>
  <si>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</si>
  <si>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</si>
  <si>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</si>
  <si>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</si>
  <si>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</si>
  <si>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</si>
  <si>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</si>
  <si>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</si>
  <si>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</si>
  <si>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</si>
  <si>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</si>
  <si>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</si>
  <si>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</si>
  <si>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</si>
  <si>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</si>
  <si>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</si>
  <si>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</si>
  <si>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</si>
  <si>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</si>
  <si>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</si>
  <si>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</si>
  <si>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</si>
  <si>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</si>
  <si>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</si>
  <si>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</si>
  <si>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</si>
  <si>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</si>
  <si>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</si>
  <si>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</si>
  <si>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</si>
  <si>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</si>
  <si>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</si>
  <si>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</si>
  <si>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</si>
  <si>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</si>
  <si>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</si>
  <si>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</si>
  <si>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</si>
  <si>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</si>
  <si>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</si>
  <si>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</si>
  <si>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</si>
  <si>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</si>
  <si>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</si>
  <si>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</si>
  <si>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</si>
  <si>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</si>
  <si>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</si>
  <si>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</si>
  <si>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</si>
  <si>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</si>
  <si>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</si>
  <si>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</si>
  <si>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</si>
  <si>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</si>
  <si>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</si>
  <si>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</si>
  <si>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</si>
  <si>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</si>
  <si>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</si>
  <si>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</si>
  <si>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</si>
  <si>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</si>
  <si>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</si>
  <si>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</si>
  <si>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</si>
  <si>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</si>
  <si>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</si>
  <si>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</si>
  <si>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</si>
  <si>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</si>
  <si>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</si>
  <si>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</si>
  <si>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</si>
  <si>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</si>
  <si>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</si>
  <si>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</si>
  <si>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</si>
  <si>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</si>
  <si>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</si>
  <si>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</si>
  <si>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</si>
  <si>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</si>
  <si>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</si>
  <si>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</si>
  <si>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</si>
  <si>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</si>
  <si>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</si>
  <si>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</si>
  <si>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</si>
  <si>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</si>
  <si>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</si>
  <si>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</si>
  <si>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</si>
  <si>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</si>
  <si>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</si>
  <si>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</si>
  <si>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</si>
  <si>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</si>
  <si>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</si>
  <si>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</si>
  <si>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</si>
  <si>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</si>
  <si>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</si>
  <si>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</si>
  <si>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</si>
  <si>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</si>
  <si>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</si>
  <si>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</si>
  <si>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</si>
  <si>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</si>
  <si>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</si>
  <si>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</si>
  <si>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</si>
  <si>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</si>
  <si>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</si>
  <si>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</si>
  <si>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</si>
  <si>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</si>
  <si>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</si>
  <si>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</si>
  <si>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</si>
  <si>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</si>
  <si>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</si>
  <si>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</si>
  <si>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</si>
  <si>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</si>
  <si>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</si>
  <si>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</si>
  <si>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</si>
  <si>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</si>
  <si>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</si>
  <si>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</si>
  <si>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</si>
  <si>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</si>
  <si>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</si>
  <si>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</si>
  <si>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</si>
  <si>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</si>
  <si>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</si>
  <si>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</si>
  <si>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</si>
  <si>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</si>
  <si>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</si>
  <si>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</si>
  <si>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</si>
  <si>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</si>
  <si>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</si>
  <si>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</si>
  <si>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</si>
  <si>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</si>
  <si>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</si>
  <si>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</si>
  <si>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</si>
  <si>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</si>
  <si>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</si>
  <si>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</si>
  <si>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</si>
  <si>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</si>
  <si>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</si>
  <si>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</si>
  <si>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</si>
  <si>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</si>
  <si>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</si>
  <si>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</si>
  <si>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</si>
  <si>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</si>
  <si>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</si>
  <si>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</si>
  <si>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</si>
  <si>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</si>
  <si>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</si>
  <si>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</si>
  <si>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</si>
  <si>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</si>
  <si>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</si>
  <si>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</si>
  <si>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</si>
  <si>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</si>
  <si>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</si>
  <si>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</si>
  <si>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</si>
  <si>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</si>
  <si>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</si>
  <si>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</si>
  <si>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</si>
  <si>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</si>
  <si>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</si>
  <si>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</si>
  <si>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</si>
  <si>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</si>
  <si>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</si>
  <si>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</si>
  <si>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</si>
  <si>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</si>
  <si>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</si>
  <si>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</si>
  <si>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</si>
  <si>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</si>
  <si>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</si>
  <si>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</si>
  <si>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</si>
  <si>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</si>
  <si>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</si>
  <si>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</si>
  <si>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</si>
  <si>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</si>
  <si>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</si>
  <si>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</si>
  <si>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</si>
  <si>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</si>
  <si>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</si>
  <si>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</si>
  <si>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</si>
  <si>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</si>
  <si>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</si>
  <si>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</si>
  <si>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</si>
  <si>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</si>
  <si>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</si>
  <si>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</si>
  <si>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</si>
  <si>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</si>
  <si>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</si>
  <si>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</si>
  <si>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</si>
  <si>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</si>
  <si>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</si>
  <si>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</si>
  <si>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</si>
  <si>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</si>
  <si>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</si>
  <si>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</si>
  <si>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</si>
  <si>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</si>
  <si>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</si>
  <si>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</si>
  <si>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</si>
  <si>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</si>
  <si>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</si>
  <si>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</si>
  <si>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</si>
  <si>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</si>
  <si>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</si>
  <si>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</si>
  <si>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</si>
  <si>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</si>
  <si>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</si>
  <si>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</si>
  <si>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</si>
  <si>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</si>
  <si>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</si>
  <si>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</si>
  <si>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</si>
  <si>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</si>
  <si>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</si>
  <si>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</si>
  <si>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</si>
  <si>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</si>
  <si>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</si>
  <si>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</si>
  <si>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</si>
  <si>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</si>
  <si>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</si>
  <si>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</si>
  <si>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</si>
  <si>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</si>
  <si>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</si>
  <si>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</si>
  <si>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</si>
  <si>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</si>
  <si>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</si>
  <si>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</si>
  <si>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</si>
  <si>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</si>
  <si>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</si>
  <si>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</si>
  <si>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</si>
  <si>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</si>
  <si>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</si>
  <si>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</si>
  <si>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</si>
  <si>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</si>
  <si>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</si>
  <si>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</si>
  <si>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</si>
  <si>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</si>
  <si>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</si>
  <si>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</si>
  <si>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</si>
  <si>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</si>
  <si>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</si>
  <si>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</si>
  <si>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</si>
  <si>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</si>
  <si>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</si>
  <si>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</si>
  <si>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</si>
  <si>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</si>
  <si>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</si>
  <si>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</si>
  <si>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</si>
  <si>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</si>
  <si>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</si>
  <si>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</si>
  <si>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</si>
  <si>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</si>
  <si>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</si>
  <si>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</si>
  <si>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</si>
  <si>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</si>
  <si>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</si>
  <si>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</si>
  <si>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</si>
  <si>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</si>
  <si>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</si>
  <si>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</si>
  <si>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</si>
  <si>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</si>
  <si>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</si>
  <si>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</si>
  <si>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</si>
  <si>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</si>
  <si>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</si>
  <si>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</si>
  <si>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</si>
  <si>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</si>
  <si>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</si>
  <si>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</si>
  <si>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</si>
  <si>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</si>
  <si>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</si>
  <si>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</si>
  <si>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</si>
  <si>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</si>
  <si>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</si>
  <si>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</si>
  <si>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</si>
  <si>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</si>
  <si>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</si>
  <si>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</si>
  <si>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</si>
  <si>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</si>
  <si>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</si>
  <si>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</si>
  <si>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</si>
  <si>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</si>
  <si>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</si>
  <si>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</si>
  <si>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</si>
  <si>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</si>
  <si>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</si>
  <si>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</si>
  <si>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</si>
  <si>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</si>
  <si>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</si>
  <si>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</si>
  <si>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</si>
  <si>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</si>
  <si>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</si>
  <si>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</si>
  <si>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</si>
  <si>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</si>
  <si>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</si>
  <si>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</si>
  <si>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</si>
  <si>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</si>
  <si>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</si>
  <si>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</si>
  <si>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</si>
  <si>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</si>
  <si>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</si>
  <si>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</si>
  <si>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</si>
  <si>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</si>
  <si>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</si>
  <si>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</si>
  <si>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</si>
  <si>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</si>
  <si>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</si>
  <si>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</si>
  <si>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</si>
  <si>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</si>
  <si>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</si>
  <si>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</si>
  <si>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</si>
  <si>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</si>
  <si>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</si>
  <si>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</si>
  <si>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</si>
  <si>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</si>
  <si>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</si>
  <si>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</si>
  <si>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</si>
  <si>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</si>
  <si>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</si>
  <si>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</si>
  <si>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</si>
  <si>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</si>
  <si>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</si>
  <si>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</si>
  <si>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</si>
  <si>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</si>
  <si>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</si>
  <si>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</si>
  <si>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</si>
  <si>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</si>
  <si>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</si>
  <si>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</si>
  <si>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</si>
  <si>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</si>
  <si>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</si>
  <si>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</si>
  <si>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</si>
  <si>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</si>
  <si>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</si>
  <si>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</si>
  <si>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</si>
  <si>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</si>
  <si>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</si>
  <si>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</si>
  <si>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</si>
  <si>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</si>
  <si>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</si>
  <si>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</si>
  <si>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</si>
  <si>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</si>
  <si>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</si>
  <si>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</si>
  <si>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</si>
  <si>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</si>
  <si>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</si>
  <si>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</si>
  <si>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</si>
  <si>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</si>
  <si>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</si>
  <si>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</si>
  <si>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</si>
  <si>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</si>
  <si>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</si>
  <si>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</si>
  <si>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</si>
  <si>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</si>
  <si>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</si>
  <si>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</si>
  <si>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</si>
  <si>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</si>
  <si>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</si>
  <si>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</si>
  <si>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</si>
  <si>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</si>
  <si>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</si>
  <si>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</si>
  <si>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</si>
  <si>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</si>
  <si>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</si>
  <si>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</si>
  <si>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</si>
  <si>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</si>
  <si>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</si>
  <si>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</si>
  <si>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</si>
  <si>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</si>
  <si>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</si>
  <si>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</si>
  <si>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</si>
  <si>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</si>
  <si>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</si>
  <si>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</si>
  <si>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</si>
  <si>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</si>
  <si>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</si>
  <si>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</si>
  <si>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</si>
  <si>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</si>
  <si>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</si>
  <si>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</si>
  <si>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</si>
  <si>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</si>
  <si>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</si>
  <si>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</si>
  <si>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</si>
  <si>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</si>
  <si>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</si>
  <si>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</si>
  <si>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</si>
  <si>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</si>
  <si>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</si>
  <si>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</si>
  <si>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</si>
  <si>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</si>
  <si>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</si>
  <si>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</si>
  <si>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</si>
  <si>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</si>
  <si>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</si>
  <si>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</si>
  <si>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</si>
  <si>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</si>
  <si>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</si>
  <si>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</si>
  <si>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</si>
  <si>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</si>
  <si>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</si>
  <si>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</si>
  <si>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</si>
  <si>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</si>
  <si>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</si>
  <si>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</si>
  <si>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</si>
  <si>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</si>
  <si>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</si>
  <si>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</si>
  <si>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</si>
  <si>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</si>
  <si>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</si>
  <si>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</si>
  <si>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</si>
  <si>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</si>
  <si>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</si>
  <si>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</si>
  <si>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</si>
  <si>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</si>
  <si>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</si>
  <si>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</si>
  <si>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</si>
  <si>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</si>
  <si>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</si>
  <si>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</si>
  <si>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</si>
  <si>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</si>
  <si>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</si>
  <si>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</si>
  <si>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</si>
  <si>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</si>
  <si>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</si>
  <si>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</si>
  <si>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</si>
  <si>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</si>
  <si>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</si>
  <si>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</si>
  <si>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</si>
  <si>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</si>
  <si>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</si>
  <si>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</si>
  <si>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</si>
  <si>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</si>
  <si>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</si>
  <si>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</si>
  <si>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</si>
  <si>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</si>
  <si>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</si>
  <si>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</si>
  <si>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</si>
  <si>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</si>
  <si>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</si>
  <si>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</si>
  <si>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</si>
  <si>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</si>
  <si>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</si>
  <si>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</si>
  <si>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</si>
  <si>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</si>
  <si>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</si>
  <si>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</si>
  <si>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</si>
  <si>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</si>
  <si>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</si>
  <si>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</si>
  <si>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</si>
  <si>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</si>
  <si>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</si>
  <si>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</si>
  <si>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</si>
  <si>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</si>
  <si>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</si>
  <si>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</si>
  <si>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</si>
  <si>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</si>
  <si>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</si>
  <si>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</si>
  <si>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</si>
  <si>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</si>
  <si>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</si>
  <si>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</si>
  <si>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</si>
  <si>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</si>
  <si>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</si>
  <si>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</si>
  <si>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</si>
  <si>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</si>
  <si>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</si>
  <si>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</si>
  <si>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</si>
  <si>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</si>
  <si>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</si>
  <si>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</si>
  <si>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</si>
  <si>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</si>
  <si>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</si>
  <si>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</si>
  <si>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</si>
  <si>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</si>
  <si>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</si>
  <si>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</si>
  <si>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</si>
  <si>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</si>
  <si>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</si>
  <si>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</si>
  <si>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</si>
  <si>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</si>
  <si>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</si>
  <si>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</si>
  <si>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</si>
  <si>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</si>
  <si>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</si>
  <si>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</si>
  <si>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</si>
  <si>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</si>
  <si>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</si>
  <si>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</si>
  <si>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</si>
  <si>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</si>
  <si>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</si>
  <si>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</si>
  <si>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</si>
  <si>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</si>
  <si>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</si>
  <si>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</si>
  <si>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</si>
  <si>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</si>
  <si>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</si>
  <si>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</si>
  <si>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</si>
  <si>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</si>
  <si>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</si>
  <si>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</si>
  <si>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</si>
  <si>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</si>
  <si>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</si>
  <si>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</si>
  <si>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</si>
  <si>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</si>
  <si>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</si>
  <si>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</si>
  <si>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</si>
  <si>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</si>
  <si>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</si>
  <si>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</si>
  <si>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</si>
  <si>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</si>
  <si>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</si>
  <si>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</si>
  <si>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</si>
  <si>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</si>
  <si>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</si>
  <si>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</si>
  <si>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</si>
  <si>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</si>
  <si>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</si>
  <si>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</si>
  <si>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</si>
  <si>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</si>
  <si>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</si>
  <si>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</si>
  <si>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</si>
  <si>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</si>
  <si>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</si>
  <si>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</si>
  <si>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</si>
  <si>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</si>
  <si>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</si>
  <si>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</si>
  <si>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</si>
  <si>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</si>
  <si>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</si>
  <si>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</si>
  <si>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</si>
  <si>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</si>
  <si>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</si>
  <si>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</si>
  <si>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</si>
  <si>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</si>
  <si>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</si>
  <si>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</si>
  <si>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</si>
  <si>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</si>
  <si>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</si>
  <si>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</si>
  <si>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</si>
  <si>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</si>
  <si>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</si>
  <si>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</si>
  <si>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</si>
  <si>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</si>
  <si>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</si>
  <si>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</si>
  <si>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</si>
  <si>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</si>
  <si>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</si>
  <si>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</si>
  <si>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</si>
  <si>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</si>
  <si>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</si>
  <si>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</si>
  <si>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</si>
  <si>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</si>
  <si>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</si>
  <si>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</si>
  <si>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</si>
  <si>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</si>
  <si>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</si>
  <si>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</si>
  <si>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</si>
  <si>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</si>
  <si>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</si>
  <si>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</si>
  <si>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</si>
  <si>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</si>
  <si>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</si>
  <si>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</si>
  <si>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</si>
  <si>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</si>
  <si>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</si>
  <si>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</si>
  <si>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</si>
  <si>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</si>
  <si>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</si>
  <si>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</si>
  <si>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</si>
  <si>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</si>
  <si>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</si>
  <si>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</si>
  <si>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</si>
  <si>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</si>
  <si>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</si>
  <si>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</si>
  <si>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</si>
  <si>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</si>
  <si>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</si>
  <si>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</si>
  <si>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</si>
  <si>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</si>
  <si>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</si>
  <si>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</si>
  <si>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</si>
  <si>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</si>
  <si>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</si>
  <si>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</si>
  <si>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</si>
  <si>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</si>
  <si>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</si>
  <si>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</si>
  <si>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</si>
  <si>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</si>
  <si>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</si>
  <si>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</si>
  <si>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</si>
  <si>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</si>
  <si>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</si>
  <si>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</si>
  <si>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</si>
  <si>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</si>
  <si>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</si>
  <si>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</si>
  <si>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</si>
  <si>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</si>
  <si>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</si>
  <si>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</si>
  <si>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</si>
  <si>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</si>
  <si>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</si>
  <si>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</si>
  <si>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</si>
  <si>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</si>
  <si>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</si>
  <si>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</si>
  <si>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</si>
  <si>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</si>
  <si>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</si>
  <si>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</si>
  <si>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</si>
  <si>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</si>
  <si>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</si>
  <si>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</si>
  <si>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</si>
  <si>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</si>
  <si>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</si>
  <si>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</si>
  <si>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</si>
  <si>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</si>
  <si>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</si>
  <si>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</si>
  <si>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</si>
  <si>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</si>
  <si>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</si>
  <si>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</si>
  <si>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</si>
  <si>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</si>
  <si>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</si>
  <si>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</si>
  <si>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</si>
  <si>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</si>
  <si>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</si>
  <si>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</si>
  <si>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</si>
  <si>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</si>
  <si>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</si>
  <si>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</si>
  <si>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</si>
  <si>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</si>
  <si>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</si>
  <si>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</si>
  <si>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</si>
  <si>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</si>
  <si>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</si>
  <si>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</si>
  <si>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</si>
  <si>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</si>
  <si>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</si>
  <si>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</si>
  <si>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</si>
  <si>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</si>
  <si>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</si>
  <si>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</si>
  <si>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</si>
  <si>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</si>
  <si>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</si>
  <si>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</si>
  <si>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</si>
  <si>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</si>
  <si>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</si>
  <si>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</si>
  <si>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</si>
  <si>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</si>
  <si>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</si>
  <si>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</si>
  <si>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</si>
  <si>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</si>
  <si>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</si>
  <si>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</si>
  <si>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</si>
  <si>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</si>
  <si>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</si>
  <si>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</si>
  <si>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</si>
  <si>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</si>
  <si>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</si>
  <si>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</si>
  <si>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</si>
  <si>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</si>
  <si>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</si>
  <si>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</si>
  <si>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</si>
  <si>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</si>
  <si>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</si>
  <si>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</si>
  <si>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</si>
  <si>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</si>
  <si>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</si>
  <si>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</si>
  <si>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</si>
  <si>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</si>
  <si>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</si>
  <si>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</si>
  <si>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</si>
  <si>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</si>
  <si>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</si>
  <si>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</si>
  <si>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</si>
  <si>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</si>
  <si>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</si>
  <si>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</si>
  <si>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</si>
  <si>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</si>
  <si>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</si>
  <si>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</si>
  <si>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</si>
  <si>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</si>
  <si>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</si>
  <si>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</si>
  <si>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</si>
  <si>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</si>
  <si>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</si>
  <si>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</si>
  <si>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</si>
  <si>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</si>
  <si>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</si>
  <si>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</si>
  <si>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</si>
  <si>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</si>
  <si>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</si>
  <si>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</si>
  <si>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</si>
  <si>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</si>
  <si>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</si>
  <si>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</si>
  <si>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</si>
  <si>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</si>
  <si>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</si>
  <si>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</si>
  <si>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</si>
  <si>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</si>
  <si>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</si>
  <si>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</si>
  <si>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</si>
  <si>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</si>
  <si>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</si>
  <si>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</si>
  <si>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</si>
  <si>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</si>
  <si>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</si>
  <si>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</si>
  <si>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</si>
  <si>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</si>
  <si>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</si>
  <si>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</si>
  <si>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</si>
  <si>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</si>
  <si>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</si>
  <si>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</si>
  <si>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</si>
  <si>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</si>
  <si>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</si>
  <si>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</si>
  <si>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</si>
  <si>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</si>
  <si>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</si>
  <si>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</si>
  <si>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</si>
  <si>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</si>
  <si>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</si>
  <si>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</si>
  <si>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</si>
  <si>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</si>
  <si>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</si>
  <si>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</si>
  <si>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</si>
  <si>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</si>
  <si>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</si>
  <si>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</si>
  <si>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</si>
  <si>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</si>
  <si>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</si>
  <si>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</si>
  <si>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</si>
  <si>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</si>
  <si>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</si>
  <si>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</si>
  <si>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</si>
  <si>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</si>
  <si>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</si>
  <si>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</si>
  <si>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</si>
  <si>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</si>
  <si>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</si>
  <si>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</si>
  <si>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</si>
  <si>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</si>
  <si>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</si>
  <si>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</si>
  <si>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</si>
  <si>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</si>
  <si>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</si>
  <si>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</si>
  <si>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</si>
  <si>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</si>
  <si>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</si>
  <si>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</si>
  <si>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</si>
  <si>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</si>
  <si>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</si>
  <si>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</si>
  <si>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</si>
  <si>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</si>
  <si>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</si>
  <si>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</si>
  <si>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</si>
  <si>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</si>
  <si>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</si>
  <si>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</si>
  <si>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</si>
  <si>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</si>
  <si>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</si>
  <si>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</si>
  <si>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</si>
  <si>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</si>
  <si>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</si>
  <si>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</si>
  <si>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</si>
  <si>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</si>
  <si>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</si>
  <si>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</si>
  <si>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</si>
  <si>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</si>
  <si>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</si>
  <si>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</si>
  <si>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</si>
  <si>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</si>
  <si>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</si>
  <si>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</si>
  <si>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</si>
  <si>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</si>
  <si>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</si>
  <si>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</si>
  <si>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</si>
  <si>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</si>
  <si>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</si>
  <si>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</si>
  <si>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</si>
  <si>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</si>
  <si>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</si>
  <si>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</si>
  <si>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</si>
  <si>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</si>
  <si>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</si>
  <si>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</si>
  <si>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</si>
  <si>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</si>
  <si>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</si>
  <si>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</si>
  <si>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</si>
  <si>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</si>
  <si>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</si>
  <si>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</si>
  <si>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</si>
  <si>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</si>
  <si>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</si>
  <si>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</si>
  <si>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</si>
  <si>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</si>
  <si>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</si>
  <si>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</si>
  <si>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</si>
  <si>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</si>
  <si>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</si>
  <si>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</si>
  <si>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</si>
  <si>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</si>
  <si>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</si>
  <si>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</si>
  <si>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</si>
  <si>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</si>
  <si>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</si>
  <si>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</si>
  <si>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</si>
  <si>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</si>
  <si>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</si>
  <si>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</si>
  <si>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</si>
  <si>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</si>
  <si>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</si>
  <si>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</si>
  <si>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</si>
  <si>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</si>
  <si>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</si>
  <si>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</si>
  <si>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</si>
  <si>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</si>
  <si>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</si>
  <si>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</si>
  <si>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</si>
  <si>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</si>
  <si>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</si>
  <si>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</si>
  <si>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</si>
  <si>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</si>
  <si>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</si>
  <si>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</si>
  <si>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</si>
  <si>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</si>
  <si>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</si>
  <si>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</si>
  <si>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</si>
  <si>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</si>
  <si>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</si>
  <si>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</si>
  <si>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</si>
  <si>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</si>
  <si>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</si>
  <si>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</si>
  <si>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</si>
  <si>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</si>
  <si>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</si>
  <si>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</si>
  <si>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</si>
  <si>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</si>
  <si>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</si>
  <si>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</si>
  <si>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</si>
  <si>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</si>
  <si>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</si>
  <si>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</si>
  <si>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</si>
  <si>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</si>
  <si>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</si>
  <si>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</si>
  <si>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</si>
  <si>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</si>
  <si>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</si>
  <si>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</si>
  <si>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</si>
  <si>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</si>
  <si>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</si>
  <si>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</si>
  <si>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</si>
  <si>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</si>
  <si>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</si>
  <si>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</si>
  <si>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</si>
  <si>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</si>
  <si>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</si>
  <si>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</si>
  <si>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</si>
  <si>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</si>
  <si>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</si>
  <si>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</si>
  <si>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</si>
  <si>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</si>
  <si>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</si>
  <si>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</si>
  <si>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</si>
  <si>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</si>
  <si>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</si>
  <si>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</si>
  <si>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</si>
  <si>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</si>
  <si>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</si>
  <si>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</si>
  <si>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</si>
  <si>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</si>
  <si>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</si>
  <si>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</si>
  <si>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</si>
  <si>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</si>
  <si>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</si>
  <si>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</si>
  <si>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</si>
  <si>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</si>
  <si>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</si>
  <si>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</si>
  <si>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</si>
  <si>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</si>
  <si>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</si>
  <si>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</si>
  <si>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</si>
  <si>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</si>
  <si>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</si>
  <si>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</si>
  <si>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</si>
  <si>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</si>
  <si>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</si>
  <si>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</si>
  <si>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</si>
  <si>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</si>
  <si>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</si>
  <si>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</si>
  <si>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</si>
  <si>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</si>
  <si>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</si>
  <si>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</si>
  <si>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</si>
  <si>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</si>
  <si>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</si>
  <si>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</si>
  <si>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</si>
  <si>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</si>
  <si>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</si>
  <si>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</si>
  <si>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</si>
  <si>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</si>
  <si>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</si>
  <si>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</si>
  <si>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</si>
  <si>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</si>
  <si>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</si>
  <si>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</si>
  <si>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</si>
  <si>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</si>
  <si>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</si>
  <si>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</si>
  <si>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</si>
  <si>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</si>
  <si>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</si>
  <si>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</si>
  <si>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</si>
  <si>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</si>
  <si>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</si>
  <si>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</si>
  <si>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</si>
  <si>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</si>
  <si>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</si>
  <si>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</si>
  <si>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</si>
  <si>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</si>
  <si>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</si>
  <si>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</si>
  <si>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</si>
  <si>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</si>
  <si>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</si>
  <si>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</si>
  <si>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</si>
  <si>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</si>
  <si>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</si>
  <si>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</si>
  <si>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</si>
  <si>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</si>
  <si>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</si>
  <si>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</si>
  <si>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</si>
  <si>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</si>
  <si>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</si>
  <si>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</si>
  <si>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</si>
  <si>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</si>
  <si>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</si>
  <si>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</si>
  <si>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</si>
  <si>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</si>
  <si>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</si>
  <si>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</si>
  <si>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</si>
  <si>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</si>
  <si>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</si>
  <si>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</si>
  <si>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</si>
  <si>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</si>
  <si>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</si>
  <si>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</si>
  <si>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</si>
  <si>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</si>
  <si>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</si>
  <si>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</si>
  <si>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</si>
  <si>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</si>
  <si>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</si>
  <si>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</si>
  <si>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</si>
  <si>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</si>
  <si>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</si>
  <si>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</si>
  <si>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</si>
  <si>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</si>
  <si>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</si>
  <si>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</si>
  <si>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</si>
  <si>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</si>
  <si>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</si>
  <si>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</si>
  <si>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</si>
  <si>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</si>
  <si>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</si>
  <si>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</si>
  <si>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</si>
  <si>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</si>
  <si>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</si>
  <si>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</si>
  <si>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</si>
  <si>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</si>
  <si>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</si>
  <si>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</si>
  <si>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</si>
  <si>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</si>
  <si>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</si>
  <si>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</si>
  <si>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</si>
  <si>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</si>
  <si>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</si>
  <si>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</si>
  <si>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</si>
  <si>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</si>
  <si>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</si>
  <si>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</si>
  <si>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</si>
  <si>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</si>
  <si>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</si>
  <si>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</si>
  <si>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</si>
  <si>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</si>
  <si>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</si>
  <si>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</si>
  <si>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</si>
  <si>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</si>
  <si>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</si>
  <si>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</si>
  <si>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</si>
  <si>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</si>
  <si>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</si>
  <si>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</si>
  <si>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</si>
  <si>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</si>
  <si>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</si>
  <si>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</si>
  <si>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</si>
  <si>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</si>
  <si>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</si>
  <si>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</si>
  <si>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</si>
  <si>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</si>
  <si>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</si>
  <si>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</si>
  <si>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</si>
  <si>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</si>
  <si>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</si>
  <si>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</si>
  <si>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</si>
  <si>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</si>
  <si>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</si>
  <si>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</si>
  <si>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</si>
  <si>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</si>
  <si>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</si>
  <si>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</si>
  <si>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</si>
  <si>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</si>
  <si>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</si>
  <si>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</si>
  <si>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</si>
  <si>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</si>
  <si>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</si>
  <si>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</si>
  <si>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</si>
  <si>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</si>
  <si>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</si>
  <si>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</si>
  <si>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</si>
  <si>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</si>
  <si>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</si>
  <si>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</si>
  <si>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</si>
  <si>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</si>
  <si>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</si>
  <si>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</si>
  <si>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</si>
  <si>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</si>
  <si>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</si>
  <si>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</si>
  <si>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</si>
  <si>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</si>
  <si>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</si>
  <si>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</si>
  <si>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</si>
  <si>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</si>
  <si>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</si>
  <si>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</si>
  <si>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</si>
  <si>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</si>
  <si>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</si>
  <si>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</si>
  <si>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</si>
  <si>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</si>
  <si>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</si>
  <si>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</si>
  <si>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</si>
  <si>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</si>
  <si>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</si>
  <si>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</si>
  <si>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</si>
  <si>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</si>
  <si>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</si>
  <si>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</si>
  <si>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</si>
  <si>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</si>
  <si>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</si>
  <si>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</si>
  <si>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</si>
  <si>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</si>
  <si>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</si>
  <si>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</si>
  <si>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</si>
  <si>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</si>
  <si>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</si>
  <si>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</si>
  <si>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</si>
  <si>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</si>
  <si>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</si>
  <si>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</si>
  <si>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</si>
  <si>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</si>
  <si>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</si>
  <si>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</si>
  <si>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</si>
  <si>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</si>
  <si>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</si>
  <si>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</si>
  <si>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</si>
  <si>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</si>
  <si>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</si>
  <si>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</si>
  <si>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</si>
  <si>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</si>
  <si>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</si>
  <si>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</si>
  <si>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</si>
  <si>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</si>
  <si>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</si>
  <si>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</si>
  <si>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</si>
  <si>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</si>
  <si>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</si>
  <si>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</si>
  <si>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</si>
  <si>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</si>
  <si>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</si>
  <si>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</si>
  <si>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</si>
  <si>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</si>
  <si>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</si>
  <si>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</si>
  <si>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</si>
  <si>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</si>
  <si>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</si>
  <si>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</si>
  <si>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</si>
  <si>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</si>
  <si>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</si>
  <si>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</si>
  <si>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</si>
  <si>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</si>
  <si>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</si>
  <si>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</si>
  <si>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</si>
  <si>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</si>
  <si>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</si>
  <si>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</si>
  <si>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</si>
  <si>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</si>
  <si>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</si>
  <si>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</si>
  <si>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</si>
  <si>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</si>
  <si>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</si>
  <si>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</si>
  <si>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</si>
  <si>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</si>
  <si>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</si>
  <si>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</si>
  <si>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</si>
  <si>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</si>
  <si>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</si>
  <si>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</si>
  <si>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</si>
  <si>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</si>
  <si>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</si>
  <si>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</si>
  <si>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</si>
  <si>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</si>
  <si>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</si>
  <si>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</si>
  <si>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</si>
  <si>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</si>
  <si>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</si>
  <si>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</si>
  <si>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</si>
  <si>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</si>
  <si>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</si>
  <si>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</si>
  <si>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</si>
  <si>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</si>
  <si>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</si>
  <si>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</si>
  <si>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</si>
  <si>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</si>
  <si>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</si>
  <si>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</si>
  <si>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</si>
  <si>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</si>
  <si>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</si>
  <si>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</si>
  <si>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</si>
  <si>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</si>
  <si>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</si>
  <si>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</si>
  <si>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</si>
  <si>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</si>
  <si>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</si>
  <si>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</si>
  <si>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</si>
  <si>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</si>
  <si>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</si>
  <si>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</si>
  <si>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</si>
  <si>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</si>
  <si>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</si>
  <si>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</si>
  <si>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</si>
  <si>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</si>
  <si>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</si>
  <si>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</si>
  <si>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</si>
  <si>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</si>
  <si>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</si>
  <si>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</si>
  <si>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</si>
  <si>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</si>
  <si>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</si>
  <si>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</si>
  <si>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</si>
  <si>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</si>
  <si>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</si>
  <si>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</si>
  <si>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</si>
  <si>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</si>
  <si>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</si>
  <si>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</si>
  <si>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</si>
  <si>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</si>
  <si>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</si>
  <si>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</si>
  <si>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</si>
  <si>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</si>
  <si>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</si>
  <si>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</si>
  <si>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</si>
  <si>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</si>
  <si>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</si>
  <si>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</si>
  <si>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</si>
  <si>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</si>
  <si>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</si>
  <si>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</si>
  <si>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</si>
  <si>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</si>
  <si>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</si>
  <si>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</si>
  <si>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</si>
  <si>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</si>
  <si>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</si>
  <si>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</si>
  <si>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</si>
  <si>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</si>
  <si>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</si>
  <si>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</si>
  <si>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</si>
  <si>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</si>
  <si>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</si>
  <si>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</si>
  <si>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</si>
  <si>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</si>
  <si>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</si>
  <si>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</si>
  <si>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</si>
  <si>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</si>
  <si>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</si>
  <si>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</si>
  <si>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</si>
  <si>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</si>
  <si>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</si>
  <si>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</si>
  <si>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</si>
  <si>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</si>
  <si>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</si>
  <si>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</si>
  <si>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</si>
  <si>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</si>
  <si>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</si>
  <si>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</si>
  <si>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</si>
  <si>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</si>
  <si>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</si>
  <si>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</si>
  <si>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</si>
  <si>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</si>
  <si>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</si>
  <si>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</si>
  <si>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</si>
  <si>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</si>
  <si>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</si>
  <si>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</si>
  <si>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</si>
  <si>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</si>
  <si>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</si>
  <si>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</si>
  <si>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</si>
  <si>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</si>
  <si>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</si>
  <si>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</si>
  <si>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</si>
  <si>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</si>
  <si>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</si>
  <si>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</si>
  <si>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</si>
  <si>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</si>
  <si>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</si>
  <si>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</si>
  <si>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</si>
  <si>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</si>
  <si>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</si>
  <si>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</si>
  <si>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</si>
  <si>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</si>
  <si>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</si>
  <si>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</si>
  <si>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</si>
  <si>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</si>
  <si>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</si>
  <si>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</si>
  <si>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</si>
  <si>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</si>
  <si>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</si>
  <si>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</si>
  <si>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</si>
  <si>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</si>
  <si>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</si>
  <si>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</si>
  <si>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</si>
  <si>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</si>
  <si>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</si>
  <si>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</si>
  <si>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</si>
  <si>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</si>
  <si>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</si>
  <si>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</si>
  <si>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</si>
  <si>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</si>
  <si>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</si>
  <si>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</si>
  <si>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</si>
  <si>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</si>
  <si>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</si>
  <si>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</si>
  <si>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</si>
  <si>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</si>
  <si>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</si>
  <si>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</si>
  <si>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</si>
  <si>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</si>
  <si>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</si>
  <si>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</si>
  <si>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</si>
  <si>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</si>
  <si>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</si>
  <si>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</si>
  <si>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</si>
  <si>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</si>
  <si>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</si>
  <si>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</si>
  <si>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</si>
  <si>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</si>
  <si>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</si>
  <si>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</si>
  <si>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</si>
  <si>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</si>
  <si>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</si>
  <si>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</si>
  <si>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</si>
  <si>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</si>
  <si>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</si>
  <si>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</si>
  <si>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</si>
  <si>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</si>
  <si>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</si>
  <si>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</si>
  <si>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</si>
  <si>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</si>
  <si>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</si>
  <si>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</si>
  <si>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</si>
  <si>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</si>
  <si>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</si>
  <si>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</si>
  <si>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</si>
  <si>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</si>
  <si>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</si>
  <si>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</si>
  <si>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</si>
  <si>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</si>
  <si>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</si>
  <si>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</si>
  <si>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</si>
  <si>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</si>
  <si>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</si>
  <si>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</si>
  <si>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</si>
  <si>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</si>
  <si>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</si>
  <si>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</si>
  <si>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</si>
  <si>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</si>
  <si>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</si>
  <si>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</si>
  <si>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</si>
  <si>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</si>
  <si>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</si>
  <si>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</si>
  <si>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</si>
  <si>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</si>
  <si>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</si>
  <si>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</si>
  <si>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</si>
  <si>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</si>
  <si>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</si>
  <si>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</si>
  <si>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</si>
  <si>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</si>
  <si>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</si>
  <si>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</si>
  <si>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</si>
  <si>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</si>
  <si>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</si>
  <si>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</si>
  <si>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</si>
  <si>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</si>
  <si>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</si>
  <si>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</si>
  <si>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</si>
  <si>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</si>
  <si>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</si>
  <si>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</si>
  <si>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</si>
  <si>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</si>
  <si>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</si>
  <si>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</si>
  <si>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</si>
  <si>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</si>
  <si>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</si>
  <si>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</si>
  <si>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</si>
  <si>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</si>
  <si>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</si>
  <si>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</si>
  <si>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</si>
  <si>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</si>
  <si>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</si>
  <si>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</si>
  <si>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</si>
  <si>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</si>
  <si>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</si>
  <si>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</si>
  <si>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</si>
  <si>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</si>
  <si>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</si>
  <si>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</si>
  <si>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</si>
  <si>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</si>
  <si>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</si>
  <si>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</si>
  <si>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</si>
  <si>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</si>
  <si>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</si>
  <si>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</si>
  <si>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</si>
  <si>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</si>
  <si>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</si>
  <si>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</si>
  <si>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</si>
  <si>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</si>
  <si>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</si>
  <si>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</si>
  <si>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</si>
  <si>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</si>
  <si>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</si>
  <si>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</si>
  <si>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</si>
  <si>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</si>
  <si>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</si>
  <si>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</si>
  <si>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</si>
  <si>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</si>
  <si>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</si>
  <si>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</si>
  <si>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</si>
  <si>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</si>
  <si>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</si>
  <si>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</si>
  <si>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</si>
  <si>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</si>
  <si>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</si>
  <si>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</si>
  <si>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</si>
  <si>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</si>
  <si>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</si>
  <si>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</si>
  <si>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</si>
  <si>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</si>
  <si>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</si>
  <si>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</si>
  <si>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</si>
  <si>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</si>
  <si>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</si>
  <si>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</si>
  <si>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</si>
  <si>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</si>
  <si>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</si>
  <si>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</si>
  <si>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</si>
  <si>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</si>
  <si>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</si>
  <si>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</si>
  <si>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</si>
  <si>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</si>
  <si>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</si>
  <si>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</si>
  <si>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</si>
  <si>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</si>
  <si>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</si>
  <si>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</si>
  <si>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</si>
  <si>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</si>
  <si>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</si>
  <si>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</si>
  <si>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</si>
  <si>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</si>
  <si>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</si>
  <si>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</si>
  <si>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</si>
  <si>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</si>
  <si>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</si>
  <si>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</si>
  <si>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</si>
  <si>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</si>
  <si>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</si>
  <si>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</si>
  <si>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</si>
  <si>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</si>
  <si>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</si>
  <si>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</si>
  <si>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</si>
  <si>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</si>
  <si>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</si>
  <si>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</si>
  <si>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</si>
  <si>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</si>
  <si>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</si>
  <si>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</si>
  <si>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</si>
  <si>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</si>
  <si>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</si>
  <si>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</si>
  <si>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</si>
  <si>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</si>
  <si>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</si>
  <si>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</si>
  <si>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</si>
  <si>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</si>
  <si>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</si>
  <si>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</si>
  <si>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</si>
  <si>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</si>
  <si>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</si>
  <si>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</si>
  <si>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</si>
  <si>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</si>
  <si>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</si>
  <si>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</si>
  <si>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</si>
  <si>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</si>
  <si>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</si>
  <si>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</si>
  <si>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</si>
  <si>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</si>
  <si>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</si>
  <si>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</si>
  <si>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</si>
  <si>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</si>
  <si>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</si>
  <si>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</si>
  <si>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</si>
  <si>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</si>
  <si>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</si>
  <si>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</si>
  <si>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</si>
  <si>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</si>
  <si>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</si>
  <si>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</si>
  <si>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</si>
  <si>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</si>
  <si>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</si>
  <si>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</si>
  <si>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</si>
  <si>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</si>
  <si>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</si>
  <si>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</si>
  <si>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</si>
  <si>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</si>
  <si>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</si>
  <si>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</si>
  <si>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</si>
  <si>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</si>
  <si>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</si>
  <si>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</si>
  <si>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</si>
  <si>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</si>
  <si>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</si>
  <si>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</si>
  <si>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</si>
  <si>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</si>
  <si>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</si>
  <si>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</si>
  <si>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</si>
  <si>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</si>
  <si>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</si>
  <si>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</si>
  <si>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</si>
  <si>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</si>
  <si>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</si>
  <si>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</si>
  <si>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</si>
  <si>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</si>
  <si>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</si>
  <si>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</si>
  <si>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</si>
  <si>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</si>
  <si>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</si>
  <si>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</si>
  <si>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</si>
  <si>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</si>
  <si>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</si>
  <si>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</si>
  <si>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</si>
  <si>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</si>
  <si>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</si>
  <si>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</si>
  <si>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</si>
  <si>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</si>
  <si>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</si>
  <si>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</si>
  <si>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</si>
  <si>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</si>
  <si>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</si>
  <si>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</si>
  <si>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</si>
  <si>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</si>
  <si>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</si>
  <si>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</si>
  <si>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</si>
  <si>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</si>
  <si>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</si>
  <si>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</si>
  <si>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</si>
  <si>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</si>
  <si>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</si>
  <si>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</si>
  <si>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</si>
  <si>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</si>
  <si>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</si>
  <si>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</si>
  <si>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</si>
  <si>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</si>
  <si>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</si>
  <si>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</si>
  <si>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</si>
  <si>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</si>
  <si>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</si>
  <si>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</si>
  <si>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</si>
  <si>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</si>
  <si>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</si>
  <si>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</si>
  <si>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</si>
  <si>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</si>
  <si>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</si>
  <si>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</si>
  <si>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</si>
  <si>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</si>
  <si>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</si>
  <si>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</si>
  <si>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</si>
  <si>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</si>
  <si>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</si>
  <si>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</si>
  <si>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</si>
  <si>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</si>
  <si>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</si>
  <si>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</si>
  <si>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</si>
  <si>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</si>
  <si>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</si>
  <si>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</si>
  <si>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</si>
  <si>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</si>
  <si>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</si>
  <si>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</si>
  <si>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</si>
  <si>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</si>
  <si>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</si>
  <si>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</si>
  <si>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</si>
  <si>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</si>
  <si>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</si>
  <si>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</si>
  <si>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</si>
  <si>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</si>
  <si>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</si>
  <si>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</si>
  <si>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</si>
  <si>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</si>
  <si>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</si>
  <si>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</si>
  <si>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</si>
  <si>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</si>
  <si>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</si>
  <si>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</si>
  <si>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</si>
  <si>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</si>
  <si>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</si>
  <si>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</si>
  <si>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</si>
  <si>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</si>
  <si>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</si>
  <si>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</si>
  <si>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</si>
  <si>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</si>
  <si>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</si>
  <si>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</si>
  <si>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</si>
  <si>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</si>
  <si>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</si>
  <si>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</si>
  <si>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</si>
  <si>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</si>
  <si>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</si>
  <si>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</si>
  <si>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</si>
  <si>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</si>
  <si>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</si>
  <si>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</si>
  <si>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</si>
  <si>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</si>
  <si>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</si>
  <si>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</si>
  <si>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</si>
  <si>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</si>
  <si>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</si>
  <si>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</si>
  <si>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</si>
  <si>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</si>
  <si>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</si>
  <si>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</si>
  <si>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</si>
  <si>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</si>
  <si>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</si>
  <si>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</si>
  <si>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</si>
  <si>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</si>
  <si>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</si>
  <si>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</si>
  <si>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</si>
  <si>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</si>
  <si>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</si>
  <si>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</si>
  <si>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</si>
  <si>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</si>
  <si>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</si>
  <si>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</si>
  <si>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</si>
  <si>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</si>
  <si>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</si>
  <si>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</si>
  <si>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</si>
  <si>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</si>
  <si>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</si>
  <si>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</si>
  <si>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</si>
  <si>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</si>
  <si>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</si>
  <si>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</si>
  <si>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</si>
  <si>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</si>
  <si>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</si>
  <si>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</si>
  <si>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</si>
  <si>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</si>
  <si>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</si>
  <si>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</si>
  <si>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</si>
  <si>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</si>
  <si>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</si>
  <si>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</si>
  <si>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</si>
  <si>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</si>
  <si>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</si>
  <si>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</si>
  <si>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</si>
  <si>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</si>
  <si>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</si>
  <si>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</si>
  <si>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</si>
  <si>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</si>
  <si>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</si>
  <si>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</si>
  <si>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</si>
  <si>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</si>
  <si>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</si>
  <si>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</si>
  <si>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</si>
  <si>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</si>
  <si>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</si>
  <si>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</si>
  <si>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</si>
  <si>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</si>
  <si>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</si>
  <si>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</si>
  <si>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</si>
  <si>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</si>
  <si>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</si>
  <si>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</si>
  <si>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</si>
  <si>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</si>
  <si>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</si>
  <si>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</si>
  <si>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</si>
  <si>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</si>
  <si>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</si>
  <si>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</si>
  <si>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</si>
  <si>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</si>
  <si>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</si>
  <si>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</si>
  <si>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</si>
  <si>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</si>
  <si>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</si>
  <si>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</si>
  <si>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</si>
  <si>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</si>
  <si>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</si>
  <si>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</si>
  <si>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</si>
  <si>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</si>
  <si>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</si>
  <si>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</si>
  <si>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</si>
  <si>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</si>
  <si>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</si>
  <si>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</si>
  <si>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</si>
  <si>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</si>
  <si>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</si>
  <si>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</si>
  <si>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</si>
  <si>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</si>
  <si>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</si>
  <si>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</si>
  <si>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</si>
  <si>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</si>
  <si>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</si>
  <si>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</si>
  <si>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</si>
  <si>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</si>
  <si>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</si>
  <si>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</si>
  <si>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</si>
  <si>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</si>
  <si>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</si>
  <si>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</si>
  <si>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</si>
  <si>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</si>
  <si>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</si>
  <si>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</si>
  <si>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</si>
  <si>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</si>
  <si>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</si>
  <si>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</si>
  <si>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</si>
  <si>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</si>
  <si>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</si>
  <si>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</si>
  <si>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</si>
  <si>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</si>
  <si>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</si>
  <si>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</si>
  <si>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</si>
  <si>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</si>
  <si>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</si>
  <si>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</si>
  <si>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</si>
  <si>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</si>
  <si>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</si>
  <si>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</si>
  <si>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</si>
  <si>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</si>
  <si>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</si>
  <si>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</si>
  <si>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</si>
  <si>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</si>
  <si>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</si>
  <si>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</si>
  <si>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</si>
  <si>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</si>
  <si>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</si>
  <si>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</si>
  <si>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</si>
  <si>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</si>
  <si>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</si>
  <si>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</si>
  <si>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</si>
  <si>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</si>
  <si>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</si>
  <si>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</si>
  <si>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</si>
  <si>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</si>
  <si>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</si>
  <si>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</si>
  <si>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</si>
  <si>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</si>
  <si>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</si>
  <si>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</si>
  <si>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</si>
  <si>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</si>
  <si>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</si>
  <si>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</si>
  <si>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</si>
  <si>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</si>
  <si>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</si>
  <si>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</si>
  <si>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</si>
  <si>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</si>
  <si>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</si>
  <si>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</si>
  <si>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</si>
  <si>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</si>
  <si>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</si>
  <si>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</si>
  <si>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</si>
  <si>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</si>
  <si>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</si>
  <si>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</si>
  <si>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</si>
  <si>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</si>
  <si>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</si>
  <si>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</si>
  <si>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</si>
  <si>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</si>
  <si>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</si>
  <si>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</si>
  <si>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</si>
  <si>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</si>
  <si>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</si>
  <si>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</si>
  <si>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</si>
  <si>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</si>
  <si>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</si>
  <si>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</si>
  <si>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</si>
  <si>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</si>
  <si>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</si>
  <si>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</si>
  <si>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</si>
  <si>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</si>
  <si>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</si>
  <si>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</si>
  <si>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</si>
  <si>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</si>
  <si>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</si>
  <si>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</si>
  <si>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</si>
  <si>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</si>
  <si>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</si>
  <si>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</si>
  <si>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</si>
  <si>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</si>
  <si>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</si>
  <si>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</si>
  <si>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</si>
  <si>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</si>
  <si>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</si>
  <si>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</si>
  <si>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</si>
  <si>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</si>
  <si>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</si>
  <si>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</si>
  <si>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</si>
  <si>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</si>
  <si>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</si>
  <si>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</si>
  <si>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</si>
  <si>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</si>
  <si>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</si>
  <si>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</si>
  <si>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</si>
  <si>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</si>
  <si>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</si>
  <si>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</si>
  <si>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</si>
  <si>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</si>
  <si>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</si>
  <si>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</si>
  <si>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</si>
  <si>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</si>
  <si>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</si>
  <si>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</si>
  <si>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</si>
  <si>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</si>
  <si>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</si>
  <si>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</si>
  <si>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</si>
  <si>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</si>
  <si>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</si>
  <si>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</si>
  <si>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</si>
  <si>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</si>
  <si>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</si>
  <si>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</si>
  <si>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</si>
  <si>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</si>
  <si>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</si>
  <si>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</si>
  <si>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</si>
  <si>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</si>
  <si>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</si>
  <si>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</si>
  <si>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</si>
  <si>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</si>
  <si>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</si>
  <si>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</si>
  <si>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</si>
  <si>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</si>
  <si>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</si>
  <si>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</si>
  <si>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</si>
  <si>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</si>
  <si>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</si>
  <si>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</si>
  <si>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</si>
  <si>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</si>
  <si>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</si>
  <si>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</si>
  <si>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</si>
  <si>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</si>
  <si>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</si>
  <si>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</si>
  <si>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</si>
  <si>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</si>
  <si>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</si>
  <si>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</si>
  <si>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</si>
  <si>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</si>
  <si>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</si>
  <si>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</si>
  <si>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</si>
  <si>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</si>
  <si>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</si>
  <si>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</si>
  <si>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</si>
  <si>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</si>
  <si>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</si>
  <si>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</si>
  <si>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</si>
  <si>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</si>
  <si>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</si>
  <si>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</si>
  <si>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</si>
  <si>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</si>
  <si>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</si>
  <si>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</si>
  <si>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</si>
  <si>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</si>
  <si>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</si>
  <si>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</si>
  <si>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</si>
  <si>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</si>
  <si>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</si>
  <si>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</si>
  <si>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</si>
  <si>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</si>
  <si>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</si>
  <si>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</si>
  <si>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</si>
  <si>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</si>
  <si>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</si>
  <si>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</si>
  <si>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</si>
  <si>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</si>
  <si>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</si>
  <si>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</si>
  <si>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</si>
  <si>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</si>
  <si>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</si>
  <si>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</si>
  <si>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</si>
  <si>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</si>
  <si>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</si>
  <si>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</si>
  <si>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</si>
  <si>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</si>
  <si>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</si>
  <si>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</si>
  <si>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</si>
  <si>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</si>
  <si>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</si>
  <si>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</si>
  <si>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</si>
  <si>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</si>
  <si>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</si>
  <si>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</si>
  <si>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</si>
  <si>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</si>
  <si>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</si>
  <si>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</si>
  <si>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</si>
  <si>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</si>
  <si>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</si>
  <si>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</si>
  <si>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</si>
  <si>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</si>
  <si>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</si>
  <si>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</si>
  <si>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</si>
  <si>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</si>
  <si>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</si>
  <si>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</si>
  <si>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</si>
  <si>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</si>
  <si>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</si>
  <si>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</si>
  <si>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</si>
  <si>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</si>
  <si>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</si>
  <si>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</si>
  <si>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</si>
  <si>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</si>
  <si>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</si>
  <si>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</si>
  <si>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</si>
  <si>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</si>
  <si>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</si>
  <si>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</si>
  <si>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</si>
  <si>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</si>
  <si>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</si>
  <si>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</si>
  <si>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</si>
  <si>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</si>
  <si>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</si>
  <si>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</si>
  <si>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</si>
  <si>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</si>
  <si>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</si>
  <si>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</si>
  <si>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</si>
  <si>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</si>
  <si>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</si>
  <si>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</si>
  <si>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</si>
  <si>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</si>
  <si>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</si>
  <si>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</si>
  <si>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</si>
  <si>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</si>
  <si>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</si>
  <si>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</si>
  <si>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</si>
  <si>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</si>
  <si>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</si>
  <si>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</si>
  <si>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</si>
  <si>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</si>
  <si>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</si>
  <si>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</si>
  <si>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</si>
  <si>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</si>
  <si>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</si>
  <si>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</si>
  <si>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</si>
  <si>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</si>
  <si>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</si>
  <si>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</si>
  <si>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</si>
  <si>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</si>
  <si>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</si>
  <si>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</si>
  <si>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</si>
  <si>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</si>
  <si>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</si>
  <si>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</si>
  <si>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</si>
  <si>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</si>
  <si>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</si>
  <si>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</si>
  <si>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</si>
  <si>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</si>
  <si>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</si>
  <si>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</si>
  <si>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</si>
  <si>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</si>
  <si>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</si>
  <si>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</si>
  <si>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</si>
  <si>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</si>
  <si>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</si>
  <si>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</si>
  <si>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</si>
  <si>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</si>
  <si>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</si>
  <si>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</si>
  <si>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</si>
  <si>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</si>
  <si>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</si>
  <si>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</si>
  <si>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</si>
  <si>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</si>
  <si>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</si>
  <si>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</si>
  <si>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</si>
  <si>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</si>
  <si>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</si>
  <si>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</si>
  <si>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</si>
  <si>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</si>
  <si>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</si>
  <si>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</si>
  <si>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</si>
  <si>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</si>
  <si>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</si>
  <si>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</si>
  <si>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</si>
  <si>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</si>
  <si>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</si>
  <si>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</si>
  <si>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</si>
  <si>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</si>
  <si>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</si>
  <si>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</si>
  <si>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</si>
  <si>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</si>
  <si>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</si>
  <si>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</si>
  <si>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</si>
  <si>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</si>
  <si>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</si>
  <si>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</si>
  <si>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</si>
  <si>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</si>
  <si>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</si>
  <si>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</si>
  <si>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</si>
  <si>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</si>
  <si>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</si>
  <si>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</si>
  <si>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</si>
  <si>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</si>
  <si>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</si>
  <si>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</si>
  <si>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</si>
  <si>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</si>
  <si>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</si>
  <si>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</si>
  <si>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</si>
  <si>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</si>
  <si>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</si>
  <si>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</si>
  <si>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</si>
  <si>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</si>
  <si>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</si>
  <si>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</si>
  <si>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</si>
  <si>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</si>
  <si>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</si>
  <si>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</si>
  <si>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</si>
  <si>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</si>
  <si>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</si>
  <si>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</si>
  <si>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</si>
  <si>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</si>
  <si>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</si>
  <si>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</si>
  <si>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</si>
  <si>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</si>
  <si>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</si>
  <si>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</si>
  <si>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</si>
  <si>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</si>
  <si>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</si>
  <si>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</si>
  <si>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</si>
  <si>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</si>
  <si>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</si>
  <si>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</si>
  <si>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</si>
  <si>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</si>
  <si>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</si>
  <si>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</si>
  <si>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</si>
  <si>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</si>
  <si>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</si>
  <si>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</si>
  <si>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</si>
  <si>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</si>
  <si>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</si>
  <si>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</si>
  <si>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</si>
  <si>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</si>
  <si>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</si>
  <si>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</si>
  <si>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</si>
  <si>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</si>
  <si>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</si>
  <si>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</si>
  <si>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</si>
  <si>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</si>
  <si>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</si>
  <si>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</si>
  <si>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</si>
  <si>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</si>
  <si>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</si>
  <si>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</si>
  <si>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</si>
  <si>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</si>
  <si>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</si>
  <si>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</si>
  <si>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</si>
  <si>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</si>
  <si>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</si>
  <si>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</si>
  <si>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</si>
  <si>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</si>
  <si>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</si>
  <si>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</si>
  <si>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</si>
  <si>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</si>
  <si>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</si>
  <si>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</si>
  <si>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</si>
  <si>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</si>
  <si>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</si>
  <si>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</si>
  <si>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</si>
  <si>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</si>
  <si>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</si>
  <si>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</si>
  <si>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</si>
  <si>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</si>
  <si>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</si>
  <si>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</si>
  <si>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</si>
  <si>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</si>
  <si>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</si>
  <si>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</si>
  <si>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</si>
  <si>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</si>
  <si>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</si>
  <si>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</si>
  <si>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</si>
  <si>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</si>
  <si>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</si>
  <si>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</si>
  <si>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</si>
  <si>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</si>
  <si>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</si>
  <si>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</si>
  <si>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</si>
  <si>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</si>
  <si>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</si>
  <si>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</si>
  <si>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</si>
  <si>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</si>
  <si>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</si>
  <si>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</si>
  <si>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</si>
  <si>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</si>
  <si>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</si>
  <si>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</si>
  <si>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</si>
  <si>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</si>
  <si>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</si>
  <si>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</si>
  <si>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</si>
  <si>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</si>
  <si>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</si>
  <si>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</si>
  <si>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</si>
  <si>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</si>
  <si>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</si>
  <si>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</si>
  <si>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</si>
  <si>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</si>
  <si>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</si>
  <si>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</si>
  <si>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</si>
  <si>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</si>
  <si>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</si>
  <si>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</si>
  <si>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</si>
  <si>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</si>
  <si>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</si>
  <si>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</si>
  <si>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</si>
  <si>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</si>
  <si>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</si>
  <si>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</si>
  <si>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</si>
  <si>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</si>
  <si>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</si>
  <si>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</si>
  <si>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</si>
  <si>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</si>
  <si>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</si>
  <si>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</si>
  <si>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</si>
  <si>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</si>
  <si>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</si>
  <si>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</si>
  <si>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</si>
  <si>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</si>
  <si>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</si>
  <si>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</si>
  <si>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</si>
  <si>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</si>
  <si>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</si>
  <si>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</si>
  <si>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</si>
  <si>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</si>
  <si>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</si>
  <si>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</si>
  <si>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</si>
  <si>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</si>
  <si>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</si>
  <si>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</si>
  <si>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</si>
  <si>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</si>
  <si>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</si>
  <si>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</si>
  <si>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</si>
  <si>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</si>
  <si>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</si>
  <si>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</si>
  <si>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</si>
  <si>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</si>
  <si>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</si>
  <si>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</si>
  <si>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</si>
  <si>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</si>
  <si>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</si>
  <si>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</si>
  <si>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</si>
  <si>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</si>
  <si>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</si>
  <si>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</si>
  <si>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</si>
  <si>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</si>
  <si>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</si>
  <si>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</si>
  <si>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</si>
  <si>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</si>
  <si>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</si>
  <si>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</si>
  <si>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</si>
  <si>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</si>
  <si>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</si>
  <si>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</si>
  <si>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</si>
  <si>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</si>
  <si>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</si>
  <si>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</si>
  <si>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</si>
  <si>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</si>
  <si>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</si>
  <si>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</si>
  <si>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</si>
  <si>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</si>
  <si>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</si>
  <si>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</si>
  <si>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</si>
  <si>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</si>
  <si>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</si>
  <si>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</si>
  <si>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</si>
  <si>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</si>
  <si>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</si>
  <si>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</si>
  <si>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</si>
  <si>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</si>
  <si>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</si>
  <si>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</si>
  <si>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</si>
  <si>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</si>
  <si>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</si>
  <si>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</si>
  <si>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</si>
  <si>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</si>
  <si>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</si>
  <si>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</si>
  <si>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</si>
  <si>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</si>
  <si>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</si>
  <si>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</si>
  <si>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</si>
  <si>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</si>
  <si>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</si>
  <si>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</si>
  <si>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</si>
  <si>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</si>
  <si>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</si>
  <si>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</si>
  <si>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</si>
  <si>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</si>
  <si>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</si>
  <si>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</si>
  <si>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</si>
  <si>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</si>
  <si>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</si>
  <si>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</si>
  <si>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</si>
  <si>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</si>
  <si>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</si>
  <si>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</si>
  <si>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</si>
  <si>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</si>
  <si>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</si>
  <si>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</si>
  <si>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</si>
  <si>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</si>
  <si>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</si>
  <si>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</si>
  <si>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</si>
  <si>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</si>
  <si>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</si>
  <si>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</si>
  <si>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</si>
  <si>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</si>
  <si>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</si>
  <si>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</si>
  <si>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</si>
  <si>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</si>
  <si>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</si>
  <si>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</si>
  <si>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</si>
  <si>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</si>
  <si>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</si>
  <si>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</si>
  <si>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</si>
  <si>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</si>
  <si>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</si>
  <si>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</si>
  <si>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</si>
  <si>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</si>
  <si>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</si>
  <si>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</si>
  <si>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</si>
  <si>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</si>
  <si>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</si>
  <si>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</si>
  <si>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</si>
  <si>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</si>
  <si>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</si>
  <si>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</si>
  <si>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</si>
  <si>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</si>
  <si>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</si>
  <si>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</si>
  <si>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</si>
  <si>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</si>
  <si>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</si>
  <si>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</si>
  <si>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</si>
  <si>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</si>
  <si>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</si>
  <si>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</si>
  <si>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</si>
  <si>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</si>
  <si>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</si>
  <si>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</si>
  <si>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</si>
  <si>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</si>
  <si>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</si>
  <si>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</si>
  <si>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</si>
  <si>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</si>
  <si>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</si>
  <si>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</si>
  <si>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</si>
  <si>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</si>
  <si>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</si>
  <si>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</si>
  <si>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</si>
  <si>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</si>
  <si>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</si>
  <si>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</si>
  <si>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</si>
  <si>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</si>
  <si>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</si>
  <si>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</si>
  <si>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</si>
  <si>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</si>
  <si>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</si>
  <si>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</si>
  <si>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</si>
  <si>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</si>
  <si>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</si>
  <si>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</si>
  <si>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</si>
  <si>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</si>
  <si>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</si>
  <si>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</si>
  <si>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</si>
  <si>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</si>
  <si>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</si>
  <si>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</si>
  <si>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</si>
  <si>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</si>
  <si>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</si>
  <si>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</si>
  <si>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</si>
  <si>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</si>
  <si>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</si>
  <si>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</si>
  <si>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</si>
  <si>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</si>
  <si>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</si>
  <si>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</si>
  <si>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</si>
  <si>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</si>
  <si>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</si>
  <si>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</si>
  <si>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</si>
  <si>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</si>
  <si>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</si>
  <si>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</si>
  <si>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</si>
  <si>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</si>
  <si>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</si>
  <si>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</si>
  <si>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</si>
  <si>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</si>
  <si>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</si>
  <si>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</si>
  <si>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</si>
  <si>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</si>
  <si>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</si>
  <si>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</si>
  <si>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</si>
  <si>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</si>
  <si>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</si>
  <si>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</si>
  <si>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</si>
  <si>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</si>
  <si>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</si>
  <si>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</si>
  <si>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</si>
  <si>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</si>
  <si>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</si>
  <si>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</si>
  <si>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</si>
  <si>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</si>
  <si>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</si>
  <si>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</si>
  <si>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</si>
  <si>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</si>
  <si>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</si>
  <si>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</si>
  <si>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</si>
  <si>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</si>
  <si>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</si>
  <si>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</si>
  <si>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</si>
  <si>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</si>
  <si>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</si>
  <si>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</si>
  <si>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</si>
  <si>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</si>
  <si>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</si>
  <si>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</si>
  <si>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</si>
  <si>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</si>
  <si>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</si>
  <si>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</si>
  <si>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</si>
  <si>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</si>
  <si>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</si>
  <si>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</si>
  <si>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</si>
  <si>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</si>
  <si>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</si>
  <si>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</si>
  <si>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</si>
  <si>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</si>
  <si>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</si>
  <si>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</si>
  <si>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</si>
  <si>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</si>
  <si>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</si>
  <si>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</si>
  <si>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</si>
  <si>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</si>
  <si>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</si>
  <si>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</si>
  <si>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</si>
  <si>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</si>
  <si>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</si>
  <si>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</si>
  <si>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</si>
  <si>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</si>
  <si>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</si>
  <si>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</si>
  <si>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</si>
  <si>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</si>
  <si>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</si>
  <si>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</si>
  <si>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</si>
  <si>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</si>
  <si>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</si>
  <si>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</si>
  <si>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</si>
  <si>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</si>
  <si>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</si>
  <si>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</si>
  <si>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</si>
  <si>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</si>
  <si>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</si>
  <si>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</si>
  <si>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</si>
  <si>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</si>
  <si>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</si>
  <si>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</si>
  <si>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</si>
  <si>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</si>
  <si>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</si>
  <si>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</si>
  <si>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</si>
  <si>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</si>
  <si>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</si>
  <si>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</si>
  <si>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</si>
  <si>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</si>
  <si>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</si>
  <si>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</si>
  <si>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</si>
  <si>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</si>
  <si>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</si>
  <si>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</si>
  <si>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</si>
  <si>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</si>
  <si>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</si>
  <si>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</si>
  <si>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</si>
  <si>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</si>
  <si>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</si>
  <si>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</si>
  <si>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</si>
  <si>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</si>
  <si>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</si>
  <si>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</si>
  <si>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</si>
  <si>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</si>
  <si>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</si>
  <si>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</si>
  <si>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</si>
  <si>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</si>
  <si>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</si>
  <si>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</si>
  <si>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</si>
  <si>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</si>
  <si>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</si>
  <si>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</si>
  <si>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</si>
  <si>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</si>
  <si>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</si>
  <si>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</si>
  <si>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</si>
  <si>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</si>
  <si>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</si>
  <si>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</si>
  <si>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</si>
  <si>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</si>
  <si>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</si>
  <si>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</si>
  <si>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</si>
  <si>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</si>
  <si>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</si>
  <si>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</si>
  <si>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</si>
  <si>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</si>
  <si>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</si>
  <si>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</si>
  <si>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</si>
  <si>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</si>
  <si>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</si>
  <si>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</si>
  <si>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</si>
  <si>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</si>
  <si>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</si>
  <si>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</si>
  <si>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</si>
  <si>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</si>
  <si>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</si>
  <si>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</si>
  <si>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</si>
  <si>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</si>
  <si>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</si>
  <si>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</si>
  <si>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</si>
  <si>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</si>
  <si>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</si>
  <si>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</si>
  <si>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</si>
  <si>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</si>
  <si>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</si>
  <si>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</si>
  <si>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</si>
  <si>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</si>
  <si>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</si>
  <si>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</si>
  <si>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</si>
  <si>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</si>
  <si>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</si>
  <si>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</si>
  <si>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</si>
  <si>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</si>
  <si>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</si>
  <si>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</si>
  <si>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</si>
  <si>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</si>
  <si>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</si>
  <si>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</si>
  <si>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</si>
  <si>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</si>
  <si>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</si>
  <si>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</si>
  <si>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</si>
  <si>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</si>
  <si>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</si>
  <si>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</si>
  <si>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</si>
  <si>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</si>
  <si>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</si>
  <si>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</si>
  <si>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</si>
  <si>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</si>
  <si>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</si>
  <si>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</si>
  <si>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</si>
  <si>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</si>
  <si>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</si>
  <si>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</si>
  <si>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</si>
  <si>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</si>
  <si>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</si>
  <si>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</si>
  <si>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</si>
  <si>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</si>
  <si>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</si>
  <si>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</si>
  <si>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</si>
  <si>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</si>
  <si>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</si>
  <si>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</si>
  <si>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</si>
  <si>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</si>
  <si>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</si>
  <si>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</si>
  <si>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</si>
  <si>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</si>
  <si>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</si>
  <si>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</si>
  <si>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</si>
  <si>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</si>
  <si>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</si>
  <si>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</si>
  <si>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</si>
  <si>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</si>
  <si>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</si>
  <si>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</si>
  <si>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</si>
  <si>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</si>
  <si>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</si>
  <si>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</si>
  <si>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</si>
  <si>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</si>
  <si>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</si>
  <si>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</si>
  <si>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</si>
  <si>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</si>
  <si>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</si>
  <si>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</si>
  <si>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</si>
  <si>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</si>
  <si>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</si>
  <si>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</si>
  <si>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</si>
  <si>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</si>
  <si>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</si>
  <si>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</si>
  <si>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</si>
  <si>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</si>
  <si>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</si>
  <si>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</si>
  <si>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</si>
  <si>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</si>
  <si>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</si>
  <si>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</si>
  <si>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</si>
  <si>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</si>
  <si>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</si>
  <si>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</si>
  <si>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</si>
  <si>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</si>
  <si>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</si>
  <si>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</si>
  <si>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</si>
  <si>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</si>
  <si>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</si>
  <si>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</si>
  <si>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</si>
  <si>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</si>
  <si>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</si>
  <si>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</si>
  <si>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</si>
  <si>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</si>
  <si>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</si>
  <si>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</si>
  <si>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</si>
  <si>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</si>
  <si>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</si>
  <si>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</si>
  <si>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</si>
  <si>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</si>
  <si>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</si>
  <si>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</si>
  <si>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</si>
  <si>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</si>
  <si>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</si>
  <si>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</si>
  <si>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</si>
  <si>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</si>
  <si>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</si>
  <si>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</si>
  <si>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</si>
  <si>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</si>
  <si>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</si>
  <si>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</si>
  <si>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</si>
  <si>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</si>
  <si>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</si>
  <si>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</si>
  <si>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</si>
  <si>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</si>
  <si>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</si>
  <si>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</si>
  <si>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</si>
  <si>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</si>
  <si>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</si>
  <si>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</si>
  <si>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</si>
  <si>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</si>
  <si>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</si>
  <si>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</si>
  <si>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</si>
  <si>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</si>
  <si>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</si>
  <si>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</si>
  <si>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</si>
  <si>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</si>
  <si>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</si>
  <si>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</si>
  <si>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</si>
  <si>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</si>
  <si>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</si>
  <si>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</si>
  <si>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</si>
  <si>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</si>
  <si>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</si>
  <si>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</si>
  <si>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</si>
  <si>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</si>
  <si>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</si>
  <si>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</si>
  <si>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</si>
  <si>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</si>
  <si>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</si>
  <si>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</si>
  <si>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</si>
  <si>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</si>
  <si>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</si>
  <si>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</si>
  <si>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</si>
  <si>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</si>
  <si>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</si>
  <si>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</si>
  <si>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</si>
  <si>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</si>
  <si>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</si>
  <si>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</si>
  <si>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</si>
  <si>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</si>
  <si>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</si>
  <si>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</si>
  <si>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</si>
  <si>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</si>
  <si>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</si>
  <si>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</si>
  <si>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</si>
  <si>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</si>
  <si>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</si>
  <si>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</si>
  <si>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</si>
  <si>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</si>
  <si>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</si>
  <si>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</si>
  <si>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</si>
  <si>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</si>
  <si>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</si>
  <si>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</si>
  <si>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</si>
  <si>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</si>
  <si>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</si>
  <si>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</si>
  <si>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</si>
  <si>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</si>
  <si>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</si>
  <si>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</si>
  <si>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</si>
  <si>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</si>
  <si>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</si>
  <si>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</si>
  <si>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</si>
  <si>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</si>
  <si>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</si>
  <si>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</si>
  <si>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</si>
  <si>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</si>
  <si>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</si>
  <si>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</si>
  <si>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</si>
  <si>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</si>
  <si>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</si>
  <si>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</si>
  <si>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</si>
  <si>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</si>
  <si>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</si>
  <si>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</si>
  <si>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</si>
  <si>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</si>
  <si>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</si>
  <si>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</si>
  <si>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</si>
  <si>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</si>
  <si>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</si>
  <si>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</si>
  <si>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</si>
  <si>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</si>
  <si>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</si>
  <si>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</si>
  <si>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</si>
  <si>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</si>
  <si>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</si>
  <si>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</si>
  <si>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</si>
  <si>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</si>
  <si>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</si>
  <si>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</si>
  <si>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</si>
  <si>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</si>
  <si>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</si>
  <si>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</si>
  <si>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</si>
  <si>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</si>
  <si>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</si>
  <si>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</si>
  <si>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</si>
  <si>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</si>
  <si>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</si>
  <si>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</si>
  <si>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</si>
  <si>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</si>
  <si>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</si>
  <si>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</si>
  <si>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</si>
  <si>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</si>
  <si>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</si>
  <si>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</si>
  <si>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</si>
  <si>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</si>
  <si>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</si>
  <si>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</si>
  <si>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</si>
  <si>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</si>
  <si>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</si>
  <si>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</si>
  <si>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</si>
  <si>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</si>
  <si>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</si>
  <si>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</si>
  <si>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</si>
  <si>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</si>
  <si>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</si>
  <si>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</si>
  <si>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</si>
  <si>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</si>
  <si>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</si>
  <si>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</si>
  <si>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</si>
  <si>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</si>
  <si>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</si>
  <si>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</si>
  <si>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</si>
  <si>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</si>
  <si>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</si>
  <si>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</si>
  <si>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</si>
  <si>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</si>
  <si>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</si>
  <si>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</si>
  <si>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</si>
  <si>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</si>
  <si>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</si>
  <si>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</si>
  <si>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</si>
  <si>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</si>
  <si>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</si>
  <si>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</si>
  <si>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</si>
  <si>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</si>
  <si>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</si>
  <si>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</si>
  <si>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</si>
  <si>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</si>
  <si>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</si>
  <si>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</si>
  <si>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</si>
  <si>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</si>
  <si>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</si>
  <si>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</si>
  <si>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</si>
  <si>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</si>
  <si>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</si>
  <si>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</si>
  <si>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</si>
  <si>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</si>
  <si>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</si>
  <si>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</si>
  <si>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</si>
  <si>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</si>
  <si>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</si>
  <si>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</si>
  <si>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</si>
  <si>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</si>
  <si>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</si>
  <si>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</si>
  <si>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</si>
  <si>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</si>
  <si>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</si>
  <si>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</si>
  <si>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</si>
  <si>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Prot_Yield</t>
  </si>
  <si>
    <t>Oil_Yield</t>
  </si>
  <si>
    <t>CROP</t>
  </si>
  <si>
    <t>Crop</t>
  </si>
  <si>
    <t>Seed_Impurities</t>
  </si>
  <si>
    <t>Glucosinolates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</si>
  <si>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</si>
  <si>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</si>
  <si>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</si>
  <si>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</si>
  <si>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</si>
  <si>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</si>
  <si>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</si>
  <si>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</si>
  <si>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</si>
  <si>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</si>
  <si>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</si>
  <si>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</si>
  <si>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</si>
  <si>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</si>
  <si>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</si>
  <si>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</si>
  <si>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</si>
  <si>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</si>
  <si>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</si>
  <si>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</si>
  <si>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</si>
  <si>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</si>
  <si>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</si>
  <si>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</si>
  <si>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</si>
  <si>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</si>
  <si>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</si>
  <si>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</si>
  <si>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</si>
  <si>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</si>
  <si>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</si>
  <si>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</si>
  <si>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</si>
  <si>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</si>
  <si>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</si>
  <si>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</si>
  <si>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</si>
  <si>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</si>
  <si>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</si>
  <si>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</si>
  <si>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</si>
  <si>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</si>
  <si>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</si>
  <si>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</si>
  <si>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</si>
  <si>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</si>
  <si>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</si>
  <si>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</si>
  <si>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</si>
  <si>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</si>
  <si>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</si>
  <si>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</si>
  <si>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</si>
  <si>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</si>
  <si>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</si>
  <si>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</si>
  <si>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</si>
  <si>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</si>
  <si>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</si>
  <si>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</si>
  <si>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</si>
  <si>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</si>
  <si>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</si>
  <si>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</si>
  <si>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</si>
  <si>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</si>
  <si>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</si>
  <si>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</si>
  <si>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</si>
  <si>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</si>
  <si>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</si>
  <si>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</si>
  <si>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</si>
  <si>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</si>
  <si>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</si>
  <si>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</si>
  <si>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</si>
  <si>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</si>
  <si>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</si>
  <si>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</si>
  <si>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</si>
  <si>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</si>
  <si>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</si>
  <si>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</si>
  <si>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</si>
  <si>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</si>
  <si>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</si>
  <si>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</si>
  <si>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</si>
  <si>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</si>
  <si>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</si>
  <si>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</si>
  <si>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</si>
  <si>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</si>
  <si>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</si>
  <si>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</si>
  <si>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</si>
  <si>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</si>
  <si>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</si>
  <si>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</si>
  <si>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</si>
  <si>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</si>
  <si>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</si>
  <si>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</si>
  <si>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</si>
  <si>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</si>
  <si>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</si>
  <si>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</si>
  <si>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</si>
  <si>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</si>
  <si>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</si>
  <si>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</si>
  <si>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</si>
  <si>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</si>
  <si>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</si>
  <si>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</si>
  <si>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</si>
  <si>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</si>
  <si>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</si>
  <si>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</si>
  <si>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</si>
  <si>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</si>
  <si>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</si>
  <si>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</si>
  <si>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</si>
  <si>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</si>
  <si>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</si>
  <si>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</si>
  <si>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</si>
  <si>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</si>
  <si>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</si>
  <si>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</si>
  <si>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</si>
  <si>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</si>
  <si>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</si>
  <si>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</si>
  <si>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</si>
  <si>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</si>
  <si>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</si>
  <si>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</si>
  <si>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</si>
  <si>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Pr</t>
  </si>
  <si>
    <t>Protein_%</t>
  </si>
  <si>
    <t>Content of proteins in seeds determined by NIRS.</t>
  </si>
  <si>
    <t>GLS</t>
  </si>
  <si>
    <t>Content of glucosinolates in seeds determined by NIRS.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</si>
  <si>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</si>
  <si>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</si>
  <si>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</si>
  <si>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</si>
  <si>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</si>
  <si>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</si>
  <si>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</si>
  <si>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</si>
  <si>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</si>
  <si>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</si>
  <si>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</si>
  <si>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</si>
  <si>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</si>
  <si>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</si>
  <si>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</si>
  <si>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</si>
  <si>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</si>
  <si>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</si>
  <si>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</si>
  <si>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</si>
  <si>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 xml:space="preserve">Visual observations. </t>
  </si>
  <si>
    <t>Crop problems during the cycle.</t>
  </si>
  <si>
    <t>CLIMATIC</t>
  </si>
  <si>
    <t>Climatic_Stress</t>
  </si>
  <si>
    <t>Climatic incidents during the crop cycle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</si>
  <si>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</si>
  <si>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</si>
  <si>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</si>
  <si>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</si>
  <si>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</si>
  <si>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</si>
  <si>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</si>
  <si>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</si>
  <si>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</si>
  <si>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</si>
  <si>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</si>
  <si>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</si>
  <si>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</si>
  <si>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</si>
  <si>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</si>
  <si>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</si>
  <si>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</si>
  <si>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</si>
  <si>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</si>
  <si>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</si>
  <si>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</si>
  <si>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</si>
  <si>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</si>
  <si>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GRWSTG_F2_value</t>
  </si>
  <si>
    <t>GRWSTG_F2_date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</si>
  <si>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</si>
  <si>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</si>
  <si>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</si>
  <si>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</si>
  <si>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</si>
  <si>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</si>
  <si>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</si>
  <si>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</si>
  <si>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</si>
  <si>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</si>
  <si>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</si>
  <si>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</si>
  <si>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</si>
  <si>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</si>
  <si>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</si>
  <si>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</si>
  <si>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</si>
  <si>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</si>
  <si>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</si>
  <si>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</si>
  <si>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</si>
  <si>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</si>
  <si>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</si>
  <si>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</si>
  <si>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</si>
  <si>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</si>
  <si>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</si>
  <si>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</si>
  <si>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</si>
  <si>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</si>
  <si>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</si>
  <si>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</si>
  <si>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</si>
  <si>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</si>
  <si>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</si>
  <si>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</si>
  <si>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</si>
  <si>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</si>
  <si>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</si>
  <si>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</si>
  <si>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</si>
  <si>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</si>
  <si>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Nom de la demande</t>
  </si>
  <si>
    <t>Station Aucamvillr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</si>
  <si>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</si>
  <si>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</si>
  <si>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</si>
  <si>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</si>
  <si>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</si>
  <si>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</si>
  <si>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</si>
  <si>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</si>
  <si>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</si>
  <si>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</si>
  <si>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</si>
  <si>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</si>
  <si>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</si>
  <si>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</si>
  <si>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</si>
  <si>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</si>
  <si>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</si>
  <si>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</si>
  <si>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</si>
  <si>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</si>
  <si>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</si>
  <si>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</si>
  <si>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</si>
  <si>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</si>
  <si>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</si>
  <si>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</si>
  <si>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</si>
  <si>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</si>
  <si>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</si>
  <si>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</si>
  <si>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</si>
  <si>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</si>
  <si>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</si>
  <si>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</si>
  <si>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</si>
  <si>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</si>
  <si>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</si>
  <si>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</si>
  <si>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</si>
  <si>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</si>
  <si>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</si>
  <si>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</si>
  <si>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</si>
  <si>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t>Deux échantillons différents sont identifiés : 1/5 des plantes et 4/5 des plantes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</si>
  <si>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</si>
  <si>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</si>
  <si>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</si>
  <si>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</si>
  <si>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INN4</t>
  </si>
  <si>
    <t>INN3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</si>
  <si>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</si>
  <si>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</si>
  <si>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</si>
  <si>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</si>
  <si>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</si>
  <si>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</si>
  <si>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</si>
  <si>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</si>
  <si>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</si>
  <si>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</si>
  <si>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</si>
  <si>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</si>
  <si>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</si>
  <si>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</si>
  <si>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</si>
  <si>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</si>
  <si>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</si>
  <si>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</si>
  <si>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</si>
  <si>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</si>
  <si>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</si>
  <si>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DKEXSTORM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</si>
  <si>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</si>
  <si>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</si>
  <si>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</si>
  <si>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</si>
  <si>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</si>
  <si>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</si>
  <si>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</si>
  <si>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</si>
  <si>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</si>
  <si>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</si>
  <si>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</si>
  <si>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Ne mettre que les datas brutes</t>
  </si>
  <si>
    <t>A modifier si nécessaire</t>
  </si>
  <si>
    <t>clara.simon@limagrain.com</t>
  </si>
  <si>
    <t>jeaneric.dheu@limagrain.com</t>
  </si>
  <si>
    <t>SIMON</t>
  </si>
  <si>
    <t>CLARA</t>
  </si>
  <si>
    <t>DHEU</t>
  </si>
  <si>
    <t>JEAN ERIC</t>
  </si>
  <si>
    <t>panel_limagrain15</t>
  </si>
  <si>
    <t>P15LE</t>
  </si>
  <si>
    <t>2014-2015</t>
  </si>
  <si>
    <t>BGA_024</t>
  </si>
  <si>
    <t>BGA_171</t>
  </si>
  <si>
    <t>BGA_131</t>
  </si>
  <si>
    <t>BGA_041</t>
  </si>
  <si>
    <t>BGA_051</t>
  </si>
  <si>
    <t>BGA_129</t>
  </si>
  <si>
    <t>BGA_149</t>
  </si>
  <si>
    <t>BGA_054</t>
  </si>
  <si>
    <t>BGA_035</t>
  </si>
  <si>
    <t>BGA_070</t>
  </si>
  <si>
    <t>BGA_044</t>
  </si>
  <si>
    <t>BGA_128</t>
  </si>
  <si>
    <t>BGA_099</t>
  </si>
  <si>
    <t>BGA_138</t>
  </si>
  <si>
    <t>BGA_017</t>
  </si>
  <si>
    <t>BGA_045</t>
  </si>
  <si>
    <t>BGA_091</t>
  </si>
  <si>
    <t>BGA_078</t>
  </si>
  <si>
    <t>BGA_116</t>
  </si>
  <si>
    <t>BGA_092</t>
  </si>
  <si>
    <t>BGA_135</t>
  </si>
  <si>
    <t>BGA_109</t>
  </si>
  <si>
    <t>BGA_005</t>
  </si>
  <si>
    <t>BGA_071</t>
  </si>
  <si>
    <t>BGA_133</t>
  </si>
  <si>
    <t>BGA_168</t>
  </si>
  <si>
    <t>BGA_022</t>
  </si>
  <si>
    <t>BGA_082</t>
  </si>
  <si>
    <t>BGA_095</t>
  </si>
  <si>
    <t>BGA_023</t>
  </si>
  <si>
    <t>BGA_153</t>
  </si>
  <si>
    <t>BGA_137</t>
  </si>
  <si>
    <t>BGA_098</t>
  </si>
  <si>
    <t>BGA_112</t>
  </si>
  <si>
    <t>BGA_096</t>
  </si>
  <si>
    <t>BGA_108</t>
  </si>
  <si>
    <t>BGA_101</t>
  </si>
  <si>
    <t>BGA_056</t>
  </si>
  <si>
    <t>BGA_084</t>
  </si>
  <si>
    <t>BGA_111</t>
  </si>
  <si>
    <t>BGA_049</t>
  </si>
  <si>
    <t>BGA_076</t>
  </si>
  <si>
    <t>BGA_046</t>
  </si>
  <si>
    <t>BGA_162</t>
  </si>
  <si>
    <t>BGA_147</t>
  </si>
  <si>
    <t>BGA_002</t>
  </si>
  <si>
    <t>BGA_077</t>
  </si>
  <si>
    <t>AVISO</t>
  </si>
  <si>
    <t>BGA_124</t>
  </si>
  <si>
    <t>BGA_161</t>
  </si>
  <si>
    <t>BGA_160</t>
  </si>
  <si>
    <t>BGA_060</t>
  </si>
  <si>
    <t>BGA_083</t>
  </si>
  <si>
    <t>BGA_052</t>
  </si>
  <si>
    <t>BGA_103</t>
  </si>
  <si>
    <t>BGA_090</t>
  </si>
  <si>
    <t>BGA_059</t>
  </si>
  <si>
    <t>BGA_013</t>
  </si>
  <si>
    <t>BGA_020</t>
  </si>
  <si>
    <t>BGA_117</t>
  </si>
  <si>
    <t>BGA_028</t>
  </si>
  <si>
    <t>BGA_127</t>
  </si>
  <si>
    <t>BGA_094</t>
  </si>
  <si>
    <t>BGA_003</t>
  </si>
  <si>
    <t>BGA_114</t>
  </si>
  <si>
    <t>BGA_047</t>
  </si>
  <si>
    <t>BGA_031</t>
  </si>
  <si>
    <t>BGA_032</t>
  </si>
  <si>
    <t>BGA_159</t>
  </si>
  <si>
    <t>BGA_081</t>
  </si>
  <si>
    <t>BGA_050</t>
  </si>
  <si>
    <t>BGA_072</t>
  </si>
  <si>
    <t>BGA_123</t>
  </si>
  <si>
    <t>BGA_122</t>
  </si>
  <si>
    <t>BGA_110</t>
  </si>
  <si>
    <t>BGA_130</t>
  </si>
  <si>
    <t>BGA_163</t>
  </si>
  <si>
    <t>BGA_066</t>
  </si>
  <si>
    <t>BGA_067</t>
  </si>
  <si>
    <t>BGA_062</t>
  </si>
  <si>
    <t>BGA_001</t>
  </si>
  <si>
    <t>BGA_026</t>
  </si>
  <si>
    <t>BGA_087</t>
  </si>
  <si>
    <t>BGA_039</t>
  </si>
  <si>
    <t>BGA_106</t>
  </si>
  <si>
    <t>BGA_064</t>
  </si>
  <si>
    <t>BGA_173</t>
  </si>
  <si>
    <t>BGA_118</t>
  </si>
  <si>
    <t>BGA_068</t>
  </si>
  <si>
    <t>BGA_158</t>
  </si>
  <si>
    <t>BGA_150</t>
  </si>
  <si>
    <t>BGA_069</t>
  </si>
  <si>
    <t>BGA_141</t>
  </si>
  <si>
    <t>BGA_008</t>
  </si>
  <si>
    <t>BGA_143</t>
  </si>
  <si>
    <t>BGA_012</t>
  </si>
  <si>
    <t>BGA_027</t>
  </si>
  <si>
    <t>BGA_030</t>
  </si>
  <si>
    <t>BGA_165</t>
  </si>
  <si>
    <t>BGA_043</t>
  </si>
  <si>
    <t>BGA_107</t>
  </si>
  <si>
    <t>BGA_169</t>
  </si>
  <si>
    <t>BGA_010</t>
  </si>
  <si>
    <t>BGA_058</t>
  </si>
  <si>
    <t>BGA_016</t>
  </si>
  <si>
    <t>BGA_093</t>
  </si>
  <si>
    <t>BGA_097</t>
  </si>
  <si>
    <t>BGA_019</t>
  </si>
  <si>
    <t>BGA_061</t>
  </si>
  <si>
    <t>MONTEGO</t>
  </si>
  <si>
    <t>BGA_120</t>
  </si>
  <si>
    <t>BGA_055</t>
  </si>
  <si>
    <t>BGA_166</t>
  </si>
  <si>
    <t>BGA_033</t>
  </si>
  <si>
    <t>BGA_136</t>
  </si>
  <si>
    <t>BGA_018</t>
  </si>
  <si>
    <t>BGA_132</t>
  </si>
  <si>
    <t>BGA_100</t>
  </si>
  <si>
    <t>BGA_134</t>
  </si>
  <si>
    <t>BGA_121</t>
  </si>
  <si>
    <t>BGA_086</t>
  </si>
  <si>
    <t>BGA_037</t>
  </si>
  <si>
    <t>BGA_126</t>
  </si>
  <si>
    <t>BGA_075</t>
  </si>
  <si>
    <t>BGA_102</t>
  </si>
  <si>
    <t>BGA_089</t>
  </si>
  <si>
    <t>BGA_144</t>
  </si>
  <si>
    <t>BGA_164</t>
  </si>
  <si>
    <t>BGA_113</t>
  </si>
  <si>
    <t>BGA_057</t>
  </si>
  <si>
    <t>BGA_015</t>
  </si>
  <si>
    <t>BGA_048</t>
  </si>
  <si>
    <t>BGA_105</t>
  </si>
  <si>
    <t>BGA_155</t>
  </si>
  <si>
    <t>BGA_036</t>
  </si>
  <si>
    <t>BGA_142</t>
  </si>
  <si>
    <t>BGA_170</t>
  </si>
  <si>
    <t>BGA_115</t>
  </si>
  <si>
    <t>BGA_009</t>
  </si>
  <si>
    <t>BGA_034</t>
  </si>
  <si>
    <t>BGA_139</t>
  </si>
  <si>
    <t>BGA_004</t>
  </si>
  <si>
    <t>BGA_085</t>
  </si>
  <si>
    <t>BGA_074</t>
  </si>
  <si>
    <t>BGA_156</t>
  </si>
  <si>
    <t>BGA_007</t>
  </si>
  <si>
    <t>BGA_080</t>
  </si>
  <si>
    <t>BGA_014</t>
  </si>
  <si>
    <t>BGA_145</t>
  </si>
  <si>
    <t>BGA_088</t>
  </si>
  <si>
    <t>BGA_140</t>
  </si>
  <si>
    <t>BGA_073</t>
  </si>
  <si>
    <t>BGA_174</t>
  </si>
  <si>
    <t>BGA_154</t>
  </si>
  <si>
    <t>BGA_119</t>
  </si>
  <si>
    <t>BGA_157</t>
  </si>
  <si>
    <t>BGA_065</t>
  </si>
  <si>
    <t>BGA_152</t>
  </si>
  <si>
    <t>BGA_146</t>
  </si>
  <si>
    <t>BGA_148</t>
  </si>
  <si>
    <t>BGA_040</t>
  </si>
  <si>
    <t>BGA_063</t>
  </si>
  <si>
    <t>BGA_167</t>
  </si>
  <si>
    <t>BGA_006</t>
  </si>
  <si>
    <t>BGA_038</t>
  </si>
  <si>
    <t>BGA_042</t>
  </si>
  <si>
    <t>BGA_029</t>
  </si>
  <si>
    <t>BGA_172</t>
  </si>
  <si>
    <t>BGA_125</t>
  </si>
  <si>
    <t>BGA_151</t>
  </si>
  <si>
    <t>BGA_011</t>
  </si>
  <si>
    <t>BGA_021</t>
  </si>
  <si>
    <t>BGA_104</t>
  </si>
  <si>
    <t>BGA_025</t>
  </si>
  <si>
    <t>BGA_053</t>
  </si>
  <si>
    <t>BGA_079</t>
  </si>
  <si>
    <t>N-</t>
  </si>
  <si>
    <t>GRWSTG_C2_value</t>
  </si>
  <si>
    <t>GRWSTG_C2_date</t>
  </si>
  <si>
    <t>N+</t>
  </si>
  <si>
    <t>E</t>
  </si>
  <si>
    <t>Bn</t>
  </si>
  <si>
    <t>C1</t>
  </si>
  <si>
    <t>non</t>
  </si>
  <si>
    <t>Scoring route</t>
  </si>
  <si>
    <t>ordre</t>
  </si>
  <si>
    <t>?</t>
  </si>
  <si>
    <t>Yèbles</t>
  </si>
  <si>
    <t>NA</t>
  </si>
  <si>
    <t>Nb of calendar days from the 1st of January (+ or - if stage occurs in December).</t>
  </si>
  <si>
    <t>Nb of calendar days from the 1st of January.</t>
  </si>
  <si>
    <t>% total fatty acids</t>
  </si>
  <si>
    <t>% of Seed Dry Weight</t>
  </si>
  <si>
    <t>μmol.g-1MS</t>
  </si>
  <si>
    <t>Comment about all relevant biotic stresses.</t>
  </si>
  <si>
    <t>Comment about all relevant pbs during the cycle.</t>
  </si>
  <si>
    <t>Comment about all relevant abiotic stresses.</t>
  </si>
  <si>
    <t>Validation</t>
  </si>
  <si>
    <t>Validation of the data</t>
  </si>
  <si>
    <t xml:space="preserve">Valide : the plant's data is ok                                                       Non valide : there was a problem due to environemental factors                                                                                                 prob_X : there was a X problem due to the genotype (sensistive to disease,,,)   </t>
  </si>
  <si>
    <t>Prob_lodging</t>
  </si>
  <si>
    <t>REMPLISSAGE</t>
  </si>
  <si>
    <t>Plot</t>
  </si>
  <si>
    <t>Limagrain Europe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</si>
  <si>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</si>
  <si>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</si>
  <si>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</si>
  <si>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06/08/2015</t>
  </si>
  <si>
    <t>8/21/2015</t>
  </si>
  <si>
    <t>07/08/2015</t>
  </si>
  <si>
    <t>12/08/2015</t>
  </si>
  <si>
    <t>13/08/2015</t>
  </si>
  <si>
    <t>14/08/2015</t>
  </si>
  <si>
    <t>BIOTIC_1</t>
  </si>
  <si>
    <t>Prob_DryStem</t>
  </si>
  <si>
    <t>Valide</t>
  </si>
  <si>
    <t>Validation 1</t>
  </si>
  <si>
    <t>Validation 2</t>
  </si>
  <si>
    <t>Validation 3</t>
  </si>
  <si>
    <t>35 U/ha</t>
  </si>
  <si>
    <t>147 U/ha</t>
  </si>
  <si>
    <t>Non Valide NHI + INN</t>
  </si>
  <si>
    <t>XBGA</t>
  </si>
  <si>
    <t>Accession_INRA</t>
  </si>
  <si>
    <t>EZSTERHAZY N.ST</t>
  </si>
  <si>
    <t>HOCHZUCHT REPOLE</t>
  </si>
  <si>
    <t>KORMOVOI SKRIVERSKYI</t>
  </si>
  <si>
    <t>DEBRUDER DIPPES</t>
  </si>
  <si>
    <t>Pendulum</t>
  </si>
  <si>
    <t>WIRA</t>
  </si>
  <si>
    <t>Anastasia</t>
  </si>
  <si>
    <t>Alpaga</t>
  </si>
  <si>
    <t>Astrid</t>
  </si>
  <si>
    <t>Y3-G181</t>
  </si>
  <si>
    <t>Y3-G183</t>
  </si>
  <si>
    <t>Y3-G196</t>
  </si>
  <si>
    <t>Y3-G197</t>
  </si>
  <si>
    <t>Y3-G017</t>
  </si>
  <si>
    <t>Y3-G155</t>
  </si>
  <si>
    <t>Y3-G028</t>
  </si>
  <si>
    <t>Y3-G037</t>
  </si>
  <si>
    <t>Y3-G061</t>
  </si>
  <si>
    <t>Y3-G090</t>
  </si>
  <si>
    <t>Y3-G081</t>
  </si>
  <si>
    <t>Y3-G070</t>
  </si>
  <si>
    <t>Y3-G174</t>
  </si>
  <si>
    <t>Y3-G057</t>
  </si>
  <si>
    <t>Y3-G157</t>
  </si>
  <si>
    <t>Y3-G005</t>
  </si>
  <si>
    <t>Y3-G019</t>
  </si>
  <si>
    <t>Y3-G002</t>
  </si>
  <si>
    <t>Y3-G040</t>
  </si>
  <si>
    <t>Y3-G078</t>
  </si>
  <si>
    <t>Y3-G024</t>
  </si>
  <si>
    <t>Y3-G044</t>
  </si>
  <si>
    <t>Y3-G105</t>
  </si>
  <si>
    <t>Y3-G149</t>
  </si>
  <si>
    <t>Y3-G142</t>
  </si>
  <si>
    <t>Y3-G097</t>
  </si>
  <si>
    <t>Y3-G164</t>
  </si>
  <si>
    <t>Y3-G066</t>
  </si>
  <si>
    <t>Y3-G178</t>
  </si>
  <si>
    <t>Y3-G134</t>
  </si>
  <si>
    <t>Y3-G043</t>
  </si>
  <si>
    <t>Y3-G050</t>
  </si>
  <si>
    <t>Y3-G047</t>
  </si>
  <si>
    <t>Y3-G148</t>
  </si>
  <si>
    <t>Y3-G083</t>
  </si>
  <si>
    <t>Y3-G073</t>
  </si>
  <si>
    <t>Y3-Te2</t>
  </si>
  <si>
    <t>Témoin</t>
  </si>
  <si>
    <t>Y3-G140</t>
  </si>
  <si>
    <t>Y3-G080</t>
  </si>
  <si>
    <t>Y3-G172</t>
  </si>
  <si>
    <t>Y3-G084</t>
  </si>
  <si>
    <t>Y3-G051</t>
  </si>
  <si>
    <t>Y3-G089</t>
  </si>
  <si>
    <t>Y3-G042</t>
  </si>
  <si>
    <t>Y3-Te1</t>
  </si>
  <si>
    <t>Y3-G038</t>
  </si>
  <si>
    <t>Y3-G087</t>
  </si>
  <si>
    <t>Y3-G076</t>
  </si>
  <si>
    <t>Y3-G122</t>
  </si>
  <si>
    <t>Y3-G007</t>
  </si>
  <si>
    <t>Y3-G103</t>
  </si>
  <si>
    <t>Y3-G030</t>
  </si>
  <si>
    <t>Y3-G064</t>
  </si>
  <si>
    <t>Y3-G014</t>
  </si>
  <si>
    <t>Y3-G049</t>
  </si>
  <si>
    <t>Y3-G163</t>
  </si>
  <si>
    <t>Y3-G139</t>
  </si>
  <si>
    <t>Y3-G065</t>
  </si>
  <si>
    <t>Y3-G003</t>
  </si>
  <si>
    <t>Y3-G018</t>
  </si>
  <si>
    <t>Y3-G124</t>
  </si>
  <si>
    <t>Y3-G143</t>
  </si>
  <si>
    <t>Y3-Te3</t>
  </si>
  <si>
    <t>Y3-G166</t>
  </si>
  <si>
    <t>Y3-G063</t>
  </si>
  <si>
    <t>Y3-G119</t>
  </si>
  <si>
    <t>Y3-G072</t>
  </si>
  <si>
    <t>Y3-G141</t>
  </si>
  <si>
    <t>Y3-G185</t>
  </si>
  <si>
    <t>Y3-G182</t>
  </si>
  <si>
    <t>Y3-G203</t>
  </si>
  <si>
    <t>Y3-G200</t>
  </si>
  <si>
    <t>Y3-G186</t>
  </si>
  <si>
    <t>Y3-G195</t>
  </si>
  <si>
    <t>Y3-G198</t>
  </si>
  <si>
    <t>Y3-G188</t>
  </si>
  <si>
    <t>Y3-G056</t>
  </si>
  <si>
    <t>Y3-G098</t>
  </si>
  <si>
    <t>Y3-G039</t>
  </si>
  <si>
    <t>Y3-G016</t>
  </si>
  <si>
    <t>Y3-G106</t>
  </si>
  <si>
    <t>Y3-G010</t>
  </si>
  <si>
    <t>Y3-G023</t>
  </si>
  <si>
    <t>Y3-G177</t>
  </si>
  <si>
    <t>Y3-G179</t>
  </si>
  <si>
    <t>Y3-G094</t>
  </si>
  <si>
    <t>Y3-G071</t>
  </si>
  <si>
    <t>Y3-G132</t>
  </si>
  <si>
    <t>Y3-G004</t>
  </si>
  <si>
    <t>Y3-G069</t>
  </si>
  <si>
    <t>Y3-G074</t>
  </si>
  <si>
    <t>Y3-G082</t>
  </si>
  <si>
    <t>Y3-G093</t>
  </si>
  <si>
    <t>Y3-G101</t>
  </si>
  <si>
    <t>Y3-G026</t>
  </si>
  <si>
    <t>Y3-G009</t>
  </si>
  <si>
    <t>Y3-G171</t>
  </si>
  <si>
    <t>Y3-G096</t>
  </si>
  <si>
    <t>Y3-G029</t>
  </si>
  <si>
    <t>Y3-G154</t>
  </si>
  <si>
    <t>Y3-G109</t>
  </si>
  <si>
    <t>Y3-G075</t>
  </si>
  <si>
    <t>Y3-G033</t>
  </si>
  <si>
    <t>Y3-G054</t>
  </si>
  <si>
    <t>Y3-G008</t>
  </si>
  <si>
    <t>Y3-G110</t>
  </si>
  <si>
    <t>Y3-G173</t>
  </si>
  <si>
    <t>Y3-G130</t>
  </si>
  <si>
    <t>Y3-G079</t>
  </si>
  <si>
    <t>Y3-G126</t>
  </si>
  <si>
    <t>Y3-G121</t>
  </si>
  <si>
    <t>Y3-G161</t>
  </si>
  <si>
    <t>Y3-G118</t>
  </si>
  <si>
    <t>Y3-G055</t>
  </si>
  <si>
    <t>Y3-G045</t>
  </si>
  <si>
    <t>Y3-G099</t>
  </si>
  <si>
    <t>Y3-G160</t>
  </si>
  <si>
    <t>Y3-G131</t>
  </si>
  <si>
    <t>Y3-G035</t>
  </si>
  <si>
    <t>Y3-G053</t>
  </si>
  <si>
    <t>Y3-G117</t>
  </si>
  <si>
    <t>Y3-G095</t>
  </si>
  <si>
    <t>Y3-G168</t>
  </si>
  <si>
    <t>Y3-G052</t>
  </si>
  <si>
    <t>Y3-G025</t>
  </si>
  <si>
    <t>Y3-G162</t>
  </si>
  <si>
    <t>Y3-G151</t>
  </si>
  <si>
    <t>Y3-G123</t>
  </si>
  <si>
    <t>Y3-G108</t>
  </si>
  <si>
    <t>Y3-G113</t>
  </si>
  <si>
    <t>Y3-G159</t>
  </si>
  <si>
    <t>Y3-G129</t>
  </si>
  <si>
    <t>Y3-G187</t>
  </si>
  <si>
    <t>Y3-G201</t>
  </si>
  <si>
    <t>Y3-G202</t>
  </si>
  <si>
    <t>Y3-G199</t>
  </si>
  <si>
    <t>Y3-G192</t>
  </si>
  <si>
    <t>Y3-G190</t>
  </si>
  <si>
    <t>Y3-G191</t>
  </si>
  <si>
    <t>Y3-G194</t>
  </si>
  <si>
    <t>Y3-G011</t>
  </si>
  <si>
    <t>Y3-G041</t>
  </si>
  <si>
    <t>Y3-G020</t>
  </si>
  <si>
    <t>Y3-G111</t>
  </si>
  <si>
    <t>Y3-G152</t>
  </si>
  <si>
    <t>Y3-G116</t>
  </si>
  <si>
    <t>Y3-G146</t>
  </si>
  <si>
    <t>Y3-G180</t>
  </si>
  <si>
    <t>Y3-G006</t>
  </si>
  <si>
    <t>Y3-G012</t>
  </si>
  <si>
    <t>Y3-G144</t>
  </si>
  <si>
    <t>Y3-G086</t>
  </si>
  <si>
    <t>Y3-G147</t>
  </si>
  <si>
    <t>Y3-G060</t>
  </si>
  <si>
    <t>Y3-G176</t>
  </si>
  <si>
    <t>Y3-G022</t>
  </si>
  <si>
    <t>Y3-G048</t>
  </si>
  <si>
    <t>Y3-G068</t>
  </si>
  <si>
    <t>Y3-G013</t>
  </si>
  <si>
    <t>Y3-G104</t>
  </si>
  <si>
    <t>Y3-G027</t>
  </si>
  <si>
    <t>Y3-G015</t>
  </si>
  <si>
    <t>Y3-G092</t>
  </si>
  <si>
    <t>Y3-G167</t>
  </si>
  <si>
    <t>Y3-G175</t>
  </si>
  <si>
    <t>Y3-G137</t>
  </si>
  <si>
    <t>Y3-G112</t>
  </si>
  <si>
    <t>Y3-G031</t>
  </si>
  <si>
    <t>Y3-G128</t>
  </si>
  <si>
    <t>Y3-G077</t>
  </si>
  <si>
    <t>Y3-G156</t>
  </si>
  <si>
    <t>Y3-G135</t>
  </si>
  <si>
    <t>Y3-G115</t>
  </si>
  <si>
    <t>Y3-G114</t>
  </si>
  <si>
    <t>Y3-G067</t>
  </si>
  <si>
    <t>Y3-G046</t>
  </si>
  <si>
    <t>Y3-G127</t>
  </si>
  <si>
    <t>Y3-G150</t>
  </si>
  <si>
    <t>Y3-G165</t>
  </si>
  <si>
    <t>Y3-G058</t>
  </si>
  <si>
    <t>Y3-G125</t>
  </si>
  <si>
    <t>Y3-G153</t>
  </si>
  <si>
    <t>Y3-G136</t>
  </si>
  <si>
    <t>Y3-G059</t>
  </si>
  <si>
    <t>Y3-G001</t>
  </si>
  <si>
    <t>Y3-G085</t>
  </si>
  <si>
    <t>Y3-G021</t>
  </si>
  <si>
    <t>Y3-G088</t>
  </si>
  <si>
    <t>Y3-G100</t>
  </si>
  <si>
    <t>Y3-G170</t>
  </si>
  <si>
    <t>Y3-G062</t>
  </si>
  <si>
    <t>Y3-G158</t>
  </si>
  <si>
    <t>Y3-G145</t>
  </si>
  <si>
    <t>Y3-G034</t>
  </si>
  <si>
    <t>Y3-G091</t>
  </si>
  <si>
    <t>Y3-G032</t>
  </si>
  <si>
    <t>Y3-G036</t>
  </si>
  <si>
    <t>Y3-G107</t>
  </si>
  <si>
    <t>Y3-G120</t>
  </si>
  <si>
    <t>Y3-G138</t>
  </si>
  <si>
    <t>Y3-G102</t>
  </si>
  <si>
    <t>Y3-G169</t>
  </si>
  <si>
    <t>Y3-G133</t>
  </si>
  <si>
    <t>Y3-G184</t>
  </si>
  <si>
    <t>Y3-G193</t>
  </si>
  <si>
    <t>Y3-G189</t>
  </si>
  <si>
    <t>Code champ_2014/2015</t>
  </si>
  <si>
    <t>ID_RAPSODYN</t>
  </si>
  <si>
    <t>Essai</t>
  </si>
  <si>
    <t>Non Valide : Dose N+</t>
  </si>
  <si>
    <t>Solution 39</t>
  </si>
  <si>
    <t>Historique de la parcelle</t>
  </si>
  <si>
    <t xml:space="preserve">Culture </t>
  </si>
  <si>
    <t>Devenir des résidus</t>
  </si>
  <si>
    <t>Précédent N-3 :</t>
  </si>
  <si>
    <t>Précédent N-2 :</t>
  </si>
  <si>
    <t>Précédent N-1 :</t>
  </si>
  <si>
    <t>[BTH] Blé tendre Hiver</t>
  </si>
  <si>
    <t>[ENFOUIS] Réstitués enfouis</t>
  </si>
  <si>
    <t>Interculture avant essai :</t>
  </si>
  <si>
    <t>[SOL_NU] Sol nu</t>
  </si>
  <si>
    <t>Sol</t>
  </si>
  <si>
    <t>Nom du sol :</t>
  </si>
  <si>
    <t>[159]Limon</t>
  </si>
  <si>
    <t>Sensibilité à la battance  :</t>
  </si>
  <si>
    <t>[FORT] Fort</t>
  </si>
  <si>
    <t>Classe texturale GEPPA :</t>
  </si>
  <si>
    <t>Sensibilité à l'excès d'eau :</t>
  </si>
  <si>
    <t>[SAI] Sol sain</t>
  </si>
  <si>
    <t xml:space="preserve">Sol drainé : </t>
  </si>
  <si>
    <t>[O] Oui</t>
  </si>
  <si>
    <t>Sensibilité à la sécheresse :</t>
  </si>
  <si>
    <t>[POURVU] Sol bien pourvu</t>
  </si>
  <si>
    <t>Aptitude du sol au réchaufffement :</t>
  </si>
  <si>
    <t>[RECHAU_RAP] Sol à réchauffement rapide</t>
  </si>
  <si>
    <t>Profondeur du sol exploitable par racines (cm) :</t>
  </si>
  <si>
    <t>Obstacle à l'enracinement :</t>
  </si>
  <si>
    <t>[AUCUN] Aucun</t>
  </si>
  <si>
    <t>RU (mm) :</t>
  </si>
  <si>
    <t>Profondeur apparition taches hydromorphie (cm) :</t>
  </si>
  <si>
    <t>Méthode estimation RU :</t>
  </si>
  <si>
    <t>ANALYSE GRANULOMETRIQUE</t>
  </si>
  <si>
    <t>Lieu de prélèvement :</t>
  </si>
  <si>
    <t>[PARC_ESS] Parcelle essai</t>
  </si>
  <si>
    <t>Date prélèvement :</t>
  </si>
  <si>
    <t>Horizon</t>
  </si>
  <si>
    <t>Profondeur
 (cm) : (ex 30 / 60 / 90)</t>
  </si>
  <si>
    <t>% Cailloux 
(en % volume terre brute)</t>
  </si>
  <si>
    <t>% Calcaire total 
(en % terre sèche)</t>
  </si>
  <si>
    <t>% Argile  
(sur terre fine sèche) &lt;2µ</t>
  </si>
  <si>
    <t>% Limons fins 
(sur terre fine sèche) 2-20 µ</t>
  </si>
  <si>
    <t>% Limons grossiers 
(sur terre fine sèche) 20-50 µ</t>
  </si>
  <si>
    <t>% Sable fin 
(sur terre fine sèche) 50µ-200µ</t>
  </si>
  <si>
    <t>% Sable grossier 
(sur terre fine sèche) 200µ-2mm</t>
  </si>
  <si>
    <t>ANALYSE CHIMIQUE</t>
  </si>
  <si>
    <t xml:space="preserve">pH Eau </t>
  </si>
  <si>
    <t>% MO 
(en % terre fine sèche)</t>
  </si>
  <si>
    <r>
      <t xml:space="preserve">CEC (cmole/kg) 
</t>
    </r>
    <r>
      <rPr>
        <sz val="11"/>
        <color indexed="60"/>
        <rFont val="Calibri"/>
        <family val="2"/>
      </rPr>
      <t>1 cmole(+)/kg = 1 meq/100g</t>
    </r>
  </si>
  <si>
    <t xml:space="preserve">P2O5 (mg/kg) </t>
  </si>
  <si>
    <t xml:space="preserve">K2O (mg/kg) </t>
  </si>
  <si>
    <t xml:space="preserve">CaO (mg/kg) </t>
  </si>
  <si>
    <t xml:space="preserve">MgO (mg/kg) </t>
  </si>
  <si>
    <t>Méthode :</t>
  </si>
  <si>
    <t>P2O5/ha</t>
  </si>
  <si>
    <t>K2O/ha</t>
  </si>
  <si>
    <t>MgO/ha</t>
  </si>
  <si>
    <t>SO3/ha</t>
  </si>
  <si>
    <t>KCl 60</t>
  </si>
  <si>
    <t>Super 46</t>
  </si>
  <si>
    <t>Sulfate de magnésie</t>
  </si>
  <si>
    <t>[HER] Herbicide</t>
  </si>
  <si>
    <t>[2707] RAPSAN TDI</t>
  </si>
  <si>
    <t>[INS] Insecticide</t>
  </si>
  <si>
    <t>[1108] DUCAT</t>
  </si>
  <si>
    <t>[2641] ALFAC</t>
  </si>
  <si>
    <t>[FON] Fongicide</t>
  </si>
  <si>
    <t>[1875] PICTOR PRO</t>
  </si>
  <si>
    <t>Labour</t>
  </si>
  <si>
    <t>Herse rotative</t>
  </si>
  <si>
    <t>Charrue</t>
  </si>
  <si>
    <t>Qté</t>
  </si>
  <si>
    <t>N/ha (N+)</t>
  </si>
  <si>
    <t>N/ha (N-)</t>
  </si>
  <si>
    <t>2 L/ha</t>
  </si>
  <si>
    <t>0.3 L/ha</t>
  </si>
  <si>
    <t>0.075 L/ha</t>
  </si>
  <si>
    <t>0.5 kg/ha</t>
  </si>
  <si>
    <t>Reliquats sortie hiver (pour info)</t>
  </si>
  <si>
    <t>14 kg N/ha</t>
  </si>
  <si>
    <t>15 kg N/ha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</si>
</sst>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dd/mm/yy"/>
    <numFmt numFmtId="165" formatCode="d/mm/yyyy;@"/>
    <numFmt numFmtId="166" formatCode="0.0"/>
    <numFmt numFmtId="167" formatCode="0.0000"/>
    <numFmt numFmtId="168" formatCode="d/mm/yy;@"/>
  </numFmts>
  <fonts count="79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b/>
      <sz val="12"/>
      <name val="Geneva"/>
    </font>
    <font>
      <sz val="16"/>
      <name val="Arial"/>
      <family val="2"/>
      <charset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name val="Geneva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5B4A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2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29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8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6" borderId="20" applyNumberFormat="0" applyAlignment="0" applyProtection="0"/>
    <xf numFmtId="0" fontId="44" fillId="26" borderId="20" applyNumberFormat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1" fillId="27" borderId="22" applyNumberFormat="0" applyFont="0" applyAlignment="0" applyProtection="0"/>
    <xf numFmtId="0" fontId="26" fillId="27" borderId="22" applyNumberFormat="0" applyFont="0" applyAlignment="0" applyProtection="0"/>
    <xf numFmtId="0" fontId="46" fillId="13" borderId="20" applyNumberFormat="0" applyAlignment="0" applyProtection="0"/>
    <xf numFmtId="0" fontId="46" fillId="13" borderId="20" applyNumberFormat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43" fontId="26" fillId="0" borderId="0" applyFont="0" applyFill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49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51" fillId="26" borderId="5" applyNumberFormat="0" applyAlignment="0" applyProtection="0"/>
    <xf numFmtId="0" fontId="51" fillId="26" borderId="5" applyNumberForma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5" fillId="0" borderId="24" applyNumberFormat="0" applyFill="0" applyAlignment="0" applyProtection="0"/>
    <xf numFmtId="0" fontId="55" fillId="0" borderId="24" applyNumberFormat="0" applyFill="0" applyAlignment="0" applyProtection="0"/>
    <xf numFmtId="0" fontId="56" fillId="0" borderId="25" applyNumberFormat="0" applyFill="0" applyAlignment="0" applyProtection="0"/>
    <xf numFmtId="0" fontId="56" fillId="0" borderId="25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8" fillId="29" borderId="27" applyNumberFormat="0" applyAlignment="0" applyProtection="0"/>
    <xf numFmtId="0" fontId="58" fillId="29" borderId="27" applyNumberFormat="0" applyAlignment="0" applyProtection="0"/>
    <xf numFmtId="0" fontId="68" fillId="34" borderId="0" applyNumberFormat="0" applyBorder="0" applyAlignment="0" applyProtection="0"/>
    <xf numFmtId="0" fontId="69" fillId="35" borderId="0" applyNumberFormat="0" applyBorder="0" applyAlignment="0" applyProtection="0"/>
    <xf numFmtId="0" fontId="71" fillId="36" borderId="0" applyNumberFormat="0" applyBorder="0" applyAlignment="0" applyProtection="0"/>
    <xf numFmtId="9" fontId="29" fillId="0" borderId="0" applyFont="0" applyFill="0" applyBorder="0" applyAlignment="0" applyProtection="0"/>
  </cellStyleXfs>
  <cellXfs count="377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4" fillId="3" borderId="11" xfId="0" applyFont="1" applyFill="1" applyBorder="1" applyAlignment="1">
      <alignment vertical="center"/>
    </xf>
    <xf numFmtId="0" fontId="24" fillId="0" borderId="12" xfId="0" applyFont="1" applyFill="1" applyBorder="1"/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 applyProtection="1">
      <protection locked="0"/>
    </xf>
    <xf numFmtId="0" fontId="25" fillId="0" borderId="0" xfId="0" applyFont="1" applyFill="1"/>
    <xf numFmtId="0" fontId="27" fillId="0" borderId="0" xfId="0" applyFont="1"/>
    <xf numFmtId="0" fontId="22" fillId="6" borderId="12" xfId="5" applyFont="1" applyFill="1" applyBorder="1"/>
    <xf numFmtId="0" fontId="28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65" fontId="25" fillId="0" borderId="0" xfId="0" applyNumberFormat="1" applyFont="1" applyAlignment="1">
      <alignment horizontal="right"/>
    </xf>
    <xf numFmtId="0" fontId="9" fillId="3" borderId="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 wrapText="1"/>
    </xf>
    <xf numFmtId="0" fontId="26" fillId="0" borderId="14" xfId="9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0" xfId="0" applyFill="1" applyBorder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9" fillId="0" borderId="0" xfId="0" applyFont="1"/>
    <xf numFmtId="0" fontId="38" fillId="0" borderId="0" xfId="0" applyFont="1"/>
    <xf numFmtId="0" fontId="39" fillId="0" borderId="0" xfId="0" applyFont="1" applyAlignment="1"/>
    <xf numFmtId="0" fontId="36" fillId="0" borderId="0" xfId="0" applyFont="1" applyAlignment="1"/>
    <xf numFmtId="0" fontId="38" fillId="0" borderId="0" xfId="0" applyFont="1" applyAlignment="1"/>
    <xf numFmtId="0" fontId="0" fillId="0" borderId="0" xfId="0" applyFont="1" applyProtection="1">
      <protection locked="0"/>
    </xf>
    <xf numFmtId="0" fontId="2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0" fillId="0" borderId="0" xfId="0" applyFont="1"/>
    <xf numFmtId="14" fontId="0" fillId="0" borderId="0" xfId="0" applyNumberFormat="1"/>
    <xf numFmtId="0" fontId="26" fillId="0" borderId="0" xfId="12" applyNumberFormat="1" applyFont="1" applyFill="1" applyBorder="1" applyAlignment="1">
      <alignment horizontal="center"/>
    </xf>
    <xf numFmtId="0" fontId="23" fillId="0" borderId="0" xfId="13" applyAlignment="1">
      <alignment horizontal="center"/>
    </xf>
    <xf numFmtId="0" fontId="23" fillId="0" borderId="0" xfId="13"/>
    <xf numFmtId="14" fontId="26" fillId="0" borderId="0" xfId="12" applyNumberFormat="1" applyFont="1" applyFill="1" applyBorder="1" applyAlignment="1">
      <alignment horizontal="center"/>
    </xf>
    <xf numFmtId="0" fontId="23" fillId="0" borderId="0" xfId="13" applyBorder="1" applyAlignment="1">
      <alignment horizontal="center"/>
    </xf>
    <xf numFmtId="0" fontId="32" fillId="0" borderId="0" xfId="13" applyFont="1" applyBorder="1" applyAlignment="1">
      <alignment horizontal="center"/>
    </xf>
    <xf numFmtId="0" fontId="32" fillId="0" borderId="0" xfId="13" applyFont="1" applyFill="1" applyBorder="1" applyAlignment="1">
      <alignment horizontal="center"/>
    </xf>
    <xf numFmtId="14" fontId="23" fillId="0" borderId="0" xfId="13" applyNumberFormat="1" applyAlignment="1">
      <alignment horizontal="center"/>
    </xf>
    <xf numFmtId="166" fontId="23" fillId="0" borderId="0" xfId="13" applyNumberFormat="1" applyAlignment="1">
      <alignment horizontal="center"/>
    </xf>
    <xf numFmtId="0" fontId="1" fillId="0" borderId="0" xfId="87"/>
    <xf numFmtId="0" fontId="1" fillId="0" borderId="0" xfId="87" applyAlignment="1">
      <alignment horizontal="center"/>
    </xf>
    <xf numFmtId="0" fontId="26" fillId="0" borderId="0" xfId="77"/>
    <xf numFmtId="0" fontId="26" fillId="0" borderId="0" xfId="77" applyFont="1"/>
    <xf numFmtId="0" fontId="59" fillId="0" borderId="0" xfId="77" applyFont="1"/>
    <xf numFmtId="1" fontId="26" fillId="0" borderId="0" xfId="77" applyNumberFormat="1"/>
    <xf numFmtId="167" fontId="23" fillId="0" borderId="17" xfId="13" applyNumberFormat="1" applyBorder="1" applyAlignment="1">
      <alignment horizontal="center"/>
    </xf>
    <xf numFmtId="0" fontId="26" fillId="0" borderId="28" xfId="77" applyBorder="1" applyAlignment="1">
      <alignment horizontal="center"/>
    </xf>
    <xf numFmtId="0" fontId="26" fillId="0" borderId="28" xfId="77" applyFont="1" applyBorder="1" applyAlignment="1">
      <alignment horizontal="center"/>
    </xf>
    <xf numFmtId="14" fontId="26" fillId="0" borderId="28" xfId="77" applyNumberFormat="1" applyFont="1" applyBorder="1" applyAlignment="1">
      <alignment horizontal="center"/>
    </xf>
    <xf numFmtId="0" fontId="26" fillId="0" borderId="0" xfId="77" applyAlignment="1">
      <alignment horizontal="center"/>
    </xf>
    <xf numFmtId="0" fontId="62" fillId="32" borderId="17" xfId="13" applyFont="1" applyFill="1" applyBorder="1" applyAlignment="1">
      <alignment horizontal="center"/>
    </xf>
    <xf numFmtId="14" fontId="63" fillId="30" borderId="17" xfId="13" applyNumberFormat="1" applyFont="1" applyFill="1" applyBorder="1" applyAlignment="1">
      <alignment horizontal="center"/>
    </xf>
    <xf numFmtId="14" fontId="63" fillId="0" borderId="17" xfId="13" applyNumberFormat="1" applyFont="1" applyBorder="1" applyAlignment="1">
      <alignment horizontal="center"/>
    </xf>
    <xf numFmtId="0" fontId="63" fillId="0" borderId="17" xfId="13" applyFont="1" applyBorder="1" applyAlignment="1">
      <alignment horizontal="center"/>
    </xf>
    <xf numFmtId="0" fontId="63" fillId="0" borderId="17" xfId="13" applyFont="1" applyFill="1" applyBorder="1" applyAlignment="1">
      <alignment horizontal="center"/>
    </xf>
    <xf numFmtId="14" fontId="23" fillId="0" borderId="0" xfId="13" applyNumberFormat="1"/>
    <xf numFmtId="0" fontId="27" fillId="0" borderId="0" xfId="13" applyFont="1"/>
    <xf numFmtId="0" fontId="13" fillId="33" borderId="14" xfId="9" applyFont="1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  <xf numFmtId="0" fontId="0" fillId="0" borderId="0" xfId="0" applyNumberFormat="1"/>
    <xf numFmtId="0" fontId="64" fillId="0" borderId="0" xfId="0" applyFont="1"/>
    <xf numFmtId="0" fontId="64" fillId="0" borderId="0" xfId="0" applyFont="1" applyFill="1"/>
    <xf numFmtId="165" fontId="65" fillId="0" borderId="0" xfId="0" applyNumberFormat="1" applyFont="1" applyAlignment="1">
      <alignment horizontal="right"/>
    </xf>
    <xf numFmtId="0" fontId="65" fillId="0" borderId="0" xfId="0" applyFont="1" applyAlignment="1">
      <alignment horizontal="right"/>
    </xf>
    <xf numFmtId="0" fontId="65" fillId="0" borderId="0" xfId="0" applyFont="1"/>
    <xf numFmtId="0" fontId="26" fillId="0" borderId="17" xfId="77" applyBorder="1" applyAlignment="1">
      <alignment horizontal="center"/>
    </xf>
    <xf numFmtId="0" fontId="26" fillId="0" borderId="41" xfId="77" applyBorder="1" applyAlignment="1">
      <alignment horizontal="center"/>
    </xf>
    <xf numFmtId="2" fontId="26" fillId="0" borderId="28" xfId="77" applyNumberFormat="1" applyBorder="1" applyAlignment="1">
      <alignment horizontal="center"/>
    </xf>
    <xf numFmtId="2" fontId="26" fillId="0" borderId="30" xfId="77" applyNumberFormat="1" applyBorder="1" applyAlignment="1">
      <alignment horizontal="center"/>
    </xf>
    <xf numFmtId="0" fontId="26" fillId="0" borderId="49" xfId="77" applyBorder="1" applyAlignment="1">
      <alignment horizontal="center"/>
    </xf>
    <xf numFmtId="0" fontId="23" fillId="0" borderId="17" xfId="13" applyBorder="1"/>
    <xf numFmtId="0" fontId="26" fillId="0" borderId="28" xfId="77" applyNumberFormat="1" applyBorder="1" applyAlignment="1">
      <alignment horizontal="center"/>
    </xf>
    <xf numFmtId="0" fontId="70" fillId="0" borderId="0" xfId="0" applyFont="1" applyFill="1" applyAlignment="1">
      <alignment horizontal="center" vertical="center"/>
    </xf>
    <xf numFmtId="0" fontId="70" fillId="0" borderId="0" xfId="108" applyFont="1" applyFill="1" applyBorder="1" applyAlignment="1">
      <alignment horizontal="center" vertical="center"/>
    </xf>
    <xf numFmtId="0" fontId="70" fillId="0" borderId="0" xfId="109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center" vertical="center"/>
    </xf>
    <xf numFmtId="0" fontId="70" fillId="0" borderId="0" xfId="109" applyFont="1" applyFill="1" applyAlignment="1">
      <alignment horizontal="center" vertical="center"/>
    </xf>
    <xf numFmtId="0" fontId="70" fillId="0" borderId="0" xfId="108" applyFont="1" applyFill="1" applyAlignment="1">
      <alignment horizontal="center" vertical="center"/>
    </xf>
    <xf numFmtId="0" fontId="70" fillId="0" borderId="0" xfId="0" applyNumberFormat="1" applyFont="1" applyFill="1" applyAlignment="1">
      <alignment horizontal="center" vertical="center"/>
    </xf>
    <xf numFmtId="16" fontId="70" fillId="0" borderId="0" xfId="0" applyNumberFormat="1" applyFont="1" applyFill="1" applyAlignment="1">
      <alignment horizontal="center" vertical="center"/>
    </xf>
    <xf numFmtId="16" fontId="70" fillId="0" borderId="0" xfId="108" applyNumberFormat="1" applyFont="1" applyFill="1" applyBorder="1" applyAlignment="1">
      <alignment horizontal="center" vertical="center"/>
    </xf>
    <xf numFmtId="16" fontId="70" fillId="0" borderId="0" xfId="109" applyNumberFormat="1" applyFont="1" applyFill="1" applyBorder="1" applyAlignment="1">
      <alignment horizontal="center" vertical="center"/>
    </xf>
    <xf numFmtId="16" fontId="70" fillId="0" borderId="0" xfId="108" applyNumberFormat="1" applyFont="1" applyFill="1" applyAlignment="1">
      <alignment horizontal="center" vertical="center"/>
    </xf>
    <xf numFmtId="16" fontId="70" fillId="0" borderId="0" xfId="0" applyNumberFormat="1" applyFont="1" applyFill="1" applyBorder="1" applyAlignment="1">
      <alignment horizontal="center" vertical="center"/>
    </xf>
    <xf numFmtId="16" fontId="70" fillId="0" borderId="0" xfId="109" applyNumberFormat="1" applyFont="1" applyFill="1" applyAlignment="1">
      <alignment horizontal="center" vertical="center"/>
    </xf>
    <xf numFmtId="14" fontId="70" fillId="0" borderId="0" xfId="0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8" fillId="34" borderId="17" xfId="108" applyBorder="1" applyAlignment="1">
      <alignment horizontal="center" vertical="center"/>
    </xf>
    <xf numFmtId="0" fontId="69" fillId="35" borderId="17" xfId="109" applyBorder="1" applyAlignment="1">
      <alignment horizontal="center" vertical="center"/>
    </xf>
    <xf numFmtId="0" fontId="69" fillId="35" borderId="2" xfId="109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36" borderId="17" xfId="110" applyBorder="1" applyAlignment="1">
      <alignment horizontal="center" vertic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" fontId="0" fillId="0" borderId="0" xfId="0" applyNumberFormat="1"/>
    <xf numFmtId="0" fontId="25" fillId="0" borderId="0" xfId="0" applyNumberFormat="1" applyFont="1" applyAlignment="1">
      <alignment horizontal="right"/>
    </xf>
    <xf numFmtId="0" fontId="0" fillId="0" borderId="0" xfId="0" applyBorder="1"/>
    <xf numFmtId="0" fontId="64" fillId="0" borderId="0" xfId="0" applyFont="1" applyFill="1" applyBorder="1"/>
    <xf numFmtId="0" fontId="25" fillId="0" borderId="0" xfId="0" applyFont="1" applyBorder="1" applyAlignment="1">
      <alignment horizontal="right"/>
    </xf>
    <xf numFmtId="14" fontId="64" fillId="0" borderId="0" xfId="0" applyNumberFormat="1" applyFont="1" applyFill="1"/>
    <xf numFmtId="0" fontId="69" fillId="35" borderId="0" xfId="109" applyAlignment="1" applyProtection="1">
      <protection locked="0"/>
    </xf>
    <xf numFmtId="0" fontId="69" fillId="35" borderId="0" xfId="109"/>
    <xf numFmtId="0" fontId="69" fillId="35" borderId="0" xfId="109" applyAlignment="1">
      <alignment horizontal="right"/>
    </xf>
    <xf numFmtId="0" fontId="68" fillId="34" borderId="0" xfId="108"/>
    <xf numFmtId="0" fontId="71" fillId="36" borderId="0" xfId="110"/>
    <xf numFmtId="0" fontId="72" fillId="0" borderId="0" xfId="13" applyFont="1"/>
    <xf numFmtId="0" fontId="73" fillId="35" borderId="0" xfId="109" applyFont="1"/>
    <xf numFmtId="0" fontId="74" fillId="34" borderId="0" xfId="108" applyFont="1"/>
    <xf numFmtId="0" fontId="58" fillId="29" borderId="27" xfId="106" applyAlignment="1" applyProtection="1">
      <protection locked="0"/>
    </xf>
    <xf numFmtId="0" fontId="58" fillId="29" borderId="27" xfId="106" applyAlignment="1">
      <alignment horizontal="center" vertical="center"/>
    </xf>
    <xf numFmtId="2" fontId="23" fillId="0" borderId="17" xfId="13" applyNumberFormat="1" applyBorder="1" applyAlignment="1">
      <alignment horizontal="center"/>
    </xf>
    <xf numFmtId="2" fontId="23" fillId="0" borderId="17" xfId="13" applyNumberFormat="1" applyFill="1" applyBorder="1" applyAlignment="1">
      <alignment horizontal="center"/>
    </xf>
    <xf numFmtId="2" fontId="0" fillId="0" borderId="0" xfId="0" applyNumberFormat="1"/>
    <xf numFmtId="2" fontId="0" fillId="0" borderId="0" xfId="111" applyNumberFormat="1" applyFont="1" applyBorder="1"/>
    <xf numFmtId="0" fontId="71" fillId="36" borderId="0" xfId="110" applyAlignment="1">
      <alignment horizontal="center" vertical="center"/>
    </xf>
    <xf numFmtId="0" fontId="69" fillId="0" borderId="12" xfId="109" applyFill="1" applyBorder="1"/>
    <xf numFmtId="2" fontId="64" fillId="0" borderId="0" xfId="0" applyNumberFormat="1" applyFont="1"/>
    <xf numFmtId="2" fontId="25" fillId="0" borderId="0" xfId="0" applyNumberFormat="1" applyFont="1" applyAlignment="1">
      <alignment horizontal="right"/>
    </xf>
    <xf numFmtId="168" fontId="70" fillId="0" borderId="0" xfId="0" applyNumberFormat="1" applyFont="1" applyFill="1" applyAlignment="1">
      <alignment horizontal="center" vertical="center"/>
    </xf>
    <xf numFmtId="168" fontId="0" fillId="0" borderId="0" xfId="0" applyNumberFormat="1"/>
    <xf numFmtId="168" fontId="25" fillId="0" borderId="0" xfId="0" applyNumberFormat="1" applyFont="1" applyAlignment="1">
      <alignment horizontal="right"/>
    </xf>
    <xf numFmtId="2" fontId="25" fillId="0" borderId="0" xfId="0" applyNumberFormat="1" applyFont="1"/>
    <xf numFmtId="0" fontId="69" fillId="0" borderId="0" xfId="109" applyFill="1"/>
    <xf numFmtId="2" fontId="69" fillId="0" borderId="0" xfId="109" applyNumberFormat="1" applyFill="1"/>
    <xf numFmtId="2" fontId="25" fillId="0" borderId="0" xfId="0" applyNumberFormat="1" applyFont="1" applyFill="1"/>
    <xf numFmtId="168" fontId="64" fillId="0" borderId="0" xfId="0" applyNumberFormat="1" applyFont="1"/>
    <xf numFmtId="165" fontId="69" fillId="0" borderId="0" xfId="109" applyNumberFormat="1" applyFill="1" applyBorder="1"/>
    <xf numFmtId="0" fontId="69" fillId="0" borderId="0" xfId="109" applyFill="1" applyAlignment="1">
      <alignment horizontal="right"/>
    </xf>
    <xf numFmtId="0" fontId="17" fillId="0" borderId="0" xfId="0" applyFont="1" applyFill="1" applyBorder="1" applyAlignment="1">
      <alignment vertical="center"/>
    </xf>
    <xf numFmtId="0" fontId="17" fillId="0" borderId="12" xfId="0" applyFont="1" applyFill="1" applyBorder="1"/>
    <xf numFmtId="0" fontId="26" fillId="0" borderId="29" xfId="77" applyBorder="1" applyAlignment="1">
      <alignment horizontal="center"/>
    </xf>
    <xf numFmtId="2" fontId="70" fillId="0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64" fillId="0" borderId="0" xfId="0" applyNumberFormat="1" applyFont="1"/>
    <xf numFmtId="0" fontId="59" fillId="32" borderId="28" xfId="77" applyFont="1" applyFill="1" applyBorder="1" applyAlignment="1">
      <alignment horizontal="center" vertical="center" wrapText="1"/>
    </xf>
    <xf numFmtId="0" fontId="59" fillId="32" borderId="41" xfId="77" applyFont="1" applyFill="1" applyBorder="1" applyAlignment="1">
      <alignment horizontal="center" vertical="center" wrapText="1"/>
    </xf>
    <xf numFmtId="0" fontId="59" fillId="32" borderId="49" xfId="77" applyFont="1" applyFill="1" applyBorder="1" applyAlignment="1">
      <alignment horizontal="center" vertical="center" wrapText="1"/>
    </xf>
    <xf numFmtId="0" fontId="59" fillId="32" borderId="39" xfId="77" applyFont="1" applyFill="1" applyBorder="1" applyAlignment="1">
      <alignment horizontal="center" vertical="center" wrapText="1"/>
    </xf>
    <xf numFmtId="0" fontId="59" fillId="32" borderId="50" xfId="77" applyFont="1" applyFill="1" applyBorder="1" applyAlignment="1">
      <alignment horizontal="center" vertical="center" wrapText="1"/>
    </xf>
    <xf numFmtId="0" fontId="59" fillId="32" borderId="48" xfId="77" applyFont="1" applyFill="1" applyBorder="1" applyAlignment="1">
      <alignment horizontal="center" vertical="center" wrapText="1"/>
    </xf>
    <xf numFmtId="0" fontId="59" fillId="32" borderId="31" xfId="77" applyFont="1" applyFill="1" applyBorder="1" applyAlignment="1">
      <alignment horizontal="center" vertical="center" wrapText="1"/>
    </xf>
    <xf numFmtId="0" fontId="59" fillId="32" borderId="37" xfId="77" applyFont="1" applyFill="1" applyBorder="1" applyAlignment="1">
      <alignment horizontal="center" vertical="center" wrapText="1"/>
    </xf>
    <xf numFmtId="0" fontId="59" fillId="32" borderId="17" xfId="77" applyFont="1" applyFill="1" applyBorder="1" applyAlignment="1">
      <alignment horizontal="center" vertical="center" wrapText="1"/>
    </xf>
    <xf numFmtId="0" fontId="59" fillId="31" borderId="17" xfId="77" applyFont="1" applyFill="1" applyBorder="1" applyAlignment="1">
      <alignment horizontal="center" vertical="center" wrapText="1"/>
    </xf>
    <xf numFmtId="0" fontId="23" fillId="0" borderId="0" xfId="13" applyAlignment="1">
      <alignment vertical="center" wrapText="1"/>
    </xf>
    <xf numFmtId="0" fontId="17" fillId="0" borderId="14" xfId="9" applyFont="1" applyFill="1" applyBorder="1" applyAlignment="1">
      <alignment horizontal="center"/>
    </xf>
    <xf numFmtId="0" fontId="23" fillId="0" borderId="0" xfId="13" applyAlignment="1">
      <alignment horizontal="center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67" fillId="33" borderId="0" xfId="0" applyFont="1" applyFill="1" applyAlignment="1" applyProtection="1">
      <alignment horizontal="center"/>
      <protection locked="0"/>
    </xf>
    <xf numFmtId="0" fontId="32" fillId="0" borderId="0" xfId="13" applyFont="1" applyBorder="1" applyAlignment="1">
      <alignment horizontal="center"/>
    </xf>
    <xf numFmtId="0" fontId="23" fillId="0" borderId="0" xfId="13" applyBorder="1" applyAlignment="1">
      <alignment horizontal="center" vertical="center"/>
    </xf>
    <xf numFmtId="0" fontId="23" fillId="0" borderId="0" xfId="13" applyAlignment="1">
      <alignment horizontal="center"/>
    </xf>
    <xf numFmtId="0" fontId="26" fillId="0" borderId="36" xfId="77" applyBorder="1" applyAlignment="1">
      <alignment horizontal="center"/>
    </xf>
    <xf numFmtId="0" fontId="26" fillId="0" borderId="46" xfId="77" applyBorder="1" applyAlignment="1">
      <alignment horizontal="center"/>
    </xf>
    <xf numFmtId="0" fontId="26" fillId="0" borderId="33" xfId="77" applyBorder="1" applyAlignment="1">
      <alignment horizontal="center"/>
    </xf>
    <xf numFmtId="0" fontId="26" fillId="0" borderId="45" xfId="77" applyBorder="1" applyAlignment="1">
      <alignment horizontal="center"/>
    </xf>
    <xf numFmtId="0" fontId="23" fillId="0" borderId="51" xfId="13" applyBorder="1" applyAlignment="1">
      <alignment horizontal="center"/>
    </xf>
    <xf numFmtId="0" fontId="23" fillId="0" borderId="34" xfId="13" applyBorder="1" applyAlignment="1">
      <alignment horizontal="center"/>
    </xf>
    <xf numFmtId="0" fontId="61" fillId="33" borderId="0" xfId="77" applyFont="1" applyFill="1" applyAlignment="1">
      <alignment horizontal="center" vertical="center"/>
    </xf>
    <xf numFmtId="0" fontId="26" fillId="0" borderId="29" xfId="77" applyBorder="1" applyAlignment="1">
      <alignment horizontal="center"/>
    </xf>
    <xf numFmtId="0" fontId="26" fillId="0" borderId="35" xfId="77" applyBorder="1" applyAlignment="1">
      <alignment horizontal="center"/>
    </xf>
    <xf numFmtId="0" fontId="26" fillId="0" borderId="40" xfId="77" applyBorder="1" applyAlignment="1">
      <alignment horizontal="center"/>
    </xf>
    <xf numFmtId="0" fontId="26" fillId="0" borderId="47" xfId="77" applyBorder="1" applyAlignment="1">
      <alignment horizontal="center"/>
    </xf>
    <xf numFmtId="49" fontId="60" fillId="30" borderId="29" xfId="77" applyNumberFormat="1" applyFont="1" applyFill="1" applyBorder="1" applyAlignment="1">
      <alignment horizontal="center"/>
    </xf>
    <xf numFmtId="49" fontId="60" fillId="30" borderId="32" xfId="77" applyNumberFormat="1" applyFont="1" applyFill="1" applyBorder="1" applyAlignment="1">
      <alignment horizontal="center"/>
    </xf>
    <xf numFmtId="49" fontId="60" fillId="30" borderId="42" xfId="77" applyNumberFormat="1" applyFont="1" applyFill="1" applyBorder="1" applyAlignment="1">
      <alignment horizontal="center"/>
    </xf>
    <xf numFmtId="49" fontId="60" fillId="30" borderId="44" xfId="77" applyNumberFormat="1" applyFont="1" applyFill="1" applyBorder="1" applyAlignment="1">
      <alignment horizontal="center"/>
    </xf>
    <xf numFmtId="0" fontId="66" fillId="30" borderId="38" xfId="13" applyFont="1" applyFill="1" applyBorder="1" applyAlignment="1">
      <alignment horizontal="center"/>
    </xf>
    <xf numFmtId="0" fontId="66" fillId="30" borderId="43" xfId="13" applyFont="1" applyFill="1" applyBorder="1" applyAlignment="1">
      <alignment horizontal="center"/>
    </xf>
    <xf numFmtId="0" fontId="34" fillId="30" borderId="17" xfId="13" applyFont="1" applyFill="1" applyBorder="1" applyAlignment="1">
      <alignment horizontal="center"/>
    </xf>
    <xf numFmtId="0" fontId="34" fillId="30" borderId="33" xfId="13" applyFont="1" applyFill="1" applyBorder="1" applyAlignment="1">
      <alignment horizontal="center"/>
    </xf>
    <xf numFmtId="0" fontId="26" fillId="0" borderId="34" xfId="77" applyBorder="1" applyAlignment="1">
      <alignment horizontal="center"/>
    </xf>
    <xf numFmtId="0" fontId="25" fillId="31" borderId="0" xfId="0" applyFont="1" applyFill="1"/>
    <xf numFmtId="0" fontId="70" fillId="31" borderId="0" xfId="0" applyFont="1" applyFill="1" applyAlignment="1">
      <alignment horizontal="center" vertical="center"/>
    </xf>
    <xf numFmtId="0" fontId="70" fillId="31" borderId="0" xfId="108" applyFont="1" applyFill="1" applyBorder="1" applyAlignment="1">
      <alignment horizontal="center" vertical="center"/>
    </xf>
    <xf numFmtId="0" fontId="70" fillId="31" borderId="0" xfId="109" applyFont="1" applyFill="1" applyBorder="1" applyAlignment="1">
      <alignment horizontal="center" vertical="center"/>
    </xf>
    <xf numFmtId="0" fontId="70" fillId="31" borderId="0" xfId="0" applyFont="1" applyFill="1" applyBorder="1" applyAlignment="1">
      <alignment horizontal="center" vertical="center"/>
    </xf>
    <xf numFmtId="0" fontId="75" fillId="37" borderId="17" xfId="0" applyFont="1" applyFill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6" fillId="38" borderId="17" xfId="0" applyFont="1" applyFill="1" applyBorder="1" applyAlignment="1">
      <alignment horizontal="center" vertical="center"/>
    </xf>
    <xf numFmtId="0" fontId="76" fillId="39" borderId="17" xfId="0" applyFont="1" applyFill="1" applyBorder="1" applyAlignment="1" applyProtection="1">
      <alignment horizontal="left" vertical="center" wrapText="1"/>
      <protection locked="0"/>
    </xf>
    <xf numFmtId="0" fontId="76" fillId="0" borderId="0" xfId="0" applyFont="1" applyFill="1" applyAlignment="1">
      <alignment vertical="center"/>
    </xf>
    <xf numFmtId="0" fontId="77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75" fillId="37" borderId="52" xfId="0" applyFont="1" applyFill="1" applyBorder="1" applyAlignment="1">
      <alignment horizontal="center" vertical="center"/>
    </xf>
    <xf numFmtId="0" fontId="76" fillId="0" borderId="0" xfId="0" applyFont="1" applyBorder="1" applyAlignment="1">
      <alignment vertical="center"/>
    </xf>
    <xf numFmtId="0" fontId="78" fillId="0" borderId="0" xfId="0" applyFont="1" applyBorder="1" applyAlignment="1">
      <alignment vertical="center"/>
    </xf>
    <xf numFmtId="0" fontId="76" fillId="0" borderId="0" xfId="0" applyFont="1" applyBorder="1" applyAlignment="1">
      <alignment horizontal="left" vertical="center"/>
    </xf>
    <xf numFmtId="0" fontId="76" fillId="0" borderId="0" xfId="0" applyFont="1" applyBorder="1" applyAlignment="1">
      <alignment horizontal="right" vertical="center"/>
    </xf>
    <xf numFmtId="0" fontId="78" fillId="0" borderId="0" xfId="0" applyFont="1" applyAlignment="1">
      <alignment vertical="center"/>
    </xf>
    <xf numFmtId="0" fontId="78" fillId="40" borderId="17" xfId="0" applyNumberFormat="1" applyFont="1" applyFill="1" applyBorder="1" applyAlignment="1" applyProtection="1">
      <alignment horizontal="center" vertical="center" wrapText="1"/>
      <protection locked="0"/>
    </xf>
    <xf numFmtId="0" fontId="78" fillId="40" borderId="17" xfId="0" applyFont="1" applyFill="1" applyBorder="1" applyAlignment="1" applyProtection="1">
      <alignment horizontal="center" vertical="center" wrapText="1"/>
      <protection locked="0"/>
    </xf>
    <xf numFmtId="0" fontId="78" fillId="0" borderId="0" xfId="0" applyFont="1" applyFill="1" applyAlignment="1">
      <alignment vertical="center"/>
    </xf>
    <xf numFmtId="0" fontId="75" fillId="37" borderId="53" xfId="0" applyFont="1" applyFill="1" applyBorder="1" applyAlignment="1">
      <alignment horizontal="center" vertical="center"/>
    </xf>
    <xf numFmtId="0" fontId="75" fillId="37" borderId="0" xfId="0" applyFont="1" applyFill="1" applyBorder="1" applyAlignment="1">
      <alignment horizontal="center" vertical="center"/>
    </xf>
    <xf numFmtId="0" fontId="75" fillId="37" borderId="54" xfId="0" applyFont="1" applyFill="1" applyBorder="1" applyAlignment="1">
      <alignment horizontal="center" vertical="center"/>
    </xf>
    <xf numFmtId="0" fontId="76" fillId="39" borderId="17" xfId="0" applyFont="1" applyFill="1" applyBorder="1" applyAlignment="1" applyProtection="1">
      <alignment horizontal="center" vertical="center" wrapText="1"/>
      <protection locked="0"/>
    </xf>
    <xf numFmtId="14" fontId="76" fillId="40" borderId="17" xfId="0" applyNumberFormat="1" applyFont="1" applyFill="1" applyBorder="1" applyAlignment="1" applyProtection="1">
      <alignment horizontal="center" vertical="center" wrapText="1"/>
      <protection locked="0"/>
    </xf>
    <xf numFmtId="0" fontId="76" fillId="38" borderId="17" xfId="0" applyFont="1" applyFill="1" applyBorder="1" applyAlignment="1">
      <alignment horizontal="center" vertical="center" wrapText="1"/>
    </xf>
    <xf numFmtId="0" fontId="76" fillId="0" borderId="17" xfId="0" applyFont="1" applyFill="1" applyBorder="1" applyAlignment="1">
      <alignment horizontal="center" vertical="center"/>
    </xf>
    <xf numFmtId="0" fontId="76" fillId="40" borderId="17" xfId="0" applyFont="1" applyFill="1" applyBorder="1" applyAlignment="1" applyProtection="1">
      <alignment horizontal="center" vertical="center" wrapText="1"/>
      <protection locked="0"/>
    </xf>
    <xf numFmtId="0" fontId="76" fillId="0" borderId="0" xfId="0" applyFont="1" applyFill="1" applyBorder="1" applyAlignment="1">
      <alignment vertical="center"/>
    </xf>
    <xf numFmtId="0" fontId="76" fillId="0" borderId="0" xfId="0" applyFont="1" applyFill="1" applyBorder="1" applyAlignment="1">
      <alignment horizontal="center" vertical="center" wrapText="1"/>
    </xf>
    <xf numFmtId="0" fontId="76" fillId="0" borderId="0" xfId="0" applyFont="1" applyBorder="1" applyAlignment="1">
      <alignment horizontal="center" vertical="center"/>
    </xf>
  </cellXfs>
  <cellStyles count="112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" xfId="109" builtinId="27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" xfId="110" builtinId="28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ny 2" xfId="11"/>
    <cellStyle name="Pourcentage" xfId="111" builtinId="5"/>
    <cellStyle name="Satisfaisant" xfId="108" builtinId="26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1">
    <dxf>
      <font>
        <b/>
        <i/>
        <strike val="0"/>
        <color theme="0" tint="-0.14996795556505021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ial/Trial_2015C/2015C_Caract&#233;risation_NUE_VATE/Copie%20de%201016879_2015COLZAOLEAHIVERHR1ANSERIE1_YEBLES_26052015_1425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verture"/>
      <sheetName val="Plan Décodé"/>
      <sheetName val="Plan Codé"/>
      <sheetName val="Coord Parcell"/>
      <sheetName val="Avertissement"/>
      <sheetName val="Données Parcellaires"/>
      <sheetName val="Model-Données Agro"/>
      <sheetName val="Model-Info Complémentaire Agro"/>
      <sheetName val="Tables"/>
      <sheetName val="Referentiel Agro"/>
      <sheetName val="Referentiel Agro Effluent Orga"/>
      <sheetName val="Referentiel Agro Phyto"/>
      <sheetName val="Referentiel Agro Sol"/>
      <sheetName val="Données Agro"/>
      <sheetName val="Info Complémentaire Agro"/>
      <sheetName val="Feuil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A3" t="str">
            <v>[SPS] Pré-Semis</v>
          </cell>
        </row>
        <row r="4">
          <cell r="AA4" t="str">
            <v>[S] Semis</v>
          </cell>
        </row>
        <row r="5">
          <cell r="AA5" t="str">
            <v>[A0] Germination</v>
          </cell>
        </row>
        <row r="6">
          <cell r="AA6" t="str">
            <v>[A1/10] Levée apparition cotylédons en surface</v>
          </cell>
        </row>
        <row r="7">
          <cell r="AA7" t="str">
            <v>[A2/10] Cotylédons étalés</v>
          </cell>
        </row>
        <row r="8">
          <cell r="AA8" t="str">
            <v>[B1/11] 1 feuille</v>
          </cell>
        </row>
        <row r="9">
          <cell r="AA9" t="str">
            <v>[B2/12] 2 feuilles</v>
          </cell>
        </row>
        <row r="10">
          <cell r="AA10" t="str">
            <v>[B3/13] 3 feuilles</v>
          </cell>
        </row>
        <row r="11">
          <cell r="AA11" t="str">
            <v>[B4/14] 4 feuilles</v>
          </cell>
        </row>
        <row r="12">
          <cell r="AA12" t="str">
            <v>[Bn/1n] &gt; 4 feuilles</v>
          </cell>
        </row>
        <row r="13">
          <cell r="AA13" t="str">
            <v>[C1/31] Reprise de végétation</v>
          </cell>
        </row>
        <row r="14">
          <cell r="AA14" t="str">
            <v>[C2/32] Entre-noeuds visibles</v>
          </cell>
        </row>
        <row r="15">
          <cell r="AA15" t="str">
            <v>[D1/51] Bouton accolés</v>
          </cell>
        </row>
        <row r="16">
          <cell r="AA16" t="str">
            <v>[D2/53] Inflorescence dégagée</v>
          </cell>
        </row>
        <row r="17">
          <cell r="AA17" t="str">
            <v>[E/59] Boutons séparés</v>
          </cell>
        </row>
        <row r="18">
          <cell r="AA18" t="str">
            <v>[F1/60] 1ères fleurs ouvertes</v>
          </cell>
        </row>
        <row r="19">
          <cell r="AA19" t="str">
            <v>[F2/61] Allongement de la hampe florale</v>
          </cell>
        </row>
        <row r="20">
          <cell r="AA20" t="str">
            <v>[G1/70] Chute des 1ers pétales, 10 premières siliques &lt; 2cm</v>
          </cell>
        </row>
        <row r="21">
          <cell r="AA21" t="str">
            <v>[G2/71] 10 premières siliques entre 2 et 4 cm</v>
          </cell>
        </row>
        <row r="22">
          <cell r="AA22" t="str">
            <v>[G3/72] 10 premières siliques &gt; 4 cm</v>
          </cell>
        </row>
        <row r="23">
          <cell r="AA23" t="str">
            <v>[G4/73] 10 premières siliques bosselées</v>
          </cell>
        </row>
        <row r="24">
          <cell r="AA24" t="str">
            <v>[G5/81] Grains colorés</v>
          </cell>
        </row>
        <row r="25">
          <cell r="AA25" t="str">
            <v>[R] Récolte</v>
          </cell>
        </row>
      </sheetData>
      <sheetData sheetId="9">
        <row r="3">
          <cell r="G3" t="str">
            <v>[AVH] Avoine Hiver</v>
          </cell>
          <cell r="I3" t="str">
            <v>[HER] Herbicide</v>
          </cell>
          <cell r="L3" t="str">
            <v>[ALO] Argile lourde</v>
          </cell>
          <cell r="O3" t="str">
            <v>[O] Oui</v>
          </cell>
          <cell r="S3" t="str">
            <v>[ENFOUIS] Réstitués enfouis</v>
          </cell>
          <cell r="T3" t="str">
            <v>[SOL_NU] Sol nu</v>
          </cell>
          <cell r="U3" t="str">
            <v>[AUCUN] Aucun</v>
          </cell>
          <cell r="V3" t="str">
            <v>[SAI] Sol sain</v>
          </cell>
          <cell r="W3" t="str">
            <v>[SECHANT] Sol séchant</v>
          </cell>
          <cell r="X3" t="str">
            <v>[NULLE] Nulle</v>
          </cell>
          <cell r="Y3" t="str">
            <v>[EXPERT] Expertise</v>
          </cell>
          <cell r="Z3" t="str">
            <v>[PARC_ESS] Parcelle essai</v>
          </cell>
          <cell r="AA3" t="str">
            <v>[OLSEN] Olsen</v>
          </cell>
          <cell r="AB3" t="str">
            <v>[METSON] Metson</v>
          </cell>
          <cell r="AC3" t="str">
            <v>[LABOUR] Labour</v>
          </cell>
          <cell r="AD3" t="str">
            <v>[FROID] Sol froid</v>
          </cell>
          <cell r="AE3" t="str">
            <v>[ESSAI] Essai</v>
          </cell>
          <cell r="AF3" t="str">
            <v>[GHA] g/ha</v>
          </cell>
          <cell r="AH3" t="str">
            <v>[NULLE] Nulle</v>
          </cell>
          <cell r="AI3" t="str">
            <v>[NULLE] Nulle</v>
          </cell>
        </row>
        <row r="4">
          <cell r="G4" t="str">
            <v>[AVP] Avoine Printemps</v>
          </cell>
          <cell r="I4" t="str">
            <v>[DEF] Défanant</v>
          </cell>
          <cell r="L4" t="str">
            <v>[ARG] Argileux</v>
          </cell>
          <cell r="O4" t="str">
            <v>[N] Non</v>
          </cell>
          <cell r="S4" t="str">
            <v>[SURFACE] Réstitués en surface</v>
          </cell>
          <cell r="T4" t="str">
            <v>[AVP] Avoine de printemps</v>
          </cell>
          <cell r="U4" t="str">
            <v>[SEMELLE] Semelle de labour</v>
          </cell>
          <cell r="V4" t="str">
            <v>[DPI] Drainage parfois insuffisant</v>
          </cell>
          <cell r="W4" t="str">
            <v>[NORMAL] Sol moyen</v>
          </cell>
          <cell r="X4" t="str">
            <v>[FAIBLE] Faible</v>
          </cell>
          <cell r="Y4" t="str">
            <v>[ESTIM] Estimation à partir de la mesure d'enracinement</v>
          </cell>
          <cell r="Z4" t="str">
            <v>[PARC_SIM] Parcelle similaire</v>
          </cell>
          <cell r="AA4" t="str">
            <v>[JORET] Joret Hébert</v>
          </cell>
          <cell r="AB4" t="str">
            <v>[RHIEM] Rhiem</v>
          </cell>
          <cell r="AC4" t="str">
            <v>[PROF] Travail en prof sans retournement</v>
          </cell>
          <cell r="AD4" t="str">
            <v>[NORMAL] Sol normal</v>
          </cell>
          <cell r="AE4" t="str">
            <v>[NTRAITER] Non traitée</v>
          </cell>
          <cell r="AF4" t="str">
            <v>[KGHA] kg/ha</v>
          </cell>
          <cell r="AH4" t="str">
            <v>[FAIBLE] Faible</v>
          </cell>
          <cell r="AI4" t="str">
            <v>[FAIBLE] Faible</v>
          </cell>
        </row>
        <row r="5">
          <cell r="G5" t="str">
            <v>[BEF] Betterave fourragère</v>
          </cell>
          <cell r="I5" t="str">
            <v>[INS] Insecticide</v>
          </cell>
          <cell r="L5" t="str">
            <v>[ASA] Argile sableuse</v>
          </cell>
          <cell r="S5" t="str">
            <v>[EXPORT] Exportés</v>
          </cell>
          <cell r="T5" t="str">
            <v>[AVH] Avoine d'hiver</v>
          </cell>
          <cell r="U5" t="str">
            <v>[COMPACT] Horizon compacté</v>
          </cell>
          <cell r="V5" t="str">
            <v>[DRI] Drainage insuffisant</v>
          </cell>
          <cell r="W5" t="str">
            <v>[POURVU] Sol bien pourvu</v>
          </cell>
          <cell r="X5" t="str">
            <v>[FORT] Fort</v>
          </cell>
          <cell r="Y5" t="str">
            <v>[REF_LOC] Références locales</v>
          </cell>
          <cell r="AA5" t="str">
            <v>[DYER] Dyer</v>
          </cell>
          <cell r="AC5" t="str">
            <v>[SUPERFI] Travail superficiel</v>
          </cell>
          <cell r="AD5" t="str">
            <v>[RECHAU_RAP] Sol à réchauffement rapide</v>
          </cell>
          <cell r="AE5" t="str">
            <v>[TRAITER] Traitée</v>
          </cell>
          <cell r="AF5" t="str">
            <v>[LHA] L/ha</v>
          </cell>
          <cell r="AH5" t="str">
            <v>[MOYENNE] Moyenne</v>
          </cell>
          <cell r="AI5" t="str">
            <v>[MOYENNE] Moyenne</v>
          </cell>
        </row>
        <row r="6">
          <cell r="G6" t="str">
            <v>[BES] Betterave sucrière</v>
          </cell>
          <cell r="I6" t="str">
            <v>[FON] Fongicide</v>
          </cell>
          <cell r="L6" t="str">
            <v>[ALS] Argile limono-sableuse</v>
          </cell>
          <cell r="S6" t="str">
            <v>[BRULER] Brûlés</v>
          </cell>
          <cell r="T6" t="str">
            <v>[AVR] Avoine rude ou brésilienne</v>
          </cell>
          <cell r="U6" t="str">
            <v>[DURE] Roche dure ou peu fissurée</v>
          </cell>
          <cell r="Y6" t="str">
            <v>[GRAS] Méthodes de Gras</v>
          </cell>
          <cell r="AC6" t="str">
            <v>[LIGNE] Semis direct (travail que sur ligne de semis)</v>
          </cell>
          <cell r="AE6" t="str">
            <v>[NT+T] Traitée + Non traitée</v>
          </cell>
          <cell r="AF6" t="str">
            <v>[MLHA] mL/ha</v>
          </cell>
          <cell r="AH6" t="str">
            <v>[BONNE] Bonne</v>
          </cell>
          <cell r="AI6" t="str">
            <v>[FORTE] Forte</v>
          </cell>
        </row>
        <row r="7">
          <cell r="G7" t="str">
            <v>[BLD] Blé dur</v>
          </cell>
          <cell r="I7" t="str">
            <v>[MOL] Molluscicide</v>
          </cell>
          <cell r="L7" t="str">
            <v>[ARL] Argile limoneuse</v>
          </cell>
          <cell r="T7" t="str">
            <v>[FEVP] Féverole de printemps</v>
          </cell>
          <cell r="U7" t="str">
            <v>[NAP_EAU] Nappe d'eau</v>
          </cell>
          <cell r="Y7" t="str">
            <v>[CAP_CHAMP] Mesure de la capacité au champ</v>
          </cell>
          <cell r="AE7" t="str">
            <v>[NX] Dose Azote X</v>
          </cell>
          <cell r="AF7" t="str">
            <v>[DIFHA] Plaquettes diffuseur/ha</v>
          </cell>
        </row>
        <row r="8">
          <cell r="G8" t="str">
            <v>[BTH] Blé tendre Hiver</v>
          </cell>
          <cell r="I8" t="str">
            <v>[NEM] Nématicide</v>
          </cell>
          <cell r="L8" t="str">
            <v>[ARS] Argilo-sableux</v>
          </cell>
          <cell r="T8" t="str">
            <v>[GESSE] Gesse</v>
          </cell>
          <cell r="U8" t="str">
            <v>[INCONNU] Ne sait pas</v>
          </cell>
          <cell r="AE8" t="str">
            <v>[NX40] Dose Azote X +40U</v>
          </cell>
        </row>
        <row r="9">
          <cell r="G9" t="str">
            <v>[BTP] Blé tendre Printemps</v>
          </cell>
          <cell r="I9" t="str">
            <v>[REG] Régulateur de croissance</v>
          </cell>
          <cell r="L9" t="str">
            <v>[LAS] Limon argilo-sableux</v>
          </cell>
          <cell r="T9" t="str">
            <v>[LENTF] Lentille fourragère</v>
          </cell>
          <cell r="AE9" t="str">
            <v>[NX80] Dose Azote X +80U</v>
          </cell>
        </row>
        <row r="10">
          <cell r="G10" t="str">
            <v>[CHV] Chanvre</v>
          </cell>
          <cell r="I10" t="str">
            <v>[MOU] Adjuvants/Huiles/Mouillant</v>
          </cell>
          <cell r="L10" t="str">
            <v>[LAR] Limon argileux</v>
          </cell>
          <cell r="T10" t="str">
            <v>[LIN] Lin</v>
          </cell>
        </row>
        <row r="11">
          <cell r="G11" t="str">
            <v>[CHI] Chicorée industrielle</v>
          </cell>
          <cell r="I11" t="str">
            <v>[INO] Inoculation de semences</v>
          </cell>
          <cell r="L11" t="str">
            <v>[SAR] Sable argileux</v>
          </cell>
          <cell r="T11" t="str">
            <v>[MELAN_ESP] Mélange d'espèces</v>
          </cell>
        </row>
        <row r="12">
          <cell r="G12" t="str">
            <v>[COH] Colza oléa Hiver</v>
          </cell>
          <cell r="I12" t="str">
            <v>[TRI] Entomophages (Trichogramme, ...)</v>
          </cell>
          <cell r="L12" t="str">
            <v>[SAL] Sable argilo-limoneux</v>
          </cell>
          <cell r="T12" t="str">
            <v>[MOHA] Moha</v>
          </cell>
        </row>
        <row r="13">
          <cell r="G13" t="str">
            <v>[COP] Colza oléa Printemps</v>
          </cell>
          <cell r="I13" t="str">
            <v>[MIC] Micro-organismes (Contans Wg, ...)</v>
          </cell>
          <cell r="L13" t="str">
            <v>[LSA] Limon sablo-argileux</v>
          </cell>
          <cell r="T13" t="str">
            <v>[MOUTBL] Moutarde blanche</v>
          </cell>
        </row>
        <row r="14">
          <cell r="G14" t="str">
            <v>[FEH] Féverole Hiver</v>
          </cell>
          <cell r="I14" t="str">
            <v>[MED] Médiateurs chimiques (phéromones, ...)</v>
          </cell>
          <cell r="L14" t="str">
            <v>[LMN] Limon</v>
          </cell>
          <cell r="T14" t="str">
            <v>[MOUTBR] Moutarde brune</v>
          </cell>
        </row>
        <row r="15">
          <cell r="G15" t="str">
            <v>[FEP] Féverole Printemps</v>
          </cell>
          <cell r="I15" t="str">
            <v>[STI] Stimulateur des défenses naturelles</v>
          </cell>
          <cell r="L15" t="str">
            <v>[SAB] Sableux</v>
          </cell>
          <cell r="T15" t="str">
            <v>[NAV] Navette</v>
          </cell>
        </row>
        <row r="16">
          <cell r="G16" t="str">
            <v>[JAC] Jachère</v>
          </cell>
          <cell r="I16" t="str">
            <v>[AUP] Autre traitement</v>
          </cell>
          <cell r="L16" t="str">
            <v>[SBE] Sable</v>
          </cell>
          <cell r="T16" t="str">
            <v>[NYGER] Nyger</v>
          </cell>
        </row>
        <row r="17">
          <cell r="G17" t="str">
            <v>[LEG] Légumineuses fourragères (luzerne, trèfle, ...)</v>
          </cell>
          <cell r="L17" t="str">
            <v>[SBL] Sable limoneux</v>
          </cell>
          <cell r="T17" t="str">
            <v>[PHACE] Phacélie</v>
          </cell>
        </row>
        <row r="18">
          <cell r="G18" t="str">
            <v>[LFH] Lin fibre Hiver</v>
          </cell>
          <cell r="L18" t="str">
            <v>[LSB] Limon sableux</v>
          </cell>
          <cell r="T18" t="str">
            <v>[POISF] Pois fourrager</v>
          </cell>
        </row>
        <row r="19">
          <cell r="G19" t="str">
            <v>[LFP] Lin fibre Printemps</v>
          </cell>
          <cell r="L19" t="str">
            <v>[LIP] Limon Pur</v>
          </cell>
          <cell r="T19" t="str">
            <v>[RADCH] Radis chinois</v>
          </cell>
        </row>
        <row r="20">
          <cell r="G20" t="str">
            <v>[LOH] Lin oléa Hiver</v>
          </cell>
          <cell r="T20" t="str">
            <v>[RADFOUR] Radis fourrager</v>
          </cell>
        </row>
        <row r="21">
          <cell r="G21" t="str">
            <v>[LOP] Lin oléa Printemps</v>
          </cell>
          <cell r="T21" t="str">
            <v>[RGI] Ray-grass d'Italie</v>
          </cell>
        </row>
        <row r="22">
          <cell r="G22" t="str">
            <v>[LUH] Lupin Hiver</v>
          </cell>
          <cell r="T22" t="str">
            <v>[REP_CER] Repousses céréales</v>
          </cell>
        </row>
        <row r="23">
          <cell r="G23" t="str">
            <v>[LUP] Lupin Printemps</v>
          </cell>
          <cell r="T23" t="str">
            <v>[REP_COLZ] Repousses colza</v>
          </cell>
        </row>
        <row r="24">
          <cell r="G24" t="str">
            <v>[MAF] Maïs ensilage</v>
          </cell>
          <cell r="T24" t="str">
            <v>[SARRA] Sarrasin</v>
          </cell>
        </row>
        <row r="25">
          <cell r="G25" t="str">
            <v>[MAG] Maïs grain</v>
          </cell>
          <cell r="T25" t="str">
            <v>[SEIGLE] Seigle</v>
          </cell>
        </row>
        <row r="26">
          <cell r="G26" t="str">
            <v>[MCE] Mélange céréales + protéagineux / ensilage</v>
          </cell>
          <cell r="T26" t="str">
            <v>[TOURN] Tournesol</v>
          </cell>
        </row>
        <row r="27">
          <cell r="G27" t="str">
            <v>[MCG] Mélange céréales + protéagineux / grain</v>
          </cell>
          <cell r="T27" t="str">
            <v>[TREF_ALEX] Trèfle d'Alexandrie</v>
          </cell>
        </row>
        <row r="28">
          <cell r="G28" t="str">
            <v>[ORH] Orge Hiver</v>
          </cell>
          <cell r="T28" t="str">
            <v>[TREF_INC] Trèfle incarnat</v>
          </cell>
        </row>
        <row r="29">
          <cell r="G29" t="str">
            <v>[ORP] Orge Printemps</v>
          </cell>
          <cell r="T29" t="str">
            <v>[VESCOMP] Vesce commune de printemps</v>
          </cell>
        </row>
        <row r="30">
          <cell r="G30" t="str">
            <v>[POH] Pois Hiver</v>
          </cell>
          <cell r="T30" t="str">
            <v>[VESPOU] Vesce pourpre</v>
          </cell>
        </row>
        <row r="31">
          <cell r="G31" t="str">
            <v>[POP] Pois Printemps</v>
          </cell>
          <cell r="T31" t="str">
            <v>[VESVEL] Vesce velue</v>
          </cell>
        </row>
        <row r="32">
          <cell r="G32" t="str">
            <v>[PDT] Pomme de terre</v>
          </cell>
          <cell r="T32" t="str">
            <v>[AUTRE] Autre interculture</v>
          </cell>
        </row>
        <row r="33">
          <cell r="G33" t="str">
            <v>[PL1] Prairie graminées + légumineuses &lt; 2 ans</v>
          </cell>
        </row>
        <row r="34">
          <cell r="G34" t="str">
            <v>[PL2] Prairie graminées + légumineuses 2 - 6 ans</v>
          </cell>
        </row>
        <row r="35">
          <cell r="G35" t="str">
            <v>[PLP] Prairie graminées + légumineuses pérenne (&gt; 6 ans)</v>
          </cell>
        </row>
        <row r="36">
          <cell r="G36" t="str">
            <v>[PG1] Prairie graminées &lt; 2 ans</v>
          </cell>
        </row>
        <row r="37">
          <cell r="G37" t="str">
            <v>[PG2] Prairie graminées 2 - 6 ans</v>
          </cell>
        </row>
        <row r="38">
          <cell r="G38" t="str">
            <v>[PGP] Prairie graminées perenne (&gt; 6 ans)</v>
          </cell>
        </row>
        <row r="39">
          <cell r="G39" t="str">
            <v>[RIZ] Riz</v>
          </cell>
        </row>
        <row r="40">
          <cell r="G40" t="str">
            <v>[SEI] Seigle</v>
          </cell>
        </row>
        <row r="41">
          <cell r="G41" t="str">
            <v>[SOJ] Soja</v>
          </cell>
        </row>
        <row r="42">
          <cell r="G42" t="str">
            <v>[SOF] Sorgho fourrager</v>
          </cell>
        </row>
        <row r="43">
          <cell r="G43" t="str">
            <v>[SOG] Sorgho grain</v>
          </cell>
        </row>
        <row r="44">
          <cell r="G44" t="str">
            <v>[TAB] Tabac</v>
          </cell>
        </row>
        <row r="45">
          <cell r="G45" t="str">
            <v>[TOU] Tournesol</v>
          </cell>
        </row>
        <row r="46">
          <cell r="G46" t="str">
            <v>[TRI] Triticale</v>
          </cell>
        </row>
        <row r="47">
          <cell r="G47" t="str">
            <v>[AUT] Autre culture</v>
          </cell>
        </row>
      </sheetData>
      <sheetData sheetId="10">
        <row r="3">
          <cell r="A3" t="str">
            <v>[C01] Compost fumier de bovins (T/Ha)</v>
          </cell>
          <cell r="B3" t="str">
            <v>T/Ha</v>
          </cell>
          <cell r="C3">
            <v>7.6</v>
          </cell>
          <cell r="D3">
            <v>3.4</v>
          </cell>
          <cell r="E3">
            <v>8.6999999999999993</v>
          </cell>
          <cell r="F3">
            <v>8.6</v>
          </cell>
          <cell r="G3">
            <v>2.2999999999999998</v>
          </cell>
        </row>
        <row r="4">
          <cell r="A4" t="str">
            <v>[C02] Compost fumier d'ovins (T/Ha)</v>
          </cell>
          <cell r="B4" t="str">
            <v>T/Ha</v>
          </cell>
          <cell r="C4">
            <v>11.5</v>
          </cell>
          <cell r="D4">
            <v>7</v>
          </cell>
          <cell r="E4">
            <v>23</v>
          </cell>
          <cell r="F4">
            <v>23</v>
          </cell>
          <cell r="G4">
            <v>3.5</v>
          </cell>
        </row>
        <row r="5">
          <cell r="A5" t="str">
            <v>[C03] Compost fumier de porcs (T/Ha)</v>
          </cell>
          <cell r="B5" t="str">
            <v>T/Ha</v>
          </cell>
          <cell r="C5">
            <v>7.6</v>
          </cell>
          <cell r="D5">
            <v>10.199999999999999</v>
          </cell>
          <cell r="E5">
            <v>14.7</v>
          </cell>
          <cell r="F5">
            <v>14</v>
          </cell>
          <cell r="G5">
            <v>5.7</v>
          </cell>
        </row>
        <row r="6">
          <cell r="A6" t="str">
            <v>[C04] Compost fumier de volailles (T/Ha)</v>
          </cell>
          <cell r="B6" t="str">
            <v>T/Ha</v>
          </cell>
          <cell r="C6">
            <v>20.3</v>
          </cell>
          <cell r="D6">
            <v>20</v>
          </cell>
          <cell r="E6">
            <v>14.6</v>
          </cell>
          <cell r="F6">
            <v>8.3000000000000007</v>
          </cell>
          <cell r="G6">
            <v>5.6</v>
          </cell>
        </row>
        <row r="7">
          <cell r="A7" t="str">
            <v>[F01] Fumier bovins (T/Ha)</v>
          </cell>
          <cell r="B7" t="str">
            <v>T/Ha</v>
          </cell>
          <cell r="C7">
            <v>5.5</v>
          </cell>
          <cell r="D7">
            <v>2.8</v>
          </cell>
          <cell r="E7">
            <v>8</v>
          </cell>
          <cell r="F7">
            <v>5</v>
          </cell>
          <cell r="G7">
            <v>1.5</v>
          </cell>
        </row>
        <row r="8">
          <cell r="A8" t="str">
            <v>[F02] Fumier ovins (T/Ha)</v>
          </cell>
          <cell r="B8" t="str">
            <v>T/Ha</v>
          </cell>
          <cell r="C8">
            <v>6.7</v>
          </cell>
          <cell r="D8">
            <v>4.2</v>
          </cell>
          <cell r="E8">
            <v>11.2</v>
          </cell>
          <cell r="F8">
            <v>11.2</v>
          </cell>
          <cell r="G8">
            <v>1.4</v>
          </cell>
        </row>
        <row r="9">
          <cell r="A9" t="str">
            <v>[F03] Fumier caprins (T/Ha)</v>
          </cell>
          <cell r="B9" t="str">
            <v>T/Ha</v>
          </cell>
          <cell r="C9">
            <v>6.1</v>
          </cell>
          <cell r="D9">
            <v>5.2</v>
          </cell>
          <cell r="E9">
            <v>5.7</v>
          </cell>
          <cell r="F9">
            <v>4</v>
          </cell>
          <cell r="G9">
            <v>1.2</v>
          </cell>
        </row>
        <row r="10">
          <cell r="A10" t="str">
            <v>[F04] Fumier lapins (T/Ha)</v>
          </cell>
          <cell r="B10" t="str">
            <v>T/Ha</v>
          </cell>
          <cell r="C10">
            <v>8.5</v>
          </cell>
          <cell r="D10">
            <v>13.5</v>
          </cell>
          <cell r="E10">
            <v>7.5</v>
          </cell>
          <cell r="F10">
            <v>13.9</v>
          </cell>
          <cell r="G10">
            <v>3.5</v>
          </cell>
        </row>
        <row r="11">
          <cell r="A11" t="str">
            <v>[F05] Fumier équins (T/Ha)</v>
          </cell>
          <cell r="B11" t="str">
            <v>T/Ha</v>
          </cell>
          <cell r="C11">
            <v>8.1999999999999993</v>
          </cell>
          <cell r="D11">
            <v>3.2</v>
          </cell>
          <cell r="E11">
            <v>9</v>
          </cell>
          <cell r="F11">
            <v>5</v>
          </cell>
          <cell r="G11">
            <v>2</v>
          </cell>
        </row>
        <row r="12">
          <cell r="A12" t="str">
            <v>[F06] Fumier porcs paille (T/Ha)</v>
          </cell>
          <cell r="B12" t="str">
            <v>T/Ha</v>
          </cell>
          <cell r="C12">
            <v>7.2</v>
          </cell>
          <cell r="D12">
            <v>7</v>
          </cell>
          <cell r="E12">
            <v>10.199999999999999</v>
          </cell>
          <cell r="F12">
            <v>9</v>
          </cell>
          <cell r="G12">
            <v>2.7</v>
          </cell>
        </row>
        <row r="13">
          <cell r="A13" t="str">
            <v>[F07] Fumier porcs sciure (T/Ha)</v>
          </cell>
          <cell r="B13" t="str">
            <v>T/Ha</v>
          </cell>
          <cell r="C13">
            <v>9.1</v>
          </cell>
          <cell r="D13">
            <v>10.9</v>
          </cell>
          <cell r="E13">
            <v>11.2</v>
          </cell>
          <cell r="F13">
            <v>10</v>
          </cell>
          <cell r="G13">
            <v>3</v>
          </cell>
        </row>
        <row r="14">
          <cell r="A14" t="str">
            <v>[F08] Fumier poulet industriel frais (T/Ha)</v>
          </cell>
          <cell r="B14" t="str">
            <v>T/Ha</v>
          </cell>
          <cell r="C14">
            <v>29</v>
          </cell>
          <cell r="D14">
            <v>25</v>
          </cell>
          <cell r="E14">
            <v>20</v>
          </cell>
          <cell r="F14">
            <v>33</v>
          </cell>
          <cell r="G14">
            <v>6</v>
          </cell>
        </row>
        <row r="15">
          <cell r="A15" t="str">
            <v>[F09] Fumier poulet industriel stocké (T/Ha)</v>
          </cell>
          <cell r="B15" t="str">
            <v>T/Ha</v>
          </cell>
          <cell r="C15">
            <v>22</v>
          </cell>
          <cell r="D15">
            <v>23</v>
          </cell>
          <cell r="E15">
            <v>18</v>
          </cell>
          <cell r="F15">
            <v>30</v>
          </cell>
          <cell r="G15">
            <v>5</v>
          </cell>
        </row>
        <row r="16">
          <cell r="A16" t="str">
            <v>[F10] Fumier poulet label frais (T/Ha)</v>
          </cell>
          <cell r="B16" t="str">
            <v>T/Ha</v>
          </cell>
          <cell r="C16">
            <v>20</v>
          </cell>
          <cell r="D16">
            <v>18</v>
          </cell>
          <cell r="E16">
            <v>15</v>
          </cell>
          <cell r="F16">
            <v>24</v>
          </cell>
          <cell r="G16">
            <v>4.5</v>
          </cell>
        </row>
        <row r="17">
          <cell r="A17" t="str">
            <v>[F11] Fumier poulet label stocké (T/Ha)</v>
          </cell>
          <cell r="B17" t="str">
            <v>T/Ha</v>
          </cell>
          <cell r="C17">
            <v>15</v>
          </cell>
          <cell r="D17">
            <v>17</v>
          </cell>
          <cell r="E17">
            <v>14</v>
          </cell>
          <cell r="F17">
            <v>23</v>
          </cell>
          <cell r="G17">
            <v>4.0999999999999996</v>
          </cell>
        </row>
        <row r="18">
          <cell r="A18" t="str">
            <v>[F12] Fumier dinde industriel frais (T/Ha)</v>
          </cell>
          <cell r="B18" t="str">
            <v>T/Ha</v>
          </cell>
          <cell r="C18">
            <v>27</v>
          </cell>
          <cell r="D18">
            <v>27</v>
          </cell>
          <cell r="E18">
            <v>20</v>
          </cell>
          <cell r="F18">
            <v>27</v>
          </cell>
          <cell r="G18">
            <v>5</v>
          </cell>
        </row>
        <row r="19">
          <cell r="A19" t="str">
            <v>[F13] Fumier dinde industriel stocké (T/Ha)</v>
          </cell>
          <cell r="B19" t="str">
            <v>T/Ha</v>
          </cell>
          <cell r="C19">
            <v>21</v>
          </cell>
          <cell r="D19">
            <v>25</v>
          </cell>
          <cell r="E19">
            <v>18</v>
          </cell>
          <cell r="F19">
            <v>24</v>
          </cell>
          <cell r="G19">
            <v>3</v>
          </cell>
        </row>
        <row r="20">
          <cell r="A20" t="str">
            <v>[F14] Fumier pintade industriel frais (T/Ha)</v>
          </cell>
          <cell r="B20" t="str">
            <v>T/Ha</v>
          </cell>
          <cell r="C20">
            <v>32</v>
          </cell>
          <cell r="D20">
            <v>25</v>
          </cell>
          <cell r="E20">
            <v>20</v>
          </cell>
          <cell r="F20">
            <v>27</v>
          </cell>
          <cell r="G20">
            <v>5</v>
          </cell>
        </row>
        <row r="21">
          <cell r="A21" t="str">
            <v>[F15] Fumier pintade industriel stocké (T/Ha)</v>
          </cell>
          <cell r="B21" t="str">
            <v>T/Ha</v>
          </cell>
          <cell r="C21">
            <v>24</v>
          </cell>
          <cell r="D21">
            <v>23</v>
          </cell>
          <cell r="E21">
            <v>18</v>
          </cell>
          <cell r="F21">
            <v>24</v>
          </cell>
          <cell r="G21">
            <v>3</v>
          </cell>
        </row>
        <row r="22">
          <cell r="A22" t="str">
            <v>[F16] Fumier pintade label frais (T/Ha)</v>
          </cell>
          <cell r="B22" t="str">
            <v>T/Ha</v>
          </cell>
          <cell r="C22">
            <v>23</v>
          </cell>
          <cell r="D22">
            <v>20.5</v>
          </cell>
          <cell r="E22">
            <v>19</v>
          </cell>
          <cell r="F22">
            <v>15</v>
          </cell>
          <cell r="G22">
            <v>4</v>
          </cell>
        </row>
        <row r="23">
          <cell r="A23" t="str">
            <v>[F17] Fumier pintade label stocké (T/Ha)</v>
          </cell>
          <cell r="B23" t="str">
            <v>T/Ha</v>
          </cell>
          <cell r="C23">
            <v>15</v>
          </cell>
          <cell r="D23">
            <v>15</v>
          </cell>
          <cell r="E23">
            <v>14</v>
          </cell>
          <cell r="F23">
            <v>12</v>
          </cell>
          <cell r="G23">
            <v>3</v>
          </cell>
        </row>
        <row r="24">
          <cell r="A24" t="str">
            <v>[F18] Fumier canard label frais (T/Ha)</v>
          </cell>
          <cell r="B24" t="str">
            <v>T/Ha</v>
          </cell>
          <cell r="C24">
            <v>11.9</v>
          </cell>
          <cell r="D24">
            <v>19.100000000000001</v>
          </cell>
          <cell r="E24">
            <v>14</v>
          </cell>
          <cell r="F24">
            <v>21.3</v>
          </cell>
          <cell r="G24">
            <v>4</v>
          </cell>
        </row>
        <row r="25">
          <cell r="A25" t="str">
            <v>[F19] Fumier canard label stocké (T/Ha)</v>
          </cell>
          <cell r="B25" t="str">
            <v>T/Ha</v>
          </cell>
          <cell r="C25">
            <v>6.8</v>
          </cell>
          <cell r="D25">
            <v>11.6</v>
          </cell>
          <cell r="E25">
            <v>7.2</v>
          </cell>
          <cell r="F25">
            <v>11.6</v>
          </cell>
          <cell r="G25">
            <v>2.1</v>
          </cell>
        </row>
        <row r="26">
          <cell r="A26" t="str">
            <v>[F20] Fumier poules pondeuses (T/Ha)</v>
          </cell>
          <cell r="B26" t="str">
            <v>T/Ha</v>
          </cell>
          <cell r="C26">
            <v>15.1</v>
          </cell>
          <cell r="D26">
            <v>24.5</v>
          </cell>
          <cell r="E26">
            <v>18.600000000000001</v>
          </cell>
          <cell r="F26">
            <v>18.3</v>
          </cell>
          <cell r="G26">
            <v>6.3</v>
          </cell>
        </row>
        <row r="27">
          <cell r="A27" t="str">
            <v>[I01] Fientes poules humides 25 %MS (T/Ha)</v>
          </cell>
          <cell r="B27" t="str">
            <v>T/Ha</v>
          </cell>
          <cell r="C27">
            <v>15</v>
          </cell>
          <cell r="D27">
            <v>14</v>
          </cell>
          <cell r="E27">
            <v>12</v>
          </cell>
          <cell r="F27">
            <v>14</v>
          </cell>
          <cell r="G27">
            <v>3</v>
          </cell>
        </row>
        <row r="28">
          <cell r="A28" t="str">
            <v>[I02] Fientes poules présechées 40 %MS (T/Ha)</v>
          </cell>
          <cell r="B28" t="str">
            <v>T/Ha</v>
          </cell>
          <cell r="C28">
            <v>22</v>
          </cell>
          <cell r="D28">
            <v>20</v>
          </cell>
          <cell r="E28">
            <v>13</v>
          </cell>
          <cell r="F28">
            <v>15</v>
          </cell>
          <cell r="G28">
            <v>4</v>
          </cell>
        </row>
        <row r="29">
          <cell r="A29" t="str">
            <v>[I03] Fientes poules sechées 80 %MS (T/Ha)</v>
          </cell>
          <cell r="B29" t="str">
            <v>T/Ha</v>
          </cell>
          <cell r="C29">
            <v>40</v>
          </cell>
          <cell r="D29">
            <v>40</v>
          </cell>
          <cell r="E29">
            <v>28</v>
          </cell>
          <cell r="F29">
            <v>17</v>
          </cell>
          <cell r="G29">
            <v>6.5</v>
          </cell>
        </row>
        <row r="30">
          <cell r="A30" t="str">
            <v>[L01] Lisier bovins 18%MS (M3/Ha)</v>
          </cell>
          <cell r="B30" t="str">
            <v>M3/Ha</v>
          </cell>
          <cell r="C30">
            <v>5.2</v>
          </cell>
          <cell r="D30">
            <v>3.1</v>
          </cell>
          <cell r="E30">
            <v>2.7</v>
          </cell>
          <cell r="F30">
            <v>5.4</v>
          </cell>
          <cell r="G30">
            <v>1.7</v>
          </cell>
        </row>
        <row r="31">
          <cell r="A31" t="str">
            <v>[L02] Lisier bovins 11 %MS (M3/Ha)</v>
          </cell>
          <cell r="B31" t="str">
            <v>M3/Ha</v>
          </cell>
          <cell r="C31">
            <v>3.6</v>
          </cell>
          <cell r="D31">
            <v>2</v>
          </cell>
          <cell r="E31">
            <v>5.3</v>
          </cell>
          <cell r="F31">
            <v>2</v>
          </cell>
          <cell r="G31">
            <v>0.7</v>
          </cell>
        </row>
        <row r="32">
          <cell r="A32" t="str">
            <v>[L03] Lisier bovins 6-9%MS (M3/Ha)</v>
          </cell>
          <cell r="B32" t="str">
            <v>M3/Ha</v>
          </cell>
          <cell r="C32">
            <v>2.8</v>
          </cell>
          <cell r="D32">
            <v>1.2</v>
          </cell>
          <cell r="E32">
            <v>4.4000000000000004</v>
          </cell>
          <cell r="F32">
            <v>1.2</v>
          </cell>
          <cell r="G32">
            <v>0.4</v>
          </cell>
        </row>
        <row r="33">
          <cell r="A33" t="str">
            <v>[L04] Lisier bovins 3-6%MS (M3/Ha)</v>
          </cell>
          <cell r="B33" t="str">
            <v>M3/Ha</v>
          </cell>
          <cell r="C33">
            <v>1.9</v>
          </cell>
          <cell r="D33">
            <v>1</v>
          </cell>
          <cell r="E33">
            <v>2.9</v>
          </cell>
          <cell r="F33">
            <v>1</v>
          </cell>
          <cell r="G33">
            <v>0.3</v>
          </cell>
        </row>
        <row r="34">
          <cell r="A34" t="str">
            <v>[L05] Lisier veaux 1.9 % MS (M3/Ha)</v>
          </cell>
          <cell r="B34" t="str">
            <v>M3/Ha</v>
          </cell>
          <cell r="C34">
            <v>2.7</v>
          </cell>
          <cell r="D34">
            <v>2.1</v>
          </cell>
          <cell r="E34">
            <v>3.8</v>
          </cell>
          <cell r="F34">
            <v>0.3</v>
          </cell>
          <cell r="G34">
            <v>0.3</v>
          </cell>
        </row>
        <row r="35">
          <cell r="A35" t="str">
            <v>[L06] Lisier bovins 0-1%MS (M3/Ha)</v>
          </cell>
          <cell r="B35" t="str">
            <v>M3/Ha</v>
          </cell>
          <cell r="C35">
            <v>1.1000000000000001</v>
          </cell>
          <cell r="D35">
            <v>0.4</v>
          </cell>
          <cell r="E35">
            <v>2</v>
          </cell>
          <cell r="F35">
            <v>0.4</v>
          </cell>
          <cell r="G35">
            <v>0.1</v>
          </cell>
        </row>
        <row r="36">
          <cell r="A36" t="str">
            <v>[L07] Lixiviats bovins très dilués (M3/Ha)</v>
          </cell>
          <cell r="B36" t="str">
            <v>M3/Ha</v>
          </cell>
          <cell r="C36">
            <v>0.4</v>
          </cell>
          <cell r="D36">
            <v>0.2</v>
          </cell>
          <cell r="E36">
            <v>0.7</v>
          </cell>
          <cell r="F36">
            <v>0.2</v>
          </cell>
          <cell r="G36">
            <v>0.1</v>
          </cell>
        </row>
        <row r="37">
          <cell r="A37" t="str">
            <v>[L08] Lisier porcs 9 %MS (M3/Ha)</v>
          </cell>
          <cell r="B37" t="str">
            <v>M3/Ha</v>
          </cell>
          <cell r="C37">
            <v>9.6</v>
          </cell>
          <cell r="D37">
            <v>4.8</v>
          </cell>
          <cell r="E37">
            <v>5.9</v>
          </cell>
          <cell r="F37">
            <v>5.8</v>
          </cell>
          <cell r="G37">
            <v>1.2</v>
          </cell>
        </row>
        <row r="38">
          <cell r="A38" t="str">
            <v>[L09] Lisier porcs 7 %MS (M3/Ha)</v>
          </cell>
          <cell r="B38" t="str">
            <v>M3/Ha</v>
          </cell>
          <cell r="C38">
            <v>5.5</v>
          </cell>
          <cell r="D38">
            <v>5.8</v>
          </cell>
          <cell r="E38">
            <v>3.6</v>
          </cell>
          <cell r="F38">
            <v>3.5</v>
          </cell>
          <cell r="G38">
            <v>0.8</v>
          </cell>
        </row>
        <row r="39">
          <cell r="A39" t="str">
            <v>[L10] Lisier porcs 5 %MS (M3/Ha)</v>
          </cell>
          <cell r="B39" t="str">
            <v>M3/Ha</v>
          </cell>
          <cell r="C39">
            <v>4.3</v>
          </cell>
          <cell r="D39">
            <v>3.8</v>
          </cell>
          <cell r="E39">
            <v>2.6</v>
          </cell>
          <cell r="F39">
            <v>2.5</v>
          </cell>
          <cell r="G39">
            <v>0.6</v>
          </cell>
        </row>
        <row r="40">
          <cell r="A40" t="str">
            <v>[L11] Lisier porcs 3 %MS (M3/Ha)</v>
          </cell>
          <cell r="B40" t="str">
            <v>M3/Ha</v>
          </cell>
          <cell r="C40">
            <v>3.2</v>
          </cell>
          <cell r="D40">
            <v>2.4</v>
          </cell>
          <cell r="E40">
            <v>2</v>
          </cell>
          <cell r="F40">
            <v>1</v>
          </cell>
          <cell r="G40">
            <v>0.3</v>
          </cell>
        </row>
        <row r="41">
          <cell r="A41" t="str">
            <v>[L12] Lisier porcs 1.5%MS (M3/Ha)</v>
          </cell>
          <cell r="B41" t="str">
            <v>M3/Ha</v>
          </cell>
          <cell r="C41">
            <v>2.2999999999999998</v>
          </cell>
          <cell r="D41">
            <v>1</v>
          </cell>
          <cell r="E41">
            <v>1.3</v>
          </cell>
          <cell r="F41">
            <v>0.7</v>
          </cell>
          <cell r="G41">
            <v>0.2</v>
          </cell>
        </row>
        <row r="42">
          <cell r="A42" t="str">
            <v>[L13] Lisier poules pondeuses 10-15 %MS (M3/Ha)</v>
          </cell>
          <cell r="B42" t="str">
            <v>M3/Ha</v>
          </cell>
          <cell r="C42">
            <v>6.8</v>
          </cell>
          <cell r="D42">
            <v>9.5</v>
          </cell>
          <cell r="E42">
            <v>5.5</v>
          </cell>
          <cell r="F42">
            <v>16.5</v>
          </cell>
          <cell r="G42">
            <v>1.4</v>
          </cell>
        </row>
        <row r="43">
          <cell r="A43" t="str">
            <v>[L14] Lisier canards 10 %MS (M3/Ha)</v>
          </cell>
          <cell r="B43" t="str">
            <v>M3/Ha</v>
          </cell>
          <cell r="C43">
            <v>4.4000000000000004</v>
          </cell>
          <cell r="D43">
            <v>1.7</v>
          </cell>
          <cell r="E43">
            <v>2.5</v>
          </cell>
          <cell r="F43">
            <v>0.6</v>
          </cell>
          <cell r="G43">
            <v>0.6</v>
          </cell>
        </row>
        <row r="44">
          <cell r="A44" t="str">
            <v>[L15] Lisier canards 10-15 %MS (M3/Ha)</v>
          </cell>
          <cell r="B44" t="str">
            <v>M3/Ha</v>
          </cell>
          <cell r="C44">
            <v>5.9</v>
          </cell>
          <cell r="D44">
            <v>5.9</v>
          </cell>
          <cell r="E44">
            <v>4.0999999999999996</v>
          </cell>
          <cell r="F44">
            <v>0.9</v>
          </cell>
          <cell r="G44">
            <v>0.9</v>
          </cell>
        </row>
        <row r="45">
          <cell r="A45" t="str">
            <v>[L16] Lisier canards &gt;15 %MS (M3/Ha)</v>
          </cell>
          <cell r="B45" t="str">
            <v>M3/Ha</v>
          </cell>
          <cell r="C45">
            <v>8.6</v>
          </cell>
          <cell r="D45">
            <v>8.6</v>
          </cell>
          <cell r="E45">
            <v>8.4</v>
          </cell>
          <cell r="F45">
            <v>1.9</v>
          </cell>
          <cell r="G45">
            <v>1.9</v>
          </cell>
        </row>
      </sheetData>
      <sheetData sheetId="11">
        <row r="1">
          <cell r="A1" t="str">
            <v>[HER] Herbicide</v>
          </cell>
          <cell r="B1" t="str">
            <v>[INS] Insecticide</v>
          </cell>
          <cell r="C1" t="str">
            <v>[FON] Fongicide</v>
          </cell>
          <cell r="D1" t="str">
            <v>[REG] Régulateur de croissance</v>
          </cell>
        </row>
      </sheetData>
      <sheetData sheetId="12">
        <row r="3">
          <cell r="A3" t="str">
            <v>[6]Alluvions argileuses hydromorphes</v>
          </cell>
        </row>
        <row r="4">
          <cell r="A4" t="str">
            <v>[40]Argile hydromorphe-terre noire</v>
          </cell>
        </row>
        <row r="5">
          <cell r="A5" t="str">
            <v>[45]Argile limoneuse</v>
          </cell>
        </row>
        <row r="6">
          <cell r="A6" t="str">
            <v>[85]Argilo-calcaire moyen</v>
          </cell>
        </row>
        <row r="7">
          <cell r="A7" t="str">
            <v>[94]Argilo-calcaire profond</v>
          </cell>
        </row>
        <row r="8">
          <cell r="A8" t="str">
            <v>[102]Argilo-calcaire superficiel</v>
          </cell>
        </row>
        <row r="9">
          <cell r="A9" t="str">
            <v>[114]Argilo-calcaire/marne</v>
          </cell>
        </row>
        <row r="10">
          <cell r="A10" t="str">
            <v>[159]Limon</v>
          </cell>
        </row>
        <row r="11">
          <cell r="A11" t="str">
            <v>[164]Limon argileux caillouteux hydromorphe sur argile à silex</v>
          </cell>
        </row>
        <row r="12">
          <cell r="A12" t="str">
            <v>[171]Limon argileux caillouteux sur argile à silex</v>
          </cell>
        </row>
        <row r="13">
          <cell r="A13" t="str">
            <v>[180]Limon argileux profond</v>
          </cell>
        </row>
        <row r="14">
          <cell r="A14" t="str">
            <v>[200]Limon battant hydr</v>
          </cell>
        </row>
        <row r="15">
          <cell r="A15" t="str">
            <v>[222]Limon caillouteux superficiel hydromorphe/Argile à silex</v>
          </cell>
        </row>
        <row r="16">
          <cell r="A16" t="str">
            <v>[224]Limon caillouteux superficiel/Argile à silex</v>
          </cell>
        </row>
        <row r="17">
          <cell r="A17" t="str">
            <v>[230]Limon franc</v>
          </cell>
        </row>
        <row r="18">
          <cell r="A18" t="str">
            <v>[236]Limon profond</v>
          </cell>
        </row>
        <row r="19">
          <cell r="A19" t="str">
            <v>[294]Sable limoneux/Sable</v>
          </cell>
        </row>
        <row r="20">
          <cell r="A20" t="str">
            <v>[309]Sable profond sain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zoomScale="90" zoomScaleNormal="90" workbookViewId="0">
      <selection activeCell="G4" sqref="G4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13" t="s">
        <v>5</v>
      </c>
      <c r="B5" s="313"/>
      <c r="C5" s="313"/>
      <c r="D5" s="313"/>
      <c r="E5" s="313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14" t="s">
        <v>6</v>
      </c>
      <c r="B7" s="315" t="s">
        <v>7</v>
      </c>
      <c r="C7" s="315"/>
      <c r="D7" s="315"/>
      <c r="E7" s="315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14"/>
      <c r="B8" s="316" t="s">
        <v>8</v>
      </c>
      <c r="C8" s="316"/>
      <c r="D8" s="316"/>
      <c r="E8" s="316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14"/>
      <c r="B9" s="317" t="s">
        <v>9</v>
      </c>
      <c r="C9" s="317"/>
      <c r="D9" s="317"/>
      <c r="E9" s="317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18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18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19" t="s">
        <v>29</v>
      </c>
      <c r="B69" s="320" t="s">
        <v>196</v>
      </c>
      <c r="C69" s="87" t="s">
        <v>197</v>
      </c>
      <c r="D69" s="87" t="s">
        <v>198</v>
      </c>
      <c r="E69" s="312" t="s">
        <v>199</v>
      </c>
      <c r="F69" s="312" t="s">
        <v>200</v>
      </c>
      <c r="G69" s="312" t="s">
        <v>201</v>
      </c>
      <c r="H69" s="312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19"/>
      <c r="B70" s="320"/>
      <c r="C70" s="90" t="s">
        <v>204</v>
      </c>
      <c r="D70" s="90" t="s">
        <v>205</v>
      </c>
      <c r="E70" s="312"/>
      <c r="F70" s="312"/>
      <c r="G70" s="312"/>
      <c r="H70" s="312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W4"/>
  <sheetViews>
    <sheetView zoomScale="95" zoomScaleNormal="95" workbookViewId="0">
      <selection activeCell="D28" sqref="D28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18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>
      <c r="A2" s="111" t="s">
        <v>8188</v>
      </c>
      <c r="B2" s="111" t="s">
        <v>8189</v>
      </c>
      <c r="G2" s="112" t="s">
        <v>8190</v>
      </c>
      <c r="N2" s="112" t="s">
        <v>243</v>
      </c>
    </row>
    <row r="3" spans="1:23">
      <c r="R3" s="175"/>
      <c r="S3" s="175"/>
      <c r="T3" s="176"/>
      <c r="U3" s="176"/>
      <c r="V3" s="176"/>
      <c r="W3" s="176"/>
    </row>
    <row r="4" spans="1:23">
      <c r="R4" s="177"/>
      <c r="S4" s="177"/>
      <c r="T4" s="177"/>
      <c r="U4" s="177"/>
      <c r="V4" s="177"/>
      <c r="W4" s="177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L2"/>
  <sheetViews>
    <sheetView workbookViewId="0">
      <selection activeCell="D15" sqref="D15"/>
    </sheetView>
  </sheetViews>
  <sheetFormatPr baseColWidth="10" defaultColWidth="10.7109375" defaultRowHeight="12.75"/>
  <cols>
    <col min="1" max="1" width="15.85546875" style="117" bestFit="1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8378</v>
      </c>
      <c r="B2" s="118">
        <v>48.624166670000001</v>
      </c>
      <c r="C2" s="118">
        <v>2.76416666666666</v>
      </c>
      <c r="G2" s="117" t="s">
        <v>91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X10"/>
  <sheetViews>
    <sheetView zoomScale="95" zoomScaleNormal="95" workbookViewId="0">
      <selection activeCell="H8" sqref="H8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B2" s="123" t="s">
        <v>8184</v>
      </c>
      <c r="C2" s="123" t="s">
        <v>8185</v>
      </c>
      <c r="D2"/>
      <c r="E2"/>
      <c r="F2" s="123" t="s">
        <v>8182</v>
      </c>
      <c r="G2" s="123" t="s">
        <v>8394</v>
      </c>
      <c r="H2" s="185"/>
    </row>
    <row r="3" spans="1:24">
      <c r="B3" s="123" t="s">
        <v>8186</v>
      </c>
      <c r="C3" s="123" t="s">
        <v>8187</v>
      </c>
      <c r="D3" s="188"/>
      <c r="E3"/>
      <c r="F3" s="123" t="s">
        <v>8183</v>
      </c>
      <c r="G3" s="123" t="s">
        <v>8394</v>
      </c>
      <c r="H3" s="185"/>
    </row>
    <row r="8" spans="1:24">
      <c r="K8" s="178"/>
      <c r="L8" s="179"/>
      <c r="M8" s="179"/>
      <c r="N8" s="179"/>
      <c r="O8" s="176"/>
      <c r="P8" s="180"/>
      <c r="Q8" s="181"/>
      <c r="R8" s="182"/>
      <c r="S8" s="182"/>
      <c r="T8" s="182"/>
      <c r="U8" s="181"/>
      <c r="V8" s="182"/>
      <c r="W8" s="182"/>
      <c r="X8" s="181"/>
    </row>
    <row r="9" spans="1:24">
      <c r="L9" s="183"/>
      <c r="M9" s="183"/>
      <c r="N9" s="184"/>
      <c r="Q9" s="185"/>
      <c r="R9" s="185"/>
      <c r="S9" s="185"/>
      <c r="T9" s="186"/>
      <c r="U9" s="185"/>
      <c r="V9" s="185"/>
      <c r="W9" s="185"/>
      <c r="X9" s="187"/>
    </row>
    <row r="10" spans="1:24">
      <c r="K10" s="188"/>
      <c r="L10" s="183"/>
      <c r="M10" s="183"/>
      <c r="N10" s="184"/>
      <c r="O10" s="188"/>
      <c r="Q10" s="185"/>
      <c r="R10" s="185"/>
      <c r="S10" s="185"/>
      <c r="T10" s="186"/>
      <c r="U10" s="185"/>
      <c r="V10" s="185"/>
      <c r="W10" s="185"/>
      <c r="X10" s="18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48"/>
  <sheetViews>
    <sheetView zoomScaleNormal="100" workbookViewId="0">
      <selection activeCell="F3" sqref="F3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5" t="s">
        <v>126</v>
      </c>
      <c r="B1" s="155" t="s">
        <v>127</v>
      </c>
      <c r="C1" s="156" t="s">
        <v>128</v>
      </c>
      <c r="D1" s="157" t="s">
        <v>29</v>
      </c>
      <c r="E1" s="157" t="s">
        <v>129</v>
      </c>
      <c r="F1" s="157" t="s">
        <v>130</v>
      </c>
      <c r="G1" s="158" t="s">
        <v>131</v>
      </c>
      <c r="H1" s="158" t="s">
        <v>74</v>
      </c>
    </row>
    <row r="2" spans="1:8" s="138" customFormat="1" ht="90" thickBot="1">
      <c r="A2" s="166" t="s">
        <v>244</v>
      </c>
      <c r="B2" s="166" t="s">
        <v>7889</v>
      </c>
      <c r="C2" s="254" t="s">
        <v>7890</v>
      </c>
      <c r="D2" s="167" t="s">
        <v>7891</v>
      </c>
      <c r="E2" s="167" t="s">
        <v>7892</v>
      </c>
      <c r="F2" s="167" t="s">
        <v>7893</v>
      </c>
      <c r="G2" s="168"/>
      <c r="H2" s="168"/>
    </row>
    <row r="3" spans="1:8" ht="38.25">
      <c r="A3" s="159" t="s">
        <v>244</v>
      </c>
      <c r="B3" s="159" t="s">
        <v>7894</v>
      </c>
      <c r="C3" s="252" t="s">
        <v>7895</v>
      </c>
      <c r="D3" s="161" t="s">
        <v>7896</v>
      </c>
      <c r="E3" s="161" t="s">
        <v>7897</v>
      </c>
      <c r="F3" s="162" t="s">
        <v>7898</v>
      </c>
      <c r="G3" s="163"/>
      <c r="H3" s="163"/>
    </row>
    <row r="4" spans="1:8" ht="38.25">
      <c r="A4" s="159" t="s">
        <v>244</v>
      </c>
      <c r="B4" s="159" t="s">
        <v>7899</v>
      </c>
      <c r="C4" s="252" t="s">
        <v>7900</v>
      </c>
      <c r="D4" s="161" t="s">
        <v>7901</v>
      </c>
      <c r="E4" s="161" t="s">
        <v>246</v>
      </c>
      <c r="F4" s="162" t="s">
        <v>7902</v>
      </c>
      <c r="G4" s="163"/>
      <c r="H4" s="163"/>
    </row>
    <row r="5" spans="1:8" ht="63.75">
      <c r="A5" s="159" t="s">
        <v>244</v>
      </c>
      <c r="B5" s="159" t="s">
        <v>7903</v>
      </c>
      <c r="C5" s="252" t="s">
        <v>7904</v>
      </c>
      <c r="D5" s="161" t="s">
        <v>7905</v>
      </c>
      <c r="E5" s="161" t="s">
        <v>247</v>
      </c>
      <c r="F5" s="162" t="s">
        <v>7906</v>
      </c>
      <c r="G5" s="163"/>
      <c r="H5" s="163"/>
    </row>
    <row r="6" spans="1:8" ht="39" thickBot="1">
      <c r="A6" s="159" t="s">
        <v>244</v>
      </c>
      <c r="B6" s="159" t="s">
        <v>7907</v>
      </c>
      <c r="C6" s="252" t="s">
        <v>7908</v>
      </c>
      <c r="D6" s="161" t="s">
        <v>7909</v>
      </c>
      <c r="E6" s="161" t="s">
        <v>247</v>
      </c>
      <c r="F6" s="162" t="s">
        <v>7910</v>
      </c>
      <c r="G6" s="163"/>
      <c r="H6" s="163"/>
    </row>
    <row r="7" spans="1:8" ht="16.5" thickTop="1" thickBot="1">
      <c r="A7" s="159" t="s">
        <v>244</v>
      </c>
      <c r="B7" s="159" t="s">
        <v>254</v>
      </c>
      <c r="C7" s="274" t="s">
        <v>7852</v>
      </c>
      <c r="D7" s="161" t="s">
        <v>7911</v>
      </c>
      <c r="E7" s="161" t="s">
        <v>7912</v>
      </c>
      <c r="F7" s="162" t="s">
        <v>7913</v>
      </c>
      <c r="G7" s="163"/>
      <c r="H7" s="163"/>
    </row>
    <row r="8" spans="1:8" ht="39" thickTop="1">
      <c r="A8" s="159" t="s">
        <v>244</v>
      </c>
      <c r="B8" s="159" t="s">
        <v>7914</v>
      </c>
      <c r="C8" s="279" t="s">
        <v>7915</v>
      </c>
      <c r="D8" s="161" t="s">
        <v>7916</v>
      </c>
      <c r="E8" s="161" t="s">
        <v>245</v>
      </c>
      <c r="F8" s="162" t="s">
        <v>7917</v>
      </c>
      <c r="G8" s="163"/>
      <c r="H8" s="163"/>
    </row>
    <row r="9" spans="1:8" ht="26.25" thickBot="1">
      <c r="A9" s="159" t="s">
        <v>244</v>
      </c>
      <c r="B9" s="159" t="s">
        <v>7918</v>
      </c>
      <c r="C9" s="253" t="s">
        <v>7919</v>
      </c>
      <c r="D9" s="161" t="s">
        <v>7920</v>
      </c>
      <c r="E9" s="161" t="s">
        <v>7897</v>
      </c>
      <c r="F9" s="162" t="s">
        <v>7921</v>
      </c>
      <c r="G9" s="163"/>
      <c r="H9" s="163"/>
    </row>
    <row r="10" spans="1:8" ht="16.5" thickTop="1" thickBot="1">
      <c r="A10" s="159" t="s">
        <v>244</v>
      </c>
      <c r="B10" s="159" t="s">
        <v>253</v>
      </c>
      <c r="C10" s="274" t="s">
        <v>7851</v>
      </c>
      <c r="D10" s="161" t="s">
        <v>7922</v>
      </c>
      <c r="E10" s="161" t="s">
        <v>7912</v>
      </c>
      <c r="F10" s="162" t="s">
        <v>7923</v>
      </c>
      <c r="G10" s="163"/>
      <c r="H10" s="163"/>
    </row>
    <row r="11" spans="1:8" ht="16.5" thickTop="1" thickBot="1">
      <c r="A11" s="159" t="s">
        <v>244</v>
      </c>
      <c r="B11" s="159" t="s">
        <v>251</v>
      </c>
      <c r="C11" s="274" t="s">
        <v>7924</v>
      </c>
      <c r="D11" s="161" t="s">
        <v>7925</v>
      </c>
      <c r="E11" s="161" t="s">
        <v>7926</v>
      </c>
      <c r="F11" s="162" t="s">
        <v>7927</v>
      </c>
      <c r="G11" s="163"/>
      <c r="H11" s="163"/>
    </row>
    <row r="12" spans="1:8" ht="27" thickTop="1" thickBot="1">
      <c r="A12" s="159" t="s">
        <v>244</v>
      </c>
      <c r="B12" s="159" t="s">
        <v>248</v>
      </c>
      <c r="C12" s="274" t="s">
        <v>7928</v>
      </c>
      <c r="D12" s="161" t="s">
        <v>7929</v>
      </c>
      <c r="E12" s="161" t="s">
        <v>7912</v>
      </c>
      <c r="F12" s="162" t="s">
        <v>7930</v>
      </c>
      <c r="G12" s="163"/>
      <c r="H12" s="163"/>
    </row>
    <row r="13" spans="1:8" ht="39.75" thickTop="1" thickBot="1">
      <c r="A13" s="159" t="s">
        <v>244</v>
      </c>
      <c r="B13" s="159" t="s">
        <v>7931</v>
      </c>
      <c r="C13" s="274" t="s">
        <v>7932</v>
      </c>
      <c r="D13" s="161" t="s">
        <v>7933</v>
      </c>
      <c r="E13" s="161" t="s">
        <v>7912</v>
      </c>
      <c r="F13" s="162" t="s">
        <v>7934</v>
      </c>
      <c r="G13" s="163"/>
      <c r="H13" s="163"/>
    </row>
    <row r="14" spans="1:8" ht="60.75" customHeight="1" thickTop="1">
      <c r="A14" s="159" t="s">
        <v>244</v>
      </c>
      <c r="B14" s="159" t="s">
        <v>249</v>
      </c>
      <c r="C14" s="252" t="s">
        <v>7935</v>
      </c>
      <c r="D14" s="161" t="s">
        <v>8396</v>
      </c>
      <c r="E14" s="161" t="s">
        <v>250</v>
      </c>
      <c r="F14" s="162" t="s">
        <v>8032</v>
      </c>
      <c r="G14" s="163"/>
      <c r="H14" s="163"/>
    </row>
    <row r="15" spans="1:8" ht="25.5">
      <c r="A15" s="159" t="s">
        <v>244</v>
      </c>
      <c r="B15" s="159" t="s">
        <v>8033</v>
      </c>
      <c r="C15" s="252" t="s">
        <v>7936</v>
      </c>
      <c r="D15" s="161" t="s">
        <v>7937</v>
      </c>
      <c r="E15" s="161" t="s">
        <v>143</v>
      </c>
      <c r="F15" s="162" t="s">
        <v>7938</v>
      </c>
      <c r="G15" s="163"/>
      <c r="H15" s="163"/>
    </row>
    <row r="16" spans="1:8" ht="60">
      <c r="A16" s="159" t="s">
        <v>244</v>
      </c>
      <c r="B16" s="159" t="s">
        <v>7939</v>
      </c>
      <c r="C16" s="252" t="s">
        <v>7940</v>
      </c>
      <c r="D16" s="161" t="s">
        <v>7941</v>
      </c>
      <c r="E16" s="161" t="s">
        <v>8380</v>
      </c>
      <c r="F16" s="162" t="s">
        <v>7942</v>
      </c>
      <c r="G16" s="163"/>
      <c r="H16" s="164"/>
    </row>
    <row r="17" spans="1:8" ht="36">
      <c r="A17" s="159" t="s">
        <v>244</v>
      </c>
      <c r="B17" s="159" t="s">
        <v>7943</v>
      </c>
      <c r="C17" s="253" t="s">
        <v>7944</v>
      </c>
      <c r="D17" s="161" t="s">
        <v>7945</v>
      </c>
      <c r="E17" s="161" t="s">
        <v>8381</v>
      </c>
      <c r="F17" s="162" t="s">
        <v>7942</v>
      </c>
      <c r="G17" s="163"/>
      <c r="H17" s="163"/>
    </row>
    <row r="18" spans="1:8" ht="36">
      <c r="A18" s="159" t="s">
        <v>244</v>
      </c>
      <c r="B18" s="159" t="s">
        <v>7946</v>
      </c>
      <c r="C18" s="252" t="s">
        <v>7947</v>
      </c>
      <c r="D18" s="161" t="s">
        <v>7948</v>
      </c>
      <c r="E18" s="161" t="s">
        <v>8381</v>
      </c>
      <c r="F18" s="162" t="s">
        <v>7942</v>
      </c>
      <c r="G18" s="163"/>
      <c r="H18" s="163"/>
    </row>
    <row r="19" spans="1:8" ht="114.75">
      <c r="A19" s="169" t="s">
        <v>244</v>
      </c>
      <c r="B19" s="169" t="s">
        <v>7949</v>
      </c>
      <c r="C19" s="253" t="s">
        <v>7950</v>
      </c>
      <c r="D19" s="170" t="s">
        <v>7951</v>
      </c>
      <c r="E19" s="170" t="s">
        <v>8381</v>
      </c>
      <c r="F19" s="171" t="s">
        <v>7952</v>
      </c>
      <c r="G19" s="172"/>
      <c r="H19" s="172"/>
    </row>
    <row r="20" spans="1:8" ht="36">
      <c r="A20" s="159" t="s">
        <v>244</v>
      </c>
      <c r="B20" s="159" t="s">
        <v>7953</v>
      </c>
      <c r="C20" s="256" t="s">
        <v>7954</v>
      </c>
      <c r="D20" s="165" t="s">
        <v>7955</v>
      </c>
      <c r="E20" s="161" t="s">
        <v>8381</v>
      </c>
      <c r="F20" s="162" t="s">
        <v>7942</v>
      </c>
      <c r="G20" s="163"/>
      <c r="H20" s="163"/>
    </row>
    <row r="21" spans="1:8" ht="36">
      <c r="A21" s="159" t="s">
        <v>244</v>
      </c>
      <c r="B21" s="159" t="s">
        <v>7956</v>
      </c>
      <c r="C21" s="253" t="s">
        <v>7957</v>
      </c>
      <c r="D21" s="161" t="s">
        <v>7958</v>
      </c>
      <c r="E21" s="161" t="s">
        <v>8381</v>
      </c>
      <c r="F21" s="162" t="s">
        <v>7942</v>
      </c>
      <c r="G21" s="163"/>
      <c r="H21" s="163"/>
    </row>
    <row r="22" spans="1:8" ht="36">
      <c r="A22" s="159" t="s">
        <v>244</v>
      </c>
      <c r="B22" s="159" t="s">
        <v>7959</v>
      </c>
      <c r="C22" s="253" t="s">
        <v>7960</v>
      </c>
      <c r="D22" s="161" t="s">
        <v>7961</v>
      </c>
      <c r="E22" s="161" t="s">
        <v>8381</v>
      </c>
      <c r="F22" s="162" t="s">
        <v>7942</v>
      </c>
      <c r="G22" s="163"/>
      <c r="H22" s="163"/>
    </row>
    <row r="23" spans="1:8" ht="76.5">
      <c r="A23" s="159" t="s">
        <v>244</v>
      </c>
      <c r="B23" s="159" t="s">
        <v>7962</v>
      </c>
      <c r="C23" s="253" t="s">
        <v>7963</v>
      </c>
      <c r="D23" s="161" t="s">
        <v>7964</v>
      </c>
      <c r="E23" s="161" t="s">
        <v>8381</v>
      </c>
      <c r="F23" s="162" t="s">
        <v>7965</v>
      </c>
      <c r="G23" s="163"/>
      <c r="H23" s="163"/>
    </row>
    <row r="24" spans="1:8" ht="36">
      <c r="A24" s="159" t="s">
        <v>244</v>
      </c>
      <c r="B24" s="159" t="s">
        <v>7966</v>
      </c>
      <c r="C24" s="253" t="s">
        <v>7967</v>
      </c>
      <c r="D24" s="161" t="s">
        <v>7968</v>
      </c>
      <c r="E24" s="161" t="s">
        <v>8381</v>
      </c>
      <c r="F24" s="162" t="s">
        <v>7942</v>
      </c>
      <c r="G24" s="163"/>
      <c r="H24" s="164"/>
    </row>
    <row r="25" spans="1:8" ht="89.25">
      <c r="A25" s="159" t="s">
        <v>244</v>
      </c>
      <c r="B25" s="159" t="s">
        <v>7969</v>
      </c>
      <c r="C25" s="253" t="s">
        <v>7970</v>
      </c>
      <c r="D25" s="161" t="s">
        <v>7971</v>
      </c>
      <c r="E25" s="161" t="s">
        <v>8381</v>
      </c>
      <c r="F25" s="162" t="s">
        <v>7972</v>
      </c>
      <c r="G25" s="163"/>
      <c r="H25" s="164"/>
    </row>
    <row r="26" spans="1:8" ht="38.25">
      <c r="A26" s="159" t="s">
        <v>244</v>
      </c>
      <c r="B26" s="159" t="s">
        <v>7973</v>
      </c>
      <c r="C26" s="253" t="s">
        <v>7974</v>
      </c>
      <c r="D26" s="161" t="s">
        <v>7975</v>
      </c>
      <c r="E26" s="161" t="s">
        <v>247</v>
      </c>
      <c r="F26" s="162" t="s">
        <v>7976</v>
      </c>
      <c r="G26" s="163"/>
      <c r="H26" s="164"/>
    </row>
    <row r="27" spans="1:8" ht="15">
      <c r="A27" s="159" t="s">
        <v>244</v>
      </c>
      <c r="B27" s="159" t="s">
        <v>7977</v>
      </c>
      <c r="C27" s="252" t="s">
        <v>7978</v>
      </c>
      <c r="D27" s="161" t="s">
        <v>7979</v>
      </c>
      <c r="E27" s="161" t="s">
        <v>8382</v>
      </c>
      <c r="F27" s="162" t="s">
        <v>7980</v>
      </c>
      <c r="G27" s="163"/>
      <c r="H27" s="164"/>
    </row>
    <row r="28" spans="1:8" ht="15">
      <c r="A28" s="159" t="s">
        <v>244</v>
      </c>
      <c r="B28" s="159" t="s">
        <v>7981</v>
      </c>
      <c r="C28" s="253" t="s">
        <v>7982</v>
      </c>
      <c r="D28" s="161" t="s">
        <v>7983</v>
      </c>
      <c r="E28" s="161" t="s">
        <v>8382</v>
      </c>
      <c r="F28" s="162" t="s">
        <v>7980</v>
      </c>
      <c r="G28" s="163"/>
      <c r="H28" s="164"/>
    </row>
    <row r="29" spans="1:8" ht="15">
      <c r="A29" s="159" t="s">
        <v>244</v>
      </c>
      <c r="B29" s="159" t="s">
        <v>7984</v>
      </c>
      <c r="C29" s="253" t="s">
        <v>7985</v>
      </c>
      <c r="D29" s="161" t="s">
        <v>7986</v>
      </c>
      <c r="E29" s="161" t="s">
        <v>8382</v>
      </c>
      <c r="F29" s="162" t="s">
        <v>7980</v>
      </c>
      <c r="G29" s="163"/>
      <c r="H29" s="164"/>
    </row>
    <row r="30" spans="1:8" ht="15">
      <c r="A30" s="159" t="s">
        <v>244</v>
      </c>
      <c r="B30" s="159" t="s">
        <v>7987</v>
      </c>
      <c r="C30" s="252" t="s">
        <v>7988</v>
      </c>
      <c r="D30" s="161" t="s">
        <v>7989</v>
      </c>
      <c r="E30" s="161" t="s">
        <v>8382</v>
      </c>
      <c r="F30" s="162" t="s">
        <v>7980</v>
      </c>
      <c r="G30" s="163"/>
      <c r="H30" s="164"/>
    </row>
    <row r="31" spans="1:8" ht="15">
      <c r="A31" s="159" t="s">
        <v>244</v>
      </c>
      <c r="B31" s="159" t="s">
        <v>7990</v>
      </c>
      <c r="C31" s="253" t="s">
        <v>7991</v>
      </c>
      <c r="D31" s="161" t="s">
        <v>7992</v>
      </c>
      <c r="E31" s="161" t="s">
        <v>8382</v>
      </c>
      <c r="F31" s="162" t="s">
        <v>7980</v>
      </c>
      <c r="G31" s="163"/>
      <c r="H31" s="164"/>
    </row>
    <row r="32" spans="1:8" ht="15">
      <c r="A32" s="159" t="s">
        <v>244</v>
      </c>
      <c r="B32" s="159" t="s">
        <v>7993</v>
      </c>
      <c r="C32" s="252" t="s">
        <v>7994</v>
      </c>
      <c r="D32" s="161" t="s">
        <v>7995</v>
      </c>
      <c r="E32" s="161" t="s">
        <v>8382</v>
      </c>
      <c r="F32" s="162" t="s">
        <v>7980</v>
      </c>
      <c r="G32" s="163"/>
      <c r="H32" s="164"/>
    </row>
    <row r="33" spans="1:8" ht="24">
      <c r="A33" s="159" t="s">
        <v>244</v>
      </c>
      <c r="B33" s="159" t="s">
        <v>252</v>
      </c>
      <c r="C33" s="252" t="s">
        <v>7996</v>
      </c>
      <c r="D33" s="161" t="s">
        <v>7997</v>
      </c>
      <c r="E33" s="161" t="s">
        <v>8383</v>
      </c>
      <c r="F33" s="162" t="s">
        <v>7980</v>
      </c>
      <c r="G33" s="163"/>
      <c r="H33" s="164"/>
    </row>
    <row r="34" spans="1:8" ht="24">
      <c r="A34" s="159" t="s">
        <v>244</v>
      </c>
      <c r="B34" s="159" t="s">
        <v>7998</v>
      </c>
      <c r="C34" s="252" t="s">
        <v>7999</v>
      </c>
      <c r="D34" s="161" t="s">
        <v>8000</v>
      </c>
      <c r="E34" s="161" t="s">
        <v>8383</v>
      </c>
      <c r="F34" s="162" t="s">
        <v>7980</v>
      </c>
      <c r="G34" s="163"/>
      <c r="H34" s="164"/>
    </row>
    <row r="35" spans="1:8" ht="15">
      <c r="A35" s="159" t="s">
        <v>244</v>
      </c>
      <c r="B35" s="159" t="s">
        <v>8001</v>
      </c>
      <c r="C35" s="252" t="s">
        <v>7856</v>
      </c>
      <c r="D35" s="161" t="s">
        <v>8002</v>
      </c>
      <c r="E35" s="161" t="s">
        <v>8384</v>
      </c>
      <c r="F35" s="162" t="s">
        <v>7980</v>
      </c>
      <c r="G35" s="163"/>
      <c r="H35" s="164"/>
    </row>
    <row r="36" spans="1:8" ht="15">
      <c r="A36" s="159" t="s">
        <v>244</v>
      </c>
      <c r="B36" s="159" t="s">
        <v>8003</v>
      </c>
      <c r="C36" s="252" t="s">
        <v>8004</v>
      </c>
      <c r="D36" s="161" t="s">
        <v>8005</v>
      </c>
      <c r="E36" s="161" t="s">
        <v>247</v>
      </c>
      <c r="F36" s="162" t="s">
        <v>7980</v>
      </c>
      <c r="G36" s="163"/>
      <c r="H36" s="163"/>
    </row>
    <row r="37" spans="1:8" ht="24">
      <c r="A37" s="159" t="s">
        <v>244</v>
      </c>
      <c r="B37" s="159" t="s">
        <v>8006</v>
      </c>
      <c r="C37" s="253" t="s">
        <v>8007</v>
      </c>
      <c r="D37" s="161" t="s">
        <v>8008</v>
      </c>
      <c r="E37" s="161" t="s">
        <v>8383</v>
      </c>
      <c r="F37" s="162" t="s">
        <v>7980</v>
      </c>
      <c r="G37" s="163"/>
      <c r="H37" s="163"/>
    </row>
    <row r="38" spans="1:8" ht="15">
      <c r="A38" s="159" t="s">
        <v>244</v>
      </c>
      <c r="B38" s="159" t="s">
        <v>8009</v>
      </c>
      <c r="C38" s="252" t="s">
        <v>8010</v>
      </c>
      <c r="D38" s="161" t="s">
        <v>8011</v>
      </c>
      <c r="E38" s="161" t="s">
        <v>247</v>
      </c>
      <c r="F38" s="162" t="s">
        <v>8012</v>
      </c>
      <c r="G38" s="163"/>
      <c r="H38" s="163"/>
    </row>
    <row r="39" spans="1:8" ht="63.75">
      <c r="A39" s="159" t="s">
        <v>244</v>
      </c>
      <c r="B39" s="159" t="s">
        <v>8013</v>
      </c>
      <c r="C39" s="252" t="s">
        <v>8014</v>
      </c>
      <c r="D39" s="161" t="s">
        <v>8015</v>
      </c>
      <c r="E39" s="161" t="s">
        <v>247</v>
      </c>
      <c r="F39" s="162" t="s">
        <v>8016</v>
      </c>
      <c r="G39" s="163"/>
      <c r="H39" s="163"/>
    </row>
    <row r="40" spans="1:8" ht="63.75">
      <c r="A40" s="159" t="s">
        <v>244</v>
      </c>
      <c r="B40" s="159" t="s">
        <v>8017</v>
      </c>
      <c r="C40" s="253" t="s">
        <v>7855</v>
      </c>
      <c r="D40" s="161" t="s">
        <v>8018</v>
      </c>
      <c r="E40" s="161" t="s">
        <v>247</v>
      </c>
      <c r="F40" s="162" t="s">
        <v>8019</v>
      </c>
      <c r="G40" s="163"/>
      <c r="H40" s="163"/>
    </row>
    <row r="41" spans="1:8" ht="36">
      <c r="A41" s="159" t="s">
        <v>244</v>
      </c>
      <c r="B41" s="159" t="s">
        <v>8020</v>
      </c>
      <c r="C41" s="253" t="s">
        <v>8021</v>
      </c>
      <c r="D41" s="161" t="s">
        <v>8022</v>
      </c>
      <c r="E41" s="161" t="s">
        <v>8385</v>
      </c>
      <c r="F41" s="162" t="s">
        <v>8023</v>
      </c>
      <c r="G41" s="163"/>
      <c r="H41" s="163"/>
    </row>
    <row r="42" spans="1:8" ht="36">
      <c r="A42" s="159" t="s">
        <v>244</v>
      </c>
      <c r="B42" s="159" t="s">
        <v>7853</v>
      </c>
      <c r="C42" s="252" t="s">
        <v>7854</v>
      </c>
      <c r="D42" s="161" t="s">
        <v>8024</v>
      </c>
      <c r="E42" s="161" t="s">
        <v>8386</v>
      </c>
      <c r="F42" s="162" t="s">
        <v>8023</v>
      </c>
      <c r="G42" s="163"/>
      <c r="H42" s="163"/>
    </row>
    <row r="43" spans="1:8" ht="36">
      <c r="A43" s="159" t="s">
        <v>244</v>
      </c>
      <c r="B43" s="159" t="s">
        <v>8025</v>
      </c>
      <c r="C43" s="253" t="s">
        <v>8026</v>
      </c>
      <c r="D43" s="161" t="s">
        <v>8027</v>
      </c>
      <c r="E43" s="161" t="s">
        <v>8387</v>
      </c>
      <c r="F43" s="162" t="s">
        <v>8023</v>
      </c>
      <c r="G43" s="163"/>
      <c r="H43" s="163"/>
    </row>
    <row r="44" spans="1:8" ht="102">
      <c r="A44" s="159" t="s">
        <v>244</v>
      </c>
      <c r="B44" s="159" t="s">
        <v>8028</v>
      </c>
      <c r="C44" s="252" t="s">
        <v>8029</v>
      </c>
      <c r="D44" s="161" t="s">
        <v>8030</v>
      </c>
      <c r="E44" s="161" t="s">
        <v>7897</v>
      </c>
      <c r="F44" s="162" t="s">
        <v>8031</v>
      </c>
      <c r="G44" s="173"/>
      <c r="H44" s="173"/>
    </row>
    <row r="45" spans="1:8" ht="63.75">
      <c r="A45" s="159" t="s">
        <v>244</v>
      </c>
      <c r="B45" s="159" t="s">
        <v>8388</v>
      </c>
      <c r="C45" s="160" t="s">
        <v>8388</v>
      </c>
      <c r="D45" s="161" t="s">
        <v>8389</v>
      </c>
      <c r="E45" s="161"/>
      <c r="F45" s="162" t="s">
        <v>8390</v>
      </c>
      <c r="G45" s="163"/>
      <c r="H45" s="163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213"/>
  <sheetViews>
    <sheetView zoomScale="95" zoomScaleNormal="95" workbookViewId="0">
      <selection activeCell="K20" sqref="K20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8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8">
      <c r="A2" s="132" t="s">
        <v>255</v>
      </c>
      <c r="B2" s="125" t="s">
        <v>7857</v>
      </c>
      <c r="C2" s="125" t="s">
        <v>7810</v>
      </c>
      <c r="D2" s="133"/>
      <c r="E2" s="125" t="s">
        <v>7604</v>
      </c>
      <c r="F2" s="321" t="s">
        <v>8181</v>
      </c>
      <c r="G2" s="321"/>
      <c r="H2" s="321"/>
    </row>
    <row r="3" spans="1:8">
      <c r="A3" s="132" t="s">
        <v>255</v>
      </c>
      <c r="B3" s="123" t="s">
        <v>7446</v>
      </c>
      <c r="C3" s="123" t="s">
        <v>7446</v>
      </c>
      <c r="E3" s="123" t="s">
        <v>7605</v>
      </c>
      <c r="F3" s="321"/>
      <c r="G3" s="321"/>
      <c r="H3" s="321"/>
    </row>
    <row r="4" spans="1:8">
      <c r="A4" s="132" t="s">
        <v>255</v>
      </c>
      <c r="B4" s="123" t="s">
        <v>7858</v>
      </c>
      <c r="C4" s="123" t="s">
        <v>7811</v>
      </c>
      <c r="E4" s="123" t="s">
        <v>7606</v>
      </c>
    </row>
    <row r="5" spans="1:8">
      <c r="A5" s="132" t="s">
        <v>255</v>
      </c>
      <c r="B5" s="123" t="s">
        <v>257</v>
      </c>
      <c r="C5" s="123" t="s">
        <v>257</v>
      </c>
      <c r="E5" s="123" t="s">
        <v>7607</v>
      </c>
    </row>
    <row r="6" spans="1:8">
      <c r="A6" s="132" t="s">
        <v>255</v>
      </c>
      <c r="B6" s="123" t="s">
        <v>7447</v>
      </c>
      <c r="C6" s="123" t="s">
        <v>7447</v>
      </c>
      <c r="E6" s="123" t="s">
        <v>7608</v>
      </c>
    </row>
    <row r="7" spans="1:8">
      <c r="A7" s="132" t="s">
        <v>255</v>
      </c>
      <c r="B7" s="123" t="s">
        <v>7448</v>
      </c>
      <c r="C7" s="123" t="s">
        <v>7448</v>
      </c>
      <c r="E7" s="123" t="s">
        <v>7609</v>
      </c>
    </row>
    <row r="8" spans="1:8">
      <c r="A8" s="132" t="s">
        <v>255</v>
      </c>
      <c r="B8" s="123" t="s">
        <v>7859</v>
      </c>
      <c r="C8" s="123" t="s">
        <v>7812</v>
      </c>
      <c r="E8" s="123" t="s">
        <v>7610</v>
      </c>
    </row>
    <row r="9" spans="1:8">
      <c r="A9" s="132" t="s">
        <v>255</v>
      </c>
      <c r="B9" s="123" t="s">
        <v>7449</v>
      </c>
      <c r="C9" s="123" t="s">
        <v>7449</v>
      </c>
      <c r="E9" s="123" t="s">
        <v>7611</v>
      </c>
    </row>
    <row r="10" spans="1:8">
      <c r="A10" s="132" t="s">
        <v>255</v>
      </c>
      <c r="B10" s="123" t="s">
        <v>7860</v>
      </c>
      <c r="C10" s="123" t="s">
        <v>7813</v>
      </c>
      <c r="E10" s="123" t="s">
        <v>7612</v>
      </c>
    </row>
    <row r="11" spans="1:8">
      <c r="A11" s="132" t="s">
        <v>255</v>
      </c>
      <c r="B11" s="123" t="s">
        <v>7814</v>
      </c>
      <c r="C11" s="123" t="s">
        <v>7814</v>
      </c>
      <c r="E11" s="123" t="s">
        <v>7613</v>
      </c>
    </row>
    <row r="12" spans="1:8">
      <c r="A12" s="132" t="s">
        <v>255</v>
      </c>
      <c r="B12" s="123" t="s">
        <v>7451</v>
      </c>
      <c r="C12" s="123" t="s">
        <v>7451</v>
      </c>
      <c r="E12" s="123" t="s">
        <v>7614</v>
      </c>
    </row>
    <row r="13" spans="1:8">
      <c r="A13" s="132" t="s">
        <v>255</v>
      </c>
      <c r="B13" s="123" t="s">
        <v>7452</v>
      </c>
      <c r="C13" s="123" t="s">
        <v>7452</v>
      </c>
      <c r="E13" s="123" t="s">
        <v>7615</v>
      </c>
    </row>
    <row r="14" spans="1:8">
      <c r="A14" s="132" t="s">
        <v>255</v>
      </c>
      <c r="B14" s="123" t="s">
        <v>7453</v>
      </c>
      <c r="C14" s="123" t="s">
        <v>7453</v>
      </c>
      <c r="E14" s="123" t="s">
        <v>7616</v>
      </c>
    </row>
    <row r="15" spans="1:8">
      <c r="A15" s="132" t="s">
        <v>255</v>
      </c>
      <c r="B15" s="123" t="s">
        <v>7454</v>
      </c>
      <c r="C15" s="123" t="s">
        <v>7454</v>
      </c>
      <c r="E15" s="123" t="s">
        <v>7617</v>
      </c>
    </row>
    <row r="16" spans="1:8">
      <c r="A16" s="132" t="s">
        <v>255</v>
      </c>
      <c r="B16" s="123" t="s">
        <v>7861</v>
      </c>
      <c r="C16" s="123" t="s">
        <v>263</v>
      </c>
      <c r="E16" s="123" t="s">
        <v>7618</v>
      </c>
    </row>
    <row r="17" spans="1:5">
      <c r="A17" s="132" t="s">
        <v>255</v>
      </c>
      <c r="B17" s="123" t="s">
        <v>7455</v>
      </c>
      <c r="C17" s="123" t="s">
        <v>7455</v>
      </c>
      <c r="E17" s="123" t="s">
        <v>7619</v>
      </c>
    </row>
    <row r="18" spans="1:5">
      <c r="A18" s="132" t="s">
        <v>255</v>
      </c>
      <c r="B18" s="123" t="s">
        <v>7862</v>
      </c>
      <c r="C18" s="123" t="s">
        <v>7815</v>
      </c>
      <c r="E18" s="123" t="s">
        <v>7620</v>
      </c>
    </row>
    <row r="19" spans="1:5">
      <c r="A19" s="132" t="s">
        <v>255</v>
      </c>
      <c r="B19" s="123" t="s">
        <v>7456</v>
      </c>
      <c r="C19" s="123" t="s">
        <v>7456</v>
      </c>
      <c r="E19" s="123" t="s">
        <v>7621</v>
      </c>
    </row>
    <row r="20" spans="1:5">
      <c r="A20" s="132" t="s">
        <v>255</v>
      </c>
      <c r="B20" s="123" t="s">
        <v>7457</v>
      </c>
      <c r="C20" s="123" t="s">
        <v>7457</v>
      </c>
      <c r="E20" s="123" t="s">
        <v>7622</v>
      </c>
    </row>
    <row r="21" spans="1:5">
      <c r="A21" s="132" t="s">
        <v>255</v>
      </c>
      <c r="B21" s="123" t="s">
        <v>7458</v>
      </c>
      <c r="C21" s="123" t="s">
        <v>7458</v>
      </c>
      <c r="E21" s="123" t="s">
        <v>7623</v>
      </c>
    </row>
    <row r="22" spans="1:5">
      <c r="A22" s="132" t="s">
        <v>255</v>
      </c>
      <c r="B22" s="123" t="s">
        <v>7459</v>
      </c>
      <c r="C22" s="123" t="s">
        <v>7459</v>
      </c>
      <c r="E22" s="123" t="s">
        <v>7624</v>
      </c>
    </row>
    <row r="23" spans="1:5">
      <c r="A23" s="132" t="s">
        <v>255</v>
      </c>
      <c r="B23" s="123" t="s">
        <v>7863</v>
      </c>
      <c r="C23" s="123" t="s">
        <v>7816</v>
      </c>
      <c r="E23" s="123" t="s">
        <v>7625</v>
      </c>
    </row>
    <row r="24" spans="1:5">
      <c r="A24" s="132" t="s">
        <v>255</v>
      </c>
      <c r="B24" s="123" t="s">
        <v>7460</v>
      </c>
      <c r="C24" s="123" t="s">
        <v>7460</v>
      </c>
      <c r="E24" s="123" t="s">
        <v>7626</v>
      </c>
    </row>
    <row r="25" spans="1:5">
      <c r="A25" s="132" t="s">
        <v>255</v>
      </c>
      <c r="B25" s="123" t="s">
        <v>7461</v>
      </c>
      <c r="C25" s="123" t="s">
        <v>7461</v>
      </c>
      <c r="E25" s="123" t="s">
        <v>7627</v>
      </c>
    </row>
    <row r="26" spans="1:5">
      <c r="A26" s="132" t="s">
        <v>255</v>
      </c>
      <c r="B26" s="123" t="s">
        <v>7462</v>
      </c>
      <c r="C26" s="123" t="s">
        <v>7462</v>
      </c>
      <c r="E26" s="123" t="s">
        <v>7628</v>
      </c>
    </row>
    <row r="27" spans="1:5">
      <c r="A27" s="132" t="s">
        <v>255</v>
      </c>
      <c r="B27" s="123" t="s">
        <v>7463</v>
      </c>
      <c r="C27" s="123" t="s">
        <v>7463</v>
      </c>
      <c r="E27" s="123" t="s">
        <v>7629</v>
      </c>
    </row>
    <row r="28" spans="1:5">
      <c r="A28" s="132" t="s">
        <v>255</v>
      </c>
      <c r="B28" s="123" t="s">
        <v>7464</v>
      </c>
      <c r="C28" s="123" t="s">
        <v>7464</v>
      </c>
      <c r="E28" s="123" t="s">
        <v>7630</v>
      </c>
    </row>
    <row r="29" spans="1:5">
      <c r="A29" s="132" t="s">
        <v>255</v>
      </c>
      <c r="B29" s="123" t="s">
        <v>7465</v>
      </c>
      <c r="C29" s="123" t="s">
        <v>7465</v>
      </c>
      <c r="E29" s="123" t="s">
        <v>7631</v>
      </c>
    </row>
    <row r="30" spans="1:5">
      <c r="A30" s="132" t="s">
        <v>255</v>
      </c>
      <c r="B30" s="123" t="s">
        <v>7466</v>
      </c>
      <c r="C30" s="123" t="s">
        <v>7466</v>
      </c>
      <c r="E30" s="123" t="s">
        <v>7632</v>
      </c>
    </row>
    <row r="31" spans="1:5">
      <c r="A31" s="132" t="s">
        <v>255</v>
      </c>
      <c r="B31" s="123" t="s">
        <v>256</v>
      </c>
      <c r="C31" s="123" t="s">
        <v>256</v>
      </c>
      <c r="E31" s="123" t="s">
        <v>7633</v>
      </c>
    </row>
    <row r="32" spans="1:5">
      <c r="A32" s="132" t="s">
        <v>255</v>
      </c>
      <c r="B32" s="123" t="s">
        <v>7467</v>
      </c>
      <c r="C32" s="123" t="s">
        <v>7467</v>
      </c>
      <c r="E32" s="123" t="s">
        <v>7634</v>
      </c>
    </row>
    <row r="33" spans="1:5">
      <c r="A33" s="132" t="s">
        <v>255</v>
      </c>
      <c r="B33" s="123" t="s">
        <v>7468</v>
      </c>
      <c r="C33" s="123" t="s">
        <v>7468</v>
      </c>
      <c r="E33" s="123" t="s">
        <v>7635</v>
      </c>
    </row>
    <row r="34" spans="1:5">
      <c r="A34" s="132" t="s">
        <v>255</v>
      </c>
      <c r="B34" s="123" t="s">
        <v>7469</v>
      </c>
      <c r="C34" s="123" t="s">
        <v>7469</v>
      </c>
      <c r="E34" s="123" t="s">
        <v>7636</v>
      </c>
    </row>
    <row r="35" spans="1:5">
      <c r="A35" s="132" t="s">
        <v>255</v>
      </c>
      <c r="B35" s="123" t="s">
        <v>7470</v>
      </c>
      <c r="C35" s="123" t="s">
        <v>7470</v>
      </c>
      <c r="E35" s="123" t="s">
        <v>7637</v>
      </c>
    </row>
    <row r="36" spans="1:5">
      <c r="A36" s="132" t="s">
        <v>255</v>
      </c>
      <c r="B36" s="123" t="s">
        <v>7471</v>
      </c>
      <c r="C36" s="123" t="s">
        <v>7471</v>
      </c>
      <c r="E36" s="123" t="s">
        <v>7638</v>
      </c>
    </row>
    <row r="37" spans="1:5">
      <c r="A37" s="132" t="s">
        <v>255</v>
      </c>
      <c r="B37" s="123" t="s">
        <v>7864</v>
      </c>
      <c r="C37" s="123" t="s">
        <v>7817</v>
      </c>
      <c r="E37" s="123" t="s">
        <v>7639</v>
      </c>
    </row>
    <row r="38" spans="1:5">
      <c r="A38" s="132" t="s">
        <v>255</v>
      </c>
      <c r="B38" s="123" t="s">
        <v>7472</v>
      </c>
      <c r="C38" s="123" t="s">
        <v>7472</v>
      </c>
      <c r="E38" s="123" t="s">
        <v>7640</v>
      </c>
    </row>
    <row r="39" spans="1:5">
      <c r="A39" s="132" t="s">
        <v>255</v>
      </c>
      <c r="B39" s="123" t="s">
        <v>7473</v>
      </c>
      <c r="C39" s="123" t="s">
        <v>7473</v>
      </c>
      <c r="E39" s="123" t="s">
        <v>7641</v>
      </c>
    </row>
    <row r="40" spans="1:5">
      <c r="A40" s="132" t="s">
        <v>255</v>
      </c>
      <c r="B40" s="123" t="s">
        <v>7474</v>
      </c>
      <c r="C40" s="123" t="s">
        <v>7474</v>
      </c>
      <c r="E40" s="123" t="s">
        <v>7642</v>
      </c>
    </row>
    <row r="41" spans="1:5">
      <c r="A41" s="132" t="s">
        <v>255</v>
      </c>
      <c r="B41" s="123" t="s">
        <v>7475</v>
      </c>
      <c r="C41" s="123" t="s">
        <v>7475</v>
      </c>
      <c r="E41" s="123" t="s">
        <v>7643</v>
      </c>
    </row>
    <row r="42" spans="1:5">
      <c r="A42" s="132" t="s">
        <v>255</v>
      </c>
      <c r="B42" s="123" t="s">
        <v>7476</v>
      </c>
      <c r="C42" s="123" t="s">
        <v>7476</v>
      </c>
      <c r="E42" s="123" t="s">
        <v>7644</v>
      </c>
    </row>
    <row r="43" spans="1:5">
      <c r="A43" s="132" t="s">
        <v>255</v>
      </c>
      <c r="B43" s="123" t="s">
        <v>7477</v>
      </c>
      <c r="C43" s="123" t="s">
        <v>7477</v>
      </c>
      <c r="E43" s="123" t="s">
        <v>7645</v>
      </c>
    </row>
    <row r="44" spans="1:5">
      <c r="A44" s="132" t="s">
        <v>255</v>
      </c>
      <c r="B44" s="123" t="s">
        <v>7478</v>
      </c>
      <c r="C44" s="123" t="s">
        <v>7478</v>
      </c>
      <c r="E44" s="123" t="s">
        <v>7646</v>
      </c>
    </row>
    <row r="45" spans="1:5">
      <c r="A45" s="132" t="s">
        <v>255</v>
      </c>
      <c r="B45" s="123" t="s">
        <v>7479</v>
      </c>
      <c r="C45" s="123" t="s">
        <v>7479</v>
      </c>
      <c r="E45" s="123" t="s">
        <v>7647</v>
      </c>
    </row>
    <row r="46" spans="1:5">
      <c r="A46" s="132" t="s">
        <v>255</v>
      </c>
      <c r="B46" s="123" t="s">
        <v>7480</v>
      </c>
      <c r="C46" s="123" t="s">
        <v>7480</v>
      </c>
      <c r="E46" s="123" t="s">
        <v>7648</v>
      </c>
    </row>
    <row r="47" spans="1:5">
      <c r="A47" s="132" t="s">
        <v>255</v>
      </c>
      <c r="B47" s="123" t="s">
        <v>7481</v>
      </c>
      <c r="C47" s="123" t="s">
        <v>7481</v>
      </c>
      <c r="E47" s="123" t="s">
        <v>7649</v>
      </c>
    </row>
    <row r="48" spans="1:5">
      <c r="A48" s="132" t="s">
        <v>255</v>
      </c>
      <c r="B48" s="123" t="s">
        <v>260</v>
      </c>
      <c r="C48" s="123" t="s">
        <v>260</v>
      </c>
      <c r="E48" s="123" t="s">
        <v>7650</v>
      </c>
    </row>
    <row r="49" spans="1:5">
      <c r="A49" s="132" t="s">
        <v>255</v>
      </c>
      <c r="B49" s="123" t="s">
        <v>7482</v>
      </c>
      <c r="C49" s="123" t="s">
        <v>7482</v>
      </c>
      <c r="E49" s="123" t="s">
        <v>7651</v>
      </c>
    </row>
    <row r="50" spans="1:5">
      <c r="A50" s="132" t="s">
        <v>255</v>
      </c>
      <c r="B50" s="123" t="s">
        <v>7483</v>
      </c>
      <c r="C50" s="123" t="s">
        <v>7483</v>
      </c>
      <c r="E50" s="123" t="s">
        <v>7652</v>
      </c>
    </row>
    <row r="51" spans="1:5">
      <c r="A51" s="132" t="s">
        <v>255</v>
      </c>
      <c r="B51" s="123" t="s">
        <v>7484</v>
      </c>
      <c r="C51" s="123" t="s">
        <v>7484</v>
      </c>
      <c r="E51" s="123" t="s">
        <v>7653</v>
      </c>
    </row>
    <row r="52" spans="1:5">
      <c r="A52" s="132" t="s">
        <v>255</v>
      </c>
      <c r="B52" s="123" t="s">
        <v>7485</v>
      </c>
      <c r="C52" s="123" t="s">
        <v>7485</v>
      </c>
      <c r="E52" s="123" t="s">
        <v>7654</v>
      </c>
    </row>
    <row r="53" spans="1:5">
      <c r="A53" s="132" t="s">
        <v>255</v>
      </c>
      <c r="B53" s="123" t="s">
        <v>7818</v>
      </c>
      <c r="C53" s="123" t="s">
        <v>7818</v>
      </c>
      <c r="E53" s="123" t="s">
        <v>7655</v>
      </c>
    </row>
    <row r="54" spans="1:5">
      <c r="A54" s="132" t="s">
        <v>255</v>
      </c>
      <c r="B54" s="123" t="s">
        <v>7486</v>
      </c>
      <c r="C54" s="123" t="s">
        <v>7486</v>
      </c>
      <c r="E54" s="123" t="s">
        <v>7656</v>
      </c>
    </row>
    <row r="55" spans="1:5">
      <c r="A55" s="132" t="s">
        <v>255</v>
      </c>
      <c r="B55" s="123" t="s">
        <v>7487</v>
      </c>
      <c r="C55" s="123" t="s">
        <v>7487</v>
      </c>
      <c r="E55" s="123" t="s">
        <v>7657</v>
      </c>
    </row>
    <row r="56" spans="1:5">
      <c r="A56" s="132" t="s">
        <v>255</v>
      </c>
      <c r="B56" s="123" t="s">
        <v>7488</v>
      </c>
      <c r="C56" s="123" t="s">
        <v>7488</v>
      </c>
      <c r="E56" s="123" t="s">
        <v>7658</v>
      </c>
    </row>
    <row r="57" spans="1:5">
      <c r="A57" s="132" t="s">
        <v>255</v>
      </c>
      <c r="B57" s="123" t="s">
        <v>7489</v>
      </c>
      <c r="C57" s="123" t="s">
        <v>7489</v>
      </c>
      <c r="E57" s="123" t="s">
        <v>7659</v>
      </c>
    </row>
    <row r="58" spans="1:5">
      <c r="A58" s="132" t="s">
        <v>255</v>
      </c>
      <c r="B58" s="123" t="s">
        <v>7490</v>
      </c>
      <c r="C58" s="123" t="s">
        <v>7490</v>
      </c>
      <c r="E58" s="123" t="s">
        <v>7660</v>
      </c>
    </row>
    <row r="59" spans="1:5">
      <c r="A59" s="132" t="s">
        <v>255</v>
      </c>
      <c r="B59" s="123" t="s">
        <v>7491</v>
      </c>
      <c r="C59" s="123" t="s">
        <v>7491</v>
      </c>
      <c r="E59" s="123" t="s">
        <v>7661</v>
      </c>
    </row>
    <row r="60" spans="1:5">
      <c r="A60" s="132" t="s">
        <v>255</v>
      </c>
      <c r="B60" s="123" t="s">
        <v>7492</v>
      </c>
      <c r="C60" s="123" t="s">
        <v>7492</v>
      </c>
      <c r="E60" s="123" t="s">
        <v>7662</v>
      </c>
    </row>
    <row r="61" spans="1:5">
      <c r="A61" s="132" t="s">
        <v>255</v>
      </c>
      <c r="B61" s="123" t="s">
        <v>7493</v>
      </c>
      <c r="C61" s="123" t="s">
        <v>7493</v>
      </c>
      <c r="E61" s="123" t="s">
        <v>7663</v>
      </c>
    </row>
    <row r="62" spans="1:5">
      <c r="A62" s="132" t="s">
        <v>255</v>
      </c>
      <c r="B62" s="123" t="s">
        <v>7494</v>
      </c>
      <c r="C62" s="123" t="s">
        <v>7494</v>
      </c>
      <c r="E62" s="123" t="s">
        <v>7664</v>
      </c>
    </row>
    <row r="63" spans="1:5">
      <c r="A63" s="132" t="s">
        <v>255</v>
      </c>
      <c r="B63" s="123" t="s">
        <v>7865</v>
      </c>
      <c r="C63" s="123" t="s">
        <v>7819</v>
      </c>
      <c r="E63" s="123" t="s">
        <v>7665</v>
      </c>
    </row>
    <row r="64" spans="1:5">
      <c r="A64" s="132" t="s">
        <v>255</v>
      </c>
      <c r="B64" s="123" t="s">
        <v>7495</v>
      </c>
      <c r="C64" s="123" t="s">
        <v>7495</v>
      </c>
      <c r="E64" s="123" t="s">
        <v>7666</v>
      </c>
    </row>
    <row r="65" spans="1:5">
      <c r="A65" s="132" t="s">
        <v>255</v>
      </c>
      <c r="B65" s="123" t="s">
        <v>7496</v>
      </c>
      <c r="C65" s="123" t="s">
        <v>7496</v>
      </c>
      <c r="E65" s="123" t="s">
        <v>7667</v>
      </c>
    </row>
    <row r="66" spans="1:5">
      <c r="A66" s="132" t="s">
        <v>255</v>
      </c>
      <c r="B66" s="123" t="s">
        <v>7497</v>
      </c>
      <c r="C66" s="123" t="s">
        <v>7497</v>
      </c>
      <c r="E66" s="123" t="s">
        <v>7668</v>
      </c>
    </row>
    <row r="67" spans="1:5">
      <c r="A67" s="132" t="s">
        <v>255</v>
      </c>
      <c r="B67" s="123" t="s">
        <v>7498</v>
      </c>
      <c r="C67" s="123" t="s">
        <v>7498</v>
      </c>
      <c r="E67" s="123" t="s">
        <v>7669</v>
      </c>
    </row>
    <row r="68" spans="1:5">
      <c r="A68" s="132" t="s">
        <v>255</v>
      </c>
      <c r="B68" s="123" t="s">
        <v>7499</v>
      </c>
      <c r="C68" s="123" t="s">
        <v>7499</v>
      </c>
      <c r="E68" s="123" t="s">
        <v>7670</v>
      </c>
    </row>
    <row r="69" spans="1:5">
      <c r="A69" s="132" t="s">
        <v>255</v>
      </c>
      <c r="B69" s="123" t="s">
        <v>7500</v>
      </c>
      <c r="C69" s="123" t="s">
        <v>7500</v>
      </c>
      <c r="E69" s="123" t="s">
        <v>7671</v>
      </c>
    </row>
    <row r="70" spans="1:5">
      <c r="A70" s="132" t="s">
        <v>255</v>
      </c>
      <c r="B70" s="123" t="s">
        <v>7501</v>
      </c>
      <c r="C70" s="123" t="s">
        <v>7501</v>
      </c>
      <c r="E70" s="123" t="s">
        <v>7672</v>
      </c>
    </row>
    <row r="71" spans="1:5">
      <c r="A71" s="132" t="s">
        <v>255</v>
      </c>
      <c r="B71" s="123" t="s">
        <v>7502</v>
      </c>
      <c r="C71" s="123" t="s">
        <v>7502</v>
      </c>
      <c r="E71" s="123" t="s">
        <v>7673</v>
      </c>
    </row>
    <row r="72" spans="1:5">
      <c r="A72" s="132" t="s">
        <v>255</v>
      </c>
      <c r="B72" s="123" t="s">
        <v>7503</v>
      </c>
      <c r="C72" s="123" t="s">
        <v>7503</v>
      </c>
      <c r="E72" s="123" t="s">
        <v>7674</v>
      </c>
    </row>
    <row r="73" spans="1:5">
      <c r="A73" s="132" t="s">
        <v>255</v>
      </c>
      <c r="B73" s="123" t="s">
        <v>7504</v>
      </c>
      <c r="C73" s="123" t="s">
        <v>7504</v>
      </c>
      <c r="E73" s="123" t="s">
        <v>7675</v>
      </c>
    </row>
    <row r="74" spans="1:5">
      <c r="A74" s="132" t="s">
        <v>255</v>
      </c>
      <c r="B74" s="123" t="s">
        <v>7505</v>
      </c>
      <c r="C74" s="123" t="s">
        <v>7505</v>
      </c>
      <c r="E74" s="123" t="s">
        <v>7676</v>
      </c>
    </row>
    <row r="75" spans="1:5">
      <c r="A75" s="132" t="s">
        <v>255</v>
      </c>
      <c r="B75" s="123" t="s">
        <v>258</v>
      </c>
      <c r="C75" s="123" t="s">
        <v>258</v>
      </c>
      <c r="E75" s="123" t="s">
        <v>7677</v>
      </c>
    </row>
    <row r="76" spans="1:5">
      <c r="A76" s="132" t="s">
        <v>255</v>
      </c>
      <c r="B76" s="123" t="s">
        <v>261</v>
      </c>
      <c r="C76" s="123" t="s">
        <v>261</v>
      </c>
      <c r="E76" s="123" t="s">
        <v>7678</v>
      </c>
    </row>
    <row r="77" spans="1:5">
      <c r="A77" s="132" t="s">
        <v>255</v>
      </c>
      <c r="B77" s="123" t="s">
        <v>7506</v>
      </c>
      <c r="C77" s="123" t="s">
        <v>7506</v>
      </c>
      <c r="E77" s="123" t="s">
        <v>7679</v>
      </c>
    </row>
    <row r="78" spans="1:5">
      <c r="A78" s="132" t="s">
        <v>255</v>
      </c>
      <c r="B78" s="123" t="s">
        <v>7507</v>
      </c>
      <c r="C78" s="123" t="s">
        <v>7507</v>
      </c>
      <c r="E78" s="123" t="s">
        <v>7680</v>
      </c>
    </row>
    <row r="79" spans="1:5">
      <c r="A79" s="132" t="s">
        <v>255</v>
      </c>
      <c r="B79" s="123" t="s">
        <v>7508</v>
      </c>
      <c r="C79" s="123" t="s">
        <v>7508</v>
      </c>
      <c r="E79" s="123" t="s">
        <v>7681</v>
      </c>
    </row>
    <row r="80" spans="1:5">
      <c r="A80" s="132" t="s">
        <v>255</v>
      </c>
      <c r="B80" s="123" t="s">
        <v>7509</v>
      </c>
      <c r="C80" s="123" t="s">
        <v>7509</v>
      </c>
      <c r="E80" s="123" t="s">
        <v>7682</v>
      </c>
    </row>
    <row r="81" spans="1:5">
      <c r="A81" s="132" t="s">
        <v>255</v>
      </c>
      <c r="B81" s="123" t="s">
        <v>7510</v>
      </c>
      <c r="C81" s="123" t="s">
        <v>7510</v>
      </c>
      <c r="E81" s="123" t="s">
        <v>7683</v>
      </c>
    </row>
    <row r="82" spans="1:5">
      <c r="A82" s="132" t="s">
        <v>255</v>
      </c>
      <c r="B82" s="123" t="s">
        <v>7511</v>
      </c>
      <c r="C82" s="123" t="s">
        <v>7511</v>
      </c>
      <c r="E82" s="123" t="s">
        <v>7684</v>
      </c>
    </row>
    <row r="83" spans="1:5">
      <c r="A83" s="132" t="s">
        <v>255</v>
      </c>
      <c r="B83" s="123" t="s">
        <v>7512</v>
      </c>
      <c r="C83" s="123" t="s">
        <v>7512</v>
      </c>
      <c r="E83" s="123" t="s">
        <v>7685</v>
      </c>
    </row>
    <row r="84" spans="1:5">
      <c r="A84" s="132" t="s">
        <v>255</v>
      </c>
      <c r="B84" s="123" t="s">
        <v>262</v>
      </c>
      <c r="C84" s="123" t="s">
        <v>262</v>
      </c>
      <c r="E84" s="123" t="s">
        <v>7686</v>
      </c>
    </row>
    <row r="85" spans="1:5">
      <c r="A85" s="132" t="s">
        <v>255</v>
      </c>
      <c r="B85" s="123" t="s">
        <v>7513</v>
      </c>
      <c r="C85" s="123" t="s">
        <v>7513</v>
      </c>
      <c r="E85" s="123" t="s">
        <v>7687</v>
      </c>
    </row>
    <row r="86" spans="1:5">
      <c r="A86" s="132" t="s">
        <v>255</v>
      </c>
      <c r="B86" s="123" t="s">
        <v>7514</v>
      </c>
      <c r="C86" s="123" t="s">
        <v>7514</v>
      </c>
      <c r="E86" s="123" t="s">
        <v>7688</v>
      </c>
    </row>
    <row r="87" spans="1:5">
      <c r="A87" s="132" t="s">
        <v>255</v>
      </c>
      <c r="B87" s="123" t="s">
        <v>7515</v>
      </c>
      <c r="C87" s="123" t="s">
        <v>7515</v>
      </c>
      <c r="E87" s="123" t="s">
        <v>7689</v>
      </c>
    </row>
    <row r="88" spans="1:5">
      <c r="A88" s="132" t="s">
        <v>255</v>
      </c>
      <c r="B88" s="123" t="s">
        <v>7516</v>
      </c>
      <c r="C88" s="123" t="s">
        <v>7516</v>
      </c>
      <c r="E88" s="123" t="s">
        <v>7690</v>
      </c>
    </row>
    <row r="89" spans="1:5">
      <c r="A89" s="132" t="s">
        <v>255</v>
      </c>
      <c r="B89" s="123" t="s">
        <v>7517</v>
      </c>
      <c r="C89" s="123" t="s">
        <v>7517</v>
      </c>
      <c r="E89" s="123" t="s">
        <v>7691</v>
      </c>
    </row>
    <row r="90" spans="1:5">
      <c r="A90" s="132" t="s">
        <v>255</v>
      </c>
      <c r="B90" s="123" t="s">
        <v>7518</v>
      </c>
      <c r="C90" s="123" t="s">
        <v>7518</v>
      </c>
      <c r="E90" s="123" t="s">
        <v>7692</v>
      </c>
    </row>
    <row r="91" spans="1:5">
      <c r="A91" s="132" t="s">
        <v>255</v>
      </c>
      <c r="B91" s="123" t="s">
        <v>7519</v>
      </c>
      <c r="C91" s="123" t="s">
        <v>7519</v>
      </c>
      <c r="E91" s="123" t="s">
        <v>7693</v>
      </c>
    </row>
    <row r="92" spans="1:5">
      <c r="A92" s="132" t="s">
        <v>255</v>
      </c>
      <c r="B92" s="123" t="s">
        <v>7520</v>
      </c>
      <c r="C92" s="123" t="s">
        <v>7520</v>
      </c>
      <c r="E92" s="123" t="s">
        <v>7694</v>
      </c>
    </row>
    <row r="93" spans="1:5">
      <c r="A93" s="132" t="s">
        <v>255</v>
      </c>
      <c r="B93" s="123" t="s">
        <v>7521</v>
      </c>
      <c r="C93" s="123" t="s">
        <v>7521</v>
      </c>
      <c r="E93" s="123" t="s">
        <v>7695</v>
      </c>
    </row>
    <row r="94" spans="1:5">
      <c r="A94" s="132" t="s">
        <v>255</v>
      </c>
      <c r="B94" s="123" t="s">
        <v>7522</v>
      </c>
      <c r="C94" s="123" t="s">
        <v>7522</v>
      </c>
      <c r="E94" s="123" t="s">
        <v>7696</v>
      </c>
    </row>
    <row r="95" spans="1:5">
      <c r="A95" s="132" t="s">
        <v>255</v>
      </c>
      <c r="B95" s="123" t="s">
        <v>7523</v>
      </c>
      <c r="C95" s="123" t="s">
        <v>7523</v>
      </c>
      <c r="E95" s="123" t="s">
        <v>7697</v>
      </c>
    </row>
    <row r="96" spans="1:5">
      <c r="A96" s="132" t="s">
        <v>255</v>
      </c>
      <c r="B96" s="123" t="s">
        <v>7524</v>
      </c>
      <c r="C96" s="123" t="s">
        <v>7524</v>
      </c>
      <c r="E96" s="123" t="s">
        <v>7698</v>
      </c>
    </row>
    <row r="97" spans="1:5">
      <c r="A97" s="132" t="s">
        <v>255</v>
      </c>
      <c r="B97" s="123" t="s">
        <v>7525</v>
      </c>
      <c r="C97" s="123" t="s">
        <v>7525</v>
      </c>
      <c r="E97" s="123" t="s">
        <v>7699</v>
      </c>
    </row>
    <row r="98" spans="1:5">
      <c r="A98" s="132" t="s">
        <v>255</v>
      </c>
      <c r="B98" s="123" t="s">
        <v>7526</v>
      </c>
      <c r="C98" s="123" t="s">
        <v>7526</v>
      </c>
      <c r="E98" s="123" t="s">
        <v>7700</v>
      </c>
    </row>
    <row r="99" spans="1:5">
      <c r="A99" s="132" t="s">
        <v>255</v>
      </c>
      <c r="B99" s="123" t="s">
        <v>7527</v>
      </c>
      <c r="C99" s="123" t="s">
        <v>7527</v>
      </c>
      <c r="E99" s="123" t="s">
        <v>7701</v>
      </c>
    </row>
    <row r="100" spans="1:5">
      <c r="A100" s="132" t="s">
        <v>255</v>
      </c>
      <c r="B100" s="123" t="s">
        <v>7528</v>
      </c>
      <c r="C100" s="123" t="s">
        <v>7528</v>
      </c>
      <c r="E100" s="123" t="s">
        <v>7702</v>
      </c>
    </row>
    <row r="101" spans="1:5">
      <c r="A101" s="132" t="s">
        <v>255</v>
      </c>
      <c r="B101" s="123" t="s">
        <v>7529</v>
      </c>
      <c r="C101" s="123" t="s">
        <v>7529</v>
      </c>
      <c r="E101" s="123" t="s">
        <v>7703</v>
      </c>
    </row>
    <row r="102" spans="1:5">
      <c r="A102" s="132" t="s">
        <v>255</v>
      </c>
      <c r="B102" s="123" t="s">
        <v>7530</v>
      </c>
      <c r="C102" s="123" t="s">
        <v>7530</v>
      </c>
      <c r="E102" s="123" t="s">
        <v>7704</v>
      </c>
    </row>
    <row r="103" spans="1:5">
      <c r="A103" s="132" t="s">
        <v>255</v>
      </c>
      <c r="B103" s="123" t="s">
        <v>7531</v>
      </c>
      <c r="C103" s="123" t="s">
        <v>7531</v>
      </c>
      <c r="E103" s="123" t="s">
        <v>7705</v>
      </c>
    </row>
    <row r="104" spans="1:5">
      <c r="A104" s="132" t="s">
        <v>255</v>
      </c>
      <c r="B104" s="123" t="s">
        <v>7532</v>
      </c>
      <c r="C104" s="123" t="s">
        <v>7532</v>
      </c>
      <c r="E104" s="123" t="s">
        <v>7706</v>
      </c>
    </row>
    <row r="105" spans="1:5">
      <c r="A105" s="132" t="s">
        <v>255</v>
      </c>
      <c r="B105" s="123" t="s">
        <v>7533</v>
      </c>
      <c r="C105" s="123" t="s">
        <v>7533</v>
      </c>
      <c r="E105" s="123" t="s">
        <v>7707</v>
      </c>
    </row>
    <row r="106" spans="1:5">
      <c r="A106" s="132" t="s">
        <v>255</v>
      </c>
      <c r="B106" s="123" t="s">
        <v>7534</v>
      </c>
      <c r="C106" s="123" t="s">
        <v>7534</v>
      </c>
      <c r="E106" s="123" t="s">
        <v>7708</v>
      </c>
    </row>
    <row r="107" spans="1:5">
      <c r="A107" s="132" t="s">
        <v>255</v>
      </c>
      <c r="B107" s="123" t="s">
        <v>7866</v>
      </c>
      <c r="C107" s="123" t="s">
        <v>7820</v>
      </c>
      <c r="E107" s="123" t="s">
        <v>7709</v>
      </c>
    </row>
    <row r="108" spans="1:5">
      <c r="A108" s="132" t="s">
        <v>255</v>
      </c>
      <c r="B108" s="123" t="s">
        <v>7535</v>
      </c>
      <c r="C108" s="123" t="s">
        <v>7535</v>
      </c>
      <c r="E108" s="123" t="s">
        <v>7710</v>
      </c>
    </row>
    <row r="109" spans="1:5">
      <c r="A109" s="132" t="s">
        <v>255</v>
      </c>
      <c r="B109" s="123" t="s">
        <v>7536</v>
      </c>
      <c r="C109" s="123" t="s">
        <v>7536</v>
      </c>
      <c r="E109" s="123" t="s">
        <v>7711</v>
      </c>
    </row>
    <row r="110" spans="1:5">
      <c r="A110" s="132" t="s">
        <v>255</v>
      </c>
      <c r="B110" s="123" t="s">
        <v>259</v>
      </c>
      <c r="C110" s="123" t="s">
        <v>259</v>
      </c>
      <c r="E110" s="123" t="s">
        <v>7712</v>
      </c>
    </row>
    <row r="111" spans="1:5">
      <c r="A111" s="132" t="s">
        <v>255</v>
      </c>
      <c r="B111" s="123" t="s">
        <v>7537</v>
      </c>
      <c r="C111" s="123" t="s">
        <v>7537</v>
      </c>
      <c r="E111" s="123" t="s">
        <v>7713</v>
      </c>
    </row>
    <row r="112" spans="1:5">
      <c r="A112" s="132" t="s">
        <v>255</v>
      </c>
      <c r="B112" s="123" t="s">
        <v>7538</v>
      </c>
      <c r="C112" s="123" t="s">
        <v>7538</v>
      </c>
      <c r="E112" s="123" t="s">
        <v>7714</v>
      </c>
    </row>
    <row r="113" spans="1:5">
      <c r="A113" s="132" t="s">
        <v>255</v>
      </c>
      <c r="B113" s="123" t="s">
        <v>7539</v>
      </c>
      <c r="C113" s="123" t="s">
        <v>7539</v>
      </c>
      <c r="E113" s="123" t="s">
        <v>7715</v>
      </c>
    </row>
    <row r="114" spans="1:5">
      <c r="A114" s="132" t="s">
        <v>255</v>
      </c>
      <c r="B114" s="123" t="s">
        <v>7540</v>
      </c>
      <c r="C114" s="123" t="s">
        <v>7540</v>
      </c>
      <c r="E114" s="123" t="s">
        <v>7716</v>
      </c>
    </row>
    <row r="115" spans="1:5">
      <c r="A115" s="132" t="s">
        <v>255</v>
      </c>
      <c r="B115" s="123" t="s">
        <v>7541</v>
      </c>
      <c r="C115" s="123" t="s">
        <v>7541</v>
      </c>
      <c r="E115" s="123" t="s">
        <v>7717</v>
      </c>
    </row>
    <row r="116" spans="1:5">
      <c r="A116" s="132" t="s">
        <v>255</v>
      </c>
      <c r="B116" s="123" t="s">
        <v>7542</v>
      </c>
      <c r="C116" s="123" t="s">
        <v>7542</v>
      </c>
      <c r="E116" s="123" t="s">
        <v>7718</v>
      </c>
    </row>
    <row r="117" spans="1:5">
      <c r="A117" s="132" t="s">
        <v>255</v>
      </c>
      <c r="B117" s="123" t="s">
        <v>7543</v>
      </c>
      <c r="C117" s="123" t="s">
        <v>7543</v>
      </c>
      <c r="E117" s="123" t="s">
        <v>7719</v>
      </c>
    </row>
    <row r="118" spans="1:5">
      <c r="A118" s="132" t="s">
        <v>255</v>
      </c>
      <c r="B118" s="123" t="s">
        <v>7544</v>
      </c>
      <c r="C118" s="123" t="s">
        <v>7544</v>
      </c>
      <c r="E118" s="123" t="s">
        <v>7720</v>
      </c>
    </row>
    <row r="119" spans="1:5">
      <c r="A119" s="132" t="s">
        <v>255</v>
      </c>
      <c r="B119" s="123" t="s">
        <v>7545</v>
      </c>
      <c r="C119" s="123" t="s">
        <v>7545</v>
      </c>
      <c r="E119" s="123" t="s">
        <v>7721</v>
      </c>
    </row>
    <row r="120" spans="1:5">
      <c r="A120" s="132" t="s">
        <v>255</v>
      </c>
      <c r="B120" s="123" t="s">
        <v>7546</v>
      </c>
      <c r="C120" s="123" t="s">
        <v>7546</v>
      </c>
      <c r="E120" s="123" t="s">
        <v>7722</v>
      </c>
    </row>
    <row r="121" spans="1:5">
      <c r="A121" s="132" t="s">
        <v>255</v>
      </c>
      <c r="B121" s="123" t="s">
        <v>7547</v>
      </c>
      <c r="C121" s="123" t="s">
        <v>7547</v>
      </c>
      <c r="E121" s="123" t="s">
        <v>7723</v>
      </c>
    </row>
    <row r="122" spans="1:5">
      <c r="A122" s="132" t="s">
        <v>255</v>
      </c>
      <c r="B122" s="123" t="s">
        <v>7867</v>
      </c>
      <c r="C122" s="123" t="s">
        <v>7821</v>
      </c>
      <c r="E122" s="123" t="s">
        <v>7724</v>
      </c>
    </row>
    <row r="123" spans="1:5">
      <c r="A123" s="132" t="s">
        <v>255</v>
      </c>
      <c r="B123" s="123" t="s">
        <v>7548</v>
      </c>
      <c r="C123" s="123" t="s">
        <v>7548</v>
      </c>
      <c r="E123" s="123" t="s">
        <v>7725</v>
      </c>
    </row>
    <row r="124" spans="1:5">
      <c r="A124" s="132" t="s">
        <v>255</v>
      </c>
      <c r="B124" s="123" t="s">
        <v>7549</v>
      </c>
      <c r="C124" s="123" t="s">
        <v>7549</v>
      </c>
      <c r="E124" s="123" t="s">
        <v>7726</v>
      </c>
    </row>
    <row r="125" spans="1:5">
      <c r="A125" s="132" t="s">
        <v>255</v>
      </c>
      <c r="B125" s="123" t="s">
        <v>7550</v>
      </c>
      <c r="C125" s="123" t="s">
        <v>7550</v>
      </c>
      <c r="E125" s="123" t="s">
        <v>7727</v>
      </c>
    </row>
    <row r="126" spans="1:5">
      <c r="A126" s="132" t="s">
        <v>255</v>
      </c>
      <c r="B126" s="123" t="s">
        <v>7551</v>
      </c>
      <c r="C126" s="123" t="s">
        <v>7551</v>
      </c>
      <c r="E126" s="123" t="s">
        <v>7728</v>
      </c>
    </row>
    <row r="127" spans="1:5">
      <c r="A127" s="132" t="s">
        <v>255</v>
      </c>
      <c r="B127" s="123" t="s">
        <v>7552</v>
      </c>
      <c r="C127" s="123" t="s">
        <v>7552</v>
      </c>
      <c r="E127" s="123" t="s">
        <v>7729</v>
      </c>
    </row>
    <row r="128" spans="1:5">
      <c r="A128" s="132" t="s">
        <v>255</v>
      </c>
      <c r="B128" s="123" t="s">
        <v>7553</v>
      </c>
      <c r="C128" s="123" t="s">
        <v>7553</v>
      </c>
      <c r="E128" s="123" t="s">
        <v>7730</v>
      </c>
    </row>
    <row r="129" spans="1:5">
      <c r="A129" s="132" t="s">
        <v>255</v>
      </c>
      <c r="B129" s="123" t="s">
        <v>7554</v>
      </c>
      <c r="C129" s="123" t="s">
        <v>7554</v>
      </c>
      <c r="E129" s="123" t="s">
        <v>7731</v>
      </c>
    </row>
    <row r="130" spans="1:5">
      <c r="A130" s="132" t="s">
        <v>255</v>
      </c>
      <c r="B130" s="123" t="s">
        <v>7555</v>
      </c>
      <c r="C130" s="123" t="s">
        <v>7555</v>
      </c>
      <c r="E130" s="123" t="s">
        <v>7732</v>
      </c>
    </row>
    <row r="131" spans="1:5">
      <c r="A131" s="132" t="s">
        <v>255</v>
      </c>
      <c r="B131" s="123" t="s">
        <v>7556</v>
      </c>
      <c r="C131" s="123" t="s">
        <v>7556</v>
      </c>
      <c r="E131" s="123" t="s">
        <v>7733</v>
      </c>
    </row>
    <row r="132" spans="1:5">
      <c r="A132" s="132" t="s">
        <v>255</v>
      </c>
      <c r="B132" s="123" t="s">
        <v>7557</v>
      </c>
      <c r="C132" s="123" t="s">
        <v>7557</v>
      </c>
      <c r="E132" s="123" t="s">
        <v>7734</v>
      </c>
    </row>
    <row r="133" spans="1:5">
      <c r="A133" s="132" t="s">
        <v>255</v>
      </c>
      <c r="B133" s="123" t="s">
        <v>7558</v>
      </c>
      <c r="C133" s="123" t="s">
        <v>7558</v>
      </c>
      <c r="E133" s="123" t="s">
        <v>7735</v>
      </c>
    </row>
    <row r="134" spans="1:5">
      <c r="A134" s="132" t="s">
        <v>255</v>
      </c>
      <c r="B134" s="123" t="s">
        <v>7884</v>
      </c>
      <c r="C134" s="123" t="s">
        <v>7822</v>
      </c>
      <c r="E134" s="123" t="s">
        <v>7736</v>
      </c>
    </row>
    <row r="135" spans="1:5">
      <c r="A135" s="132" t="s">
        <v>255</v>
      </c>
      <c r="B135" s="123" t="s">
        <v>7883</v>
      </c>
      <c r="C135" s="123" t="s">
        <v>7823</v>
      </c>
      <c r="E135" s="123" t="s">
        <v>7737</v>
      </c>
    </row>
    <row r="136" spans="1:5">
      <c r="A136" s="132" t="s">
        <v>255</v>
      </c>
      <c r="B136" s="123" t="s">
        <v>7882</v>
      </c>
      <c r="C136" s="123" t="s">
        <v>7824</v>
      </c>
      <c r="E136" s="123" t="s">
        <v>7738</v>
      </c>
    </row>
    <row r="137" spans="1:5">
      <c r="A137" s="132" t="s">
        <v>255</v>
      </c>
      <c r="B137" s="123" t="s">
        <v>7881</v>
      </c>
      <c r="C137" s="123" t="s">
        <v>7825</v>
      </c>
      <c r="E137" s="123" t="s">
        <v>7739</v>
      </c>
    </row>
    <row r="138" spans="1:5">
      <c r="A138" s="132" t="s">
        <v>255</v>
      </c>
      <c r="B138" s="123" t="s">
        <v>7880</v>
      </c>
      <c r="C138" s="123" t="s">
        <v>7826</v>
      </c>
      <c r="E138" s="123" t="s">
        <v>7740</v>
      </c>
    </row>
    <row r="139" spans="1:5">
      <c r="A139" s="132" t="s">
        <v>255</v>
      </c>
      <c r="B139" s="123" t="s">
        <v>7879</v>
      </c>
      <c r="C139" s="123" t="s">
        <v>7827</v>
      </c>
      <c r="E139" s="123" t="s">
        <v>7741</v>
      </c>
    </row>
    <row r="140" spans="1:5">
      <c r="A140" s="132" t="s">
        <v>255</v>
      </c>
      <c r="B140" s="123" t="s">
        <v>7878</v>
      </c>
      <c r="C140" s="123" t="s">
        <v>7828</v>
      </c>
      <c r="E140" s="123" t="s">
        <v>7742</v>
      </c>
    </row>
    <row r="141" spans="1:5">
      <c r="A141" s="132" t="s">
        <v>255</v>
      </c>
      <c r="B141" s="123" t="s">
        <v>7877</v>
      </c>
      <c r="C141" s="123" t="s">
        <v>7829</v>
      </c>
      <c r="E141" s="123" t="s">
        <v>7743</v>
      </c>
    </row>
    <row r="142" spans="1:5">
      <c r="A142" s="132" t="s">
        <v>255</v>
      </c>
      <c r="B142" s="123" t="s">
        <v>7876</v>
      </c>
      <c r="C142" s="123" t="s">
        <v>7830</v>
      </c>
      <c r="E142" s="123" t="s">
        <v>7744</v>
      </c>
    </row>
    <row r="143" spans="1:5">
      <c r="A143" s="132" t="s">
        <v>255</v>
      </c>
      <c r="B143" s="123" t="s">
        <v>7875</v>
      </c>
      <c r="C143" s="123" t="s">
        <v>7831</v>
      </c>
      <c r="E143" s="123" t="s">
        <v>7745</v>
      </c>
    </row>
    <row r="144" spans="1:5">
      <c r="A144" s="132" t="s">
        <v>255</v>
      </c>
      <c r="B144" s="123" t="s">
        <v>7887</v>
      </c>
      <c r="C144" s="123" t="s">
        <v>7832</v>
      </c>
      <c r="E144" s="123" t="s">
        <v>7746</v>
      </c>
    </row>
    <row r="145" spans="1:5">
      <c r="A145" s="132" t="s">
        <v>255</v>
      </c>
      <c r="B145" s="123" t="s">
        <v>7874</v>
      </c>
      <c r="C145" s="123" t="s">
        <v>7833</v>
      </c>
      <c r="E145" s="123" t="s">
        <v>7747</v>
      </c>
    </row>
    <row r="146" spans="1:5">
      <c r="A146" s="132" t="s">
        <v>255</v>
      </c>
      <c r="B146" s="123" t="s">
        <v>7873</v>
      </c>
      <c r="C146" s="123" t="s">
        <v>7834</v>
      </c>
      <c r="E146" s="123" t="s">
        <v>7748</v>
      </c>
    </row>
    <row r="147" spans="1:5">
      <c r="A147" s="132" t="s">
        <v>255</v>
      </c>
      <c r="B147" s="123" t="s">
        <v>7888</v>
      </c>
      <c r="C147" s="123" t="s">
        <v>7835</v>
      </c>
      <c r="E147" s="123" t="s">
        <v>7749</v>
      </c>
    </row>
    <row r="148" spans="1:5">
      <c r="A148" s="132" t="s">
        <v>255</v>
      </c>
      <c r="B148" s="123" t="s">
        <v>7872</v>
      </c>
      <c r="C148" s="123" t="s">
        <v>7836</v>
      </c>
      <c r="E148" s="123" t="s">
        <v>7750</v>
      </c>
    </row>
    <row r="149" spans="1:5">
      <c r="A149" s="132" t="s">
        <v>255</v>
      </c>
      <c r="B149" s="123" t="s">
        <v>7559</v>
      </c>
      <c r="C149" s="123" t="s">
        <v>7559</v>
      </c>
      <c r="E149" s="123" t="s">
        <v>7751</v>
      </c>
    </row>
    <row r="150" spans="1:5">
      <c r="A150" s="132" t="s">
        <v>255</v>
      </c>
      <c r="B150" s="123" t="s">
        <v>7560</v>
      </c>
      <c r="C150" s="123" t="s">
        <v>7560</v>
      </c>
      <c r="E150" s="123" t="s">
        <v>7752</v>
      </c>
    </row>
    <row r="151" spans="1:5">
      <c r="A151" s="132" t="s">
        <v>255</v>
      </c>
      <c r="B151" s="123" t="s">
        <v>7561</v>
      </c>
      <c r="C151" s="123" t="s">
        <v>7561</v>
      </c>
      <c r="E151" s="123" t="s">
        <v>7753</v>
      </c>
    </row>
    <row r="152" spans="1:5">
      <c r="A152" s="132" t="s">
        <v>255</v>
      </c>
      <c r="B152" s="123" t="s">
        <v>7562</v>
      </c>
      <c r="C152" s="123" t="s">
        <v>7562</v>
      </c>
      <c r="E152" s="123" t="s">
        <v>7754</v>
      </c>
    </row>
    <row r="153" spans="1:5">
      <c r="A153" s="132" t="s">
        <v>255</v>
      </c>
      <c r="B153" s="123" t="s">
        <v>7563</v>
      </c>
      <c r="C153" s="123" t="s">
        <v>7563</v>
      </c>
      <c r="E153" s="123" t="s">
        <v>7755</v>
      </c>
    </row>
    <row r="154" spans="1:5">
      <c r="A154" s="132" t="s">
        <v>255</v>
      </c>
      <c r="B154" s="123" t="s">
        <v>7564</v>
      </c>
      <c r="C154" s="123" t="s">
        <v>7564</v>
      </c>
      <c r="E154" s="123" t="s">
        <v>7756</v>
      </c>
    </row>
    <row r="155" spans="1:5">
      <c r="A155" s="132" t="s">
        <v>255</v>
      </c>
      <c r="B155" s="123" t="s">
        <v>7450</v>
      </c>
      <c r="C155" s="123" t="s">
        <v>7450</v>
      </c>
      <c r="E155" s="123" t="s">
        <v>7757</v>
      </c>
    </row>
    <row r="156" spans="1:5">
      <c r="A156" s="132" t="s">
        <v>255</v>
      </c>
      <c r="B156" s="123" t="s">
        <v>7565</v>
      </c>
      <c r="C156" s="123" t="s">
        <v>7565</v>
      </c>
      <c r="E156" s="123" t="s">
        <v>7758</v>
      </c>
    </row>
    <row r="157" spans="1:5">
      <c r="A157" s="132" t="s">
        <v>255</v>
      </c>
      <c r="B157" s="123" t="s">
        <v>7566</v>
      </c>
      <c r="C157" s="123" t="s">
        <v>7566</v>
      </c>
      <c r="E157" s="123" t="s">
        <v>7759</v>
      </c>
    </row>
    <row r="158" spans="1:5">
      <c r="A158" s="132" t="s">
        <v>255</v>
      </c>
      <c r="B158" s="123" t="s">
        <v>7837</v>
      </c>
      <c r="C158" s="123" t="s">
        <v>7837</v>
      </c>
      <c r="E158" s="123" t="s">
        <v>7760</v>
      </c>
    </row>
    <row r="159" spans="1:5">
      <c r="A159" s="132" t="s">
        <v>255</v>
      </c>
      <c r="B159" s="123" t="s">
        <v>7838</v>
      </c>
      <c r="C159" s="123" t="s">
        <v>7838</v>
      </c>
      <c r="E159" s="123" t="s">
        <v>7761</v>
      </c>
    </row>
    <row r="160" spans="1:5">
      <c r="A160" s="132" t="s">
        <v>255</v>
      </c>
      <c r="B160" s="123" t="s">
        <v>7839</v>
      </c>
      <c r="C160" s="123" t="s">
        <v>7839</v>
      </c>
      <c r="E160" s="123" t="s">
        <v>7762</v>
      </c>
    </row>
    <row r="161" spans="1:5">
      <c r="A161" s="132" t="s">
        <v>255</v>
      </c>
      <c r="B161" s="123" t="s">
        <v>7840</v>
      </c>
      <c r="C161" s="123" t="s">
        <v>7840</v>
      </c>
      <c r="E161" s="123" t="s">
        <v>7763</v>
      </c>
    </row>
    <row r="162" spans="1:5">
      <c r="A162" s="132" t="s">
        <v>255</v>
      </c>
      <c r="B162" s="123" t="s">
        <v>7841</v>
      </c>
      <c r="C162" s="123" t="s">
        <v>7841</v>
      </c>
      <c r="E162" s="123" t="s">
        <v>7764</v>
      </c>
    </row>
    <row r="163" spans="1:5">
      <c r="A163" s="132" t="s">
        <v>255</v>
      </c>
      <c r="B163" s="123" t="s">
        <v>7567</v>
      </c>
      <c r="C163" s="123" t="s">
        <v>7567</v>
      </c>
      <c r="E163" s="123" t="s">
        <v>7765</v>
      </c>
    </row>
    <row r="164" spans="1:5">
      <c r="A164" s="132" t="s">
        <v>255</v>
      </c>
      <c r="B164" s="123" t="s">
        <v>7842</v>
      </c>
      <c r="C164" s="123" t="s">
        <v>7842</v>
      </c>
      <c r="E164" s="123" t="s">
        <v>7766</v>
      </c>
    </row>
    <row r="165" spans="1:5">
      <c r="A165" s="132" t="s">
        <v>255</v>
      </c>
      <c r="B165" s="123" t="s">
        <v>7843</v>
      </c>
      <c r="C165" s="123" t="s">
        <v>7843</v>
      </c>
      <c r="E165" s="123" t="s">
        <v>7767</v>
      </c>
    </row>
    <row r="166" spans="1:5">
      <c r="A166" s="132" t="s">
        <v>255</v>
      </c>
      <c r="B166" s="123" t="s">
        <v>7844</v>
      </c>
      <c r="C166" s="123" t="s">
        <v>7844</v>
      </c>
      <c r="E166" s="123" t="s">
        <v>7768</v>
      </c>
    </row>
    <row r="167" spans="1:5">
      <c r="A167" s="132" t="s">
        <v>255</v>
      </c>
      <c r="B167" s="123" t="s">
        <v>7845</v>
      </c>
      <c r="C167" s="123" t="s">
        <v>7845</v>
      </c>
      <c r="E167" s="123" t="s">
        <v>7769</v>
      </c>
    </row>
    <row r="168" spans="1:5">
      <c r="A168" s="132" t="s">
        <v>255</v>
      </c>
      <c r="B168" s="123" t="s">
        <v>7568</v>
      </c>
      <c r="C168" s="123" t="s">
        <v>7568</v>
      </c>
      <c r="E168" s="123" t="s">
        <v>7770</v>
      </c>
    </row>
    <row r="169" spans="1:5">
      <c r="A169" s="132" t="s">
        <v>255</v>
      </c>
      <c r="B169" s="123" t="s">
        <v>7569</v>
      </c>
      <c r="C169" s="123" t="s">
        <v>7569</v>
      </c>
      <c r="E169" s="123" t="s">
        <v>7771</v>
      </c>
    </row>
    <row r="170" spans="1:5">
      <c r="A170" s="132" t="s">
        <v>255</v>
      </c>
      <c r="B170" s="123" t="s">
        <v>7570</v>
      </c>
      <c r="C170" s="123" t="s">
        <v>7570</v>
      </c>
      <c r="E170" s="123" t="s">
        <v>7772</v>
      </c>
    </row>
    <row r="171" spans="1:5">
      <c r="A171" s="132" t="s">
        <v>255</v>
      </c>
      <c r="B171" s="123" t="s">
        <v>7571</v>
      </c>
      <c r="C171" s="123" t="s">
        <v>7571</v>
      </c>
      <c r="E171" s="123" t="s">
        <v>7773</v>
      </c>
    </row>
    <row r="172" spans="1:5">
      <c r="A172" s="132" t="s">
        <v>255</v>
      </c>
      <c r="B172" s="123" t="s">
        <v>7572</v>
      </c>
      <c r="C172" s="123" t="s">
        <v>7572</v>
      </c>
      <c r="E172" s="123" t="s">
        <v>7774</v>
      </c>
    </row>
    <row r="173" spans="1:5">
      <c r="A173" s="132" t="s">
        <v>255</v>
      </c>
      <c r="B173" s="123" t="s">
        <v>7573</v>
      </c>
      <c r="C173" s="123" t="s">
        <v>7573</v>
      </c>
      <c r="E173" s="123" t="s">
        <v>7775</v>
      </c>
    </row>
    <row r="174" spans="1:5">
      <c r="A174" s="132" t="s">
        <v>255</v>
      </c>
      <c r="B174" s="123" t="s">
        <v>7574</v>
      </c>
      <c r="C174" s="123" t="s">
        <v>7574</v>
      </c>
      <c r="E174" s="123" t="s">
        <v>7776</v>
      </c>
    </row>
    <row r="175" spans="1:5">
      <c r="A175" s="132" t="s">
        <v>255</v>
      </c>
      <c r="B175" s="123" t="s">
        <v>7575</v>
      </c>
      <c r="C175" s="123" t="s">
        <v>7575</v>
      </c>
      <c r="E175" s="123" t="s">
        <v>7777</v>
      </c>
    </row>
    <row r="176" spans="1:5">
      <c r="A176" s="132" t="s">
        <v>255</v>
      </c>
      <c r="B176" s="123" t="s">
        <v>7576</v>
      </c>
      <c r="C176" s="123" t="s">
        <v>7576</v>
      </c>
      <c r="E176" s="123" t="s">
        <v>7778</v>
      </c>
    </row>
    <row r="177" spans="1:5">
      <c r="A177" s="132" t="s">
        <v>255</v>
      </c>
      <c r="B177" s="123" t="s">
        <v>7577</v>
      </c>
      <c r="C177" s="123" t="s">
        <v>7577</v>
      </c>
      <c r="E177" s="123" t="s">
        <v>7779</v>
      </c>
    </row>
    <row r="178" spans="1:5">
      <c r="A178" s="132" t="s">
        <v>255</v>
      </c>
      <c r="B178" s="123" t="s">
        <v>7578</v>
      </c>
      <c r="C178" s="123" t="s">
        <v>7578</v>
      </c>
      <c r="E178" s="123" t="s">
        <v>7780</v>
      </c>
    </row>
    <row r="179" spans="1:5">
      <c r="A179" s="132" t="s">
        <v>255</v>
      </c>
      <c r="B179" s="123" t="s">
        <v>7579</v>
      </c>
      <c r="C179" s="123" t="s">
        <v>7579</v>
      </c>
      <c r="E179" s="123" t="s">
        <v>7781</v>
      </c>
    </row>
    <row r="180" spans="1:5">
      <c r="A180" s="132" t="s">
        <v>255</v>
      </c>
      <c r="B180" s="123" t="s">
        <v>7580</v>
      </c>
      <c r="C180" s="123" t="s">
        <v>7580</v>
      </c>
      <c r="E180" s="123" t="s">
        <v>7782</v>
      </c>
    </row>
    <row r="181" spans="1:5">
      <c r="A181" s="132" t="s">
        <v>255</v>
      </c>
      <c r="B181" s="123" t="s">
        <v>7581</v>
      </c>
      <c r="C181" s="123" t="s">
        <v>7581</v>
      </c>
      <c r="E181" s="123" t="s">
        <v>7783</v>
      </c>
    </row>
    <row r="182" spans="1:5">
      <c r="A182" s="132" t="s">
        <v>255</v>
      </c>
      <c r="B182" s="123" t="s">
        <v>7582</v>
      </c>
      <c r="C182" s="123" t="s">
        <v>7582</v>
      </c>
      <c r="E182" s="123" t="s">
        <v>7784</v>
      </c>
    </row>
    <row r="183" spans="1:5">
      <c r="A183" s="132" t="s">
        <v>255</v>
      </c>
      <c r="B183" s="123" t="s">
        <v>7583</v>
      </c>
      <c r="C183" s="123" t="s">
        <v>7583</v>
      </c>
      <c r="E183" s="123" t="s">
        <v>7785</v>
      </c>
    </row>
    <row r="184" spans="1:5">
      <c r="A184" s="132" t="s">
        <v>255</v>
      </c>
      <c r="B184" s="123" t="s">
        <v>7584</v>
      </c>
      <c r="C184" s="123" t="s">
        <v>7584</v>
      </c>
      <c r="E184" s="123" t="s">
        <v>7786</v>
      </c>
    </row>
    <row r="185" spans="1:5">
      <c r="A185" s="132" t="s">
        <v>255</v>
      </c>
      <c r="B185" s="123" t="s">
        <v>7585</v>
      </c>
      <c r="C185" s="123" t="s">
        <v>7585</v>
      </c>
      <c r="E185" s="123" t="s">
        <v>7787</v>
      </c>
    </row>
    <row r="186" spans="1:5">
      <c r="A186" s="132" t="s">
        <v>255</v>
      </c>
      <c r="B186" s="123" t="s">
        <v>7586</v>
      </c>
      <c r="C186" s="123" t="s">
        <v>7586</v>
      </c>
      <c r="E186" s="123" t="s">
        <v>7788</v>
      </c>
    </row>
    <row r="187" spans="1:5">
      <c r="A187" s="132" t="s">
        <v>255</v>
      </c>
      <c r="B187" s="123" t="s">
        <v>7587</v>
      </c>
      <c r="C187" s="123" t="s">
        <v>7587</v>
      </c>
      <c r="E187" s="123" t="s">
        <v>7789</v>
      </c>
    </row>
    <row r="188" spans="1:5">
      <c r="A188" s="132" t="s">
        <v>255</v>
      </c>
      <c r="B188" s="123" t="s">
        <v>7588</v>
      </c>
      <c r="C188" s="123" t="s">
        <v>7588</v>
      </c>
      <c r="E188" s="123" t="s">
        <v>7790</v>
      </c>
    </row>
    <row r="189" spans="1:5">
      <c r="A189" s="132" t="s">
        <v>255</v>
      </c>
      <c r="B189" s="123" t="s">
        <v>7589</v>
      </c>
      <c r="C189" s="123" t="s">
        <v>7589</v>
      </c>
      <c r="E189" s="123" t="s">
        <v>7791</v>
      </c>
    </row>
    <row r="190" spans="1:5">
      <c r="A190" s="132" t="s">
        <v>255</v>
      </c>
      <c r="B190" s="123" t="s">
        <v>7590</v>
      </c>
      <c r="C190" s="123" t="s">
        <v>7590</v>
      </c>
      <c r="E190" s="123" t="s">
        <v>7792</v>
      </c>
    </row>
    <row r="191" spans="1:5">
      <c r="A191" s="132" t="s">
        <v>255</v>
      </c>
      <c r="B191" s="123" t="s">
        <v>7591</v>
      </c>
      <c r="C191" s="123" t="s">
        <v>7591</v>
      </c>
      <c r="E191" s="123" t="s">
        <v>7793</v>
      </c>
    </row>
    <row r="192" spans="1:5">
      <c r="A192" s="132" t="s">
        <v>255</v>
      </c>
      <c r="B192" s="123" t="s">
        <v>7592</v>
      </c>
      <c r="C192" s="123" t="s">
        <v>7592</v>
      </c>
      <c r="E192" s="123" t="s">
        <v>7794</v>
      </c>
    </row>
    <row r="193" spans="1:5">
      <c r="A193" s="132" t="s">
        <v>255</v>
      </c>
      <c r="B193" s="123" t="s">
        <v>7593</v>
      </c>
      <c r="C193" s="123" t="s">
        <v>7593</v>
      </c>
      <c r="E193" s="123" t="s">
        <v>7795</v>
      </c>
    </row>
    <row r="194" spans="1:5">
      <c r="A194" s="132" t="s">
        <v>255</v>
      </c>
      <c r="B194" s="123" t="s">
        <v>7594</v>
      </c>
      <c r="C194" s="123" t="s">
        <v>7594</v>
      </c>
      <c r="E194" s="123" t="s">
        <v>7796</v>
      </c>
    </row>
    <row r="195" spans="1:5">
      <c r="A195" s="132" t="s">
        <v>255</v>
      </c>
      <c r="B195" s="123" t="s">
        <v>7595</v>
      </c>
      <c r="C195" s="123" t="s">
        <v>7595</v>
      </c>
      <c r="E195" s="123" t="s">
        <v>7797</v>
      </c>
    </row>
    <row r="196" spans="1:5">
      <c r="A196" s="132" t="s">
        <v>255</v>
      </c>
      <c r="B196" s="123" t="s">
        <v>7596</v>
      </c>
      <c r="C196" s="123" t="s">
        <v>7596</v>
      </c>
      <c r="E196" s="123" t="s">
        <v>7798</v>
      </c>
    </row>
    <row r="197" spans="1:5">
      <c r="A197" s="132" t="s">
        <v>255</v>
      </c>
      <c r="B197" s="123" t="s">
        <v>7597</v>
      </c>
      <c r="C197" s="123" t="s">
        <v>7597</v>
      </c>
      <c r="E197" s="123" t="s">
        <v>7799</v>
      </c>
    </row>
    <row r="198" spans="1:5">
      <c r="A198" s="132" t="s">
        <v>255</v>
      </c>
      <c r="B198" s="123" t="s">
        <v>7598</v>
      </c>
      <c r="C198" s="123" t="s">
        <v>7598</v>
      </c>
      <c r="E198" s="123" t="s">
        <v>7800</v>
      </c>
    </row>
    <row r="199" spans="1:5">
      <c r="A199" s="132" t="s">
        <v>255</v>
      </c>
      <c r="B199" s="123" t="s">
        <v>7868</v>
      </c>
      <c r="C199" s="123" t="s">
        <v>7846</v>
      </c>
      <c r="E199" s="123" t="s">
        <v>7801</v>
      </c>
    </row>
    <row r="200" spans="1:5">
      <c r="A200" s="132" t="s">
        <v>255</v>
      </c>
      <c r="B200" s="123" t="s">
        <v>7869</v>
      </c>
      <c r="C200" s="123" t="s">
        <v>7847</v>
      </c>
      <c r="E200" s="123" t="s">
        <v>7802</v>
      </c>
    </row>
    <row r="201" spans="1:5">
      <c r="A201" s="132" t="s">
        <v>255</v>
      </c>
      <c r="B201" s="123" t="s">
        <v>7870</v>
      </c>
      <c r="C201" s="123" t="s">
        <v>7848</v>
      </c>
      <c r="E201" s="123" t="s">
        <v>7803</v>
      </c>
    </row>
    <row r="202" spans="1:5">
      <c r="A202" s="132" t="s">
        <v>255</v>
      </c>
      <c r="B202" s="123" t="s">
        <v>7871</v>
      </c>
      <c r="C202" s="123" t="s">
        <v>7849</v>
      </c>
      <c r="E202" s="123" t="s">
        <v>7804</v>
      </c>
    </row>
    <row r="203" spans="1:5">
      <c r="A203" s="132" t="s">
        <v>255</v>
      </c>
      <c r="B203" s="123" t="s">
        <v>7599</v>
      </c>
      <c r="C203" s="123" t="s">
        <v>7599</v>
      </c>
      <c r="E203" s="123" t="s">
        <v>7805</v>
      </c>
    </row>
    <row r="204" spans="1:5">
      <c r="A204" s="132" t="s">
        <v>255</v>
      </c>
      <c r="B204" s="123" t="s">
        <v>7600</v>
      </c>
      <c r="C204" s="123" t="s">
        <v>7600</v>
      </c>
      <c r="E204" s="123" t="s">
        <v>7806</v>
      </c>
    </row>
    <row r="205" spans="1:5">
      <c r="A205" s="132" t="s">
        <v>255</v>
      </c>
      <c r="B205" s="123" t="s">
        <v>7601</v>
      </c>
      <c r="C205" s="123" t="s">
        <v>7601</v>
      </c>
      <c r="E205" s="123" t="s">
        <v>7807</v>
      </c>
    </row>
    <row r="206" spans="1:5">
      <c r="A206" s="132" t="s">
        <v>255</v>
      </c>
      <c r="B206" s="123" t="s">
        <v>7602</v>
      </c>
      <c r="C206" s="123" t="s">
        <v>7602</v>
      </c>
      <c r="E206" s="123" t="s">
        <v>7808</v>
      </c>
    </row>
    <row r="207" spans="1:5">
      <c r="A207" s="132" t="s">
        <v>255</v>
      </c>
      <c r="B207" s="123" t="s">
        <v>7603</v>
      </c>
      <c r="C207" s="123" t="s">
        <v>7603</v>
      </c>
      <c r="E207" s="123" t="s">
        <v>7809</v>
      </c>
    </row>
    <row r="208" spans="1:5">
      <c r="A208" s="132" t="s">
        <v>255</v>
      </c>
      <c r="B208" s="123" t="s">
        <v>7850</v>
      </c>
      <c r="C208" s="123" t="s">
        <v>7850</v>
      </c>
      <c r="E208" s="123" t="s">
        <v>7885</v>
      </c>
    </row>
    <row r="209" spans="1:5">
      <c r="A209" s="132" t="s">
        <v>255</v>
      </c>
      <c r="B209" s="123" t="s">
        <v>8168</v>
      </c>
      <c r="C209" s="123" t="s">
        <v>8168</v>
      </c>
      <c r="E209" s="123" t="s">
        <v>7886</v>
      </c>
    </row>
    <row r="210" spans="1:5">
      <c r="E210" s="125"/>
    </row>
    <row r="211" spans="1:5">
      <c r="E211" s="125"/>
    </row>
    <row r="212" spans="1:5">
      <c r="E212" s="125"/>
    </row>
    <row r="213" spans="1:5">
      <c r="E213" s="125"/>
    </row>
  </sheetData>
  <sheetProtection selectLockedCells="1" selectUnlockedCells="1"/>
  <mergeCells count="1">
    <mergeCell ref="F2:H3"/>
  </mergeCells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D3"/>
  <sheetViews>
    <sheetView zoomScale="95" zoomScaleNormal="95" workbookViewId="0">
      <selection activeCell="A4" sqref="A4:B4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269</v>
      </c>
      <c r="B2" s="112" t="s">
        <v>269</v>
      </c>
    </row>
    <row r="3" spans="1:4">
      <c r="A3" s="134" t="s">
        <v>270</v>
      </c>
      <c r="B3" s="135" t="s">
        <v>271</v>
      </c>
      <c r="D3" s="112" t="s">
        <v>269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J6"/>
  <sheetViews>
    <sheetView zoomScale="89" zoomScaleNormal="89" workbookViewId="0">
      <selection sqref="A1:E3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30.28515625" style="112" bestFit="1" customWidth="1"/>
    <col min="5" max="5" width="30.85546875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E1" s="154" t="s">
        <v>8712</v>
      </c>
      <c r="G1" s="189"/>
      <c r="H1" s="189"/>
      <c r="I1" s="176"/>
      <c r="J1" s="189"/>
    </row>
    <row r="2" spans="1:10" ht="15">
      <c r="A2" s="125" t="s">
        <v>264</v>
      </c>
      <c r="B2" s="125" t="s">
        <v>265</v>
      </c>
      <c r="C2" s="125" t="s">
        <v>266</v>
      </c>
      <c r="D2" s="280" t="s">
        <v>8410</v>
      </c>
      <c r="E2" t="s">
        <v>8713</v>
      </c>
      <c r="J2" s="190"/>
    </row>
    <row r="3" spans="1:10">
      <c r="A3" s="123" t="s">
        <v>264</v>
      </c>
      <c r="B3" s="123" t="s">
        <v>267</v>
      </c>
      <c r="C3" s="123" t="s">
        <v>268</v>
      </c>
      <c r="D3" s="112" t="s">
        <v>8411</v>
      </c>
      <c r="E3" t="s">
        <v>8714</v>
      </c>
      <c r="J3" s="190"/>
    </row>
    <row r="4" spans="1:10">
      <c r="J4" s="190"/>
    </row>
    <row r="5" spans="1:10">
      <c r="G5" s="140"/>
      <c r="H5" s="140"/>
      <c r="J5" s="190"/>
    </row>
    <row r="6" spans="1:10">
      <c r="G6" s="189"/>
      <c r="H6" s="189"/>
      <c r="I6" s="176"/>
      <c r="J6" s="18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CP1062"/>
  <sheetViews>
    <sheetView tabSelected="1" zoomScale="98" zoomScaleNormal="98" workbookViewId="0">
      <pane xSplit="13" ySplit="1" topLeftCell="N2" activePane="bottomRight" state="frozen"/>
      <selection activeCell="G36" sqref="G36"/>
      <selection pane="topRight" activeCell="G36" sqref="G36"/>
      <selection pane="bottomLeft" activeCell="G36" sqref="G36"/>
      <selection pane="bottomRight" activeCell="J12" sqref="J12"/>
    </sheetView>
  </sheetViews>
  <sheetFormatPr baseColWidth="10" defaultColWidth="11.28515625" defaultRowHeight="15"/>
  <cols>
    <col min="1" max="1" width="11.28515625" style="258"/>
    <col min="2" max="2" width="17.28515625" style="235" customWidth="1"/>
    <col min="3" max="3" width="14.42578125" style="293" bestFit="1" customWidth="1"/>
    <col min="4" max="4" width="24.85546875" style="293" bestFit="1" customWidth="1"/>
    <col min="5" max="5" width="19.140625" style="293" bestFit="1" customWidth="1"/>
    <col min="6" max="6" width="27.42578125" style="293" bestFit="1" customWidth="1"/>
    <col min="7" max="7" width="27.42578125" style="293" customWidth="1"/>
    <col min="8" max="8" width="12.85546875" style="151" bestFit="1" customWidth="1"/>
    <col min="9" max="9" width="10" bestFit="1" customWidth="1"/>
    <col min="10" max="10" width="13.85546875" style="235" bestFit="1" customWidth="1"/>
    <col min="11" max="11" width="5" style="294" customWidth="1"/>
    <col min="12" max="12" width="8.42578125" style="294" bestFit="1" customWidth="1"/>
    <col min="13" max="13" width="4.85546875" style="294" bestFit="1" customWidth="1"/>
    <col min="14" max="14" width="19.7109375" style="235" bestFit="1" customWidth="1"/>
    <col min="15" max="15" width="19.140625" style="174" bestFit="1" customWidth="1"/>
    <col min="16" max="16" width="23.28515625" style="136" bestFit="1" customWidth="1"/>
    <col min="17" max="17" width="22.7109375" style="136" bestFit="1" customWidth="1"/>
    <col min="18" max="18" width="10.7109375" style="136" bestFit="1" customWidth="1"/>
    <col min="19" max="19" width="10" style="153" bestFit="1" customWidth="1"/>
    <col min="20" max="20" width="12" style="153" bestFit="1" customWidth="1"/>
    <col min="21" max="21" width="11.42578125" style="153" bestFit="1" customWidth="1"/>
    <col min="22" max="22" width="11.7109375" style="153" bestFit="1" customWidth="1"/>
    <col min="23" max="23" width="11.140625" style="153" bestFit="1" customWidth="1"/>
    <col min="24" max="24" width="19.28515625" style="136" bestFit="1" customWidth="1"/>
    <col min="25" max="25" width="18.5703125" style="136" bestFit="1" customWidth="1"/>
    <col min="26" max="26" width="18.28515625" style="153" customWidth="1"/>
    <col min="27" max="27" width="17.7109375" style="153" customWidth="1"/>
    <col min="28" max="28" width="12.140625" style="136" bestFit="1" customWidth="1"/>
    <col min="29" max="29" width="11.5703125" style="136" bestFit="1" customWidth="1"/>
    <col min="30" max="30" width="11.5703125" style="153" bestFit="1" customWidth="1"/>
    <col min="31" max="31" width="11" style="153" bestFit="1" customWidth="1"/>
    <col min="32" max="32" width="11.5703125" style="136" bestFit="1" customWidth="1"/>
    <col min="33" max="33" width="10.5703125" style="136" bestFit="1" customWidth="1"/>
    <col min="34" max="34" width="17.5703125" style="153" bestFit="1" customWidth="1"/>
    <col min="35" max="35" width="16.85546875" style="153" bestFit="1" customWidth="1"/>
    <col min="36" max="36" width="13.28515625" style="136" bestFit="1" customWidth="1"/>
    <col min="37" max="37" width="12.5703125" style="136" bestFit="1" customWidth="1"/>
    <col min="38" max="38" width="19.42578125" style="153" bestFit="1" customWidth="1"/>
    <col min="39" max="39" width="18.85546875" style="153" bestFit="1" customWidth="1"/>
    <col min="40" max="40" width="21.140625" style="241" bestFit="1" customWidth="1"/>
    <col min="41" max="41" width="20.5703125" style="136" bestFit="1" customWidth="1"/>
    <col min="42" max="42" width="21" style="136" bestFit="1" customWidth="1"/>
    <col min="43" max="43" width="20.42578125" style="136" customWidth="1"/>
    <col min="44" max="44" width="26.85546875" style="136" customWidth="1"/>
    <col min="45" max="45" width="26.140625" style="136" customWidth="1"/>
    <col min="46" max="46" width="21.28515625" style="153" customWidth="1"/>
    <col min="47" max="47" width="20.7109375" style="153" customWidth="1"/>
    <col min="48" max="48" width="21.28515625" style="136" customWidth="1"/>
    <col min="49" max="49" width="20.7109375" style="136" customWidth="1"/>
    <col min="50" max="50" width="27.42578125" style="153" customWidth="1"/>
    <col min="51" max="51" width="26.7109375" style="153" customWidth="1"/>
    <col min="52" max="52" width="21.28515625" style="136" customWidth="1"/>
    <col min="53" max="53" width="20.7109375" style="136" customWidth="1"/>
    <col min="54" max="54" width="33.140625" style="153" customWidth="1"/>
    <col min="55" max="55" width="32.42578125" style="153" customWidth="1"/>
    <col min="56" max="56" width="16.140625" style="153" customWidth="1"/>
    <col min="57" max="57" width="15.42578125" style="153" customWidth="1"/>
    <col min="58" max="58" width="16.140625" style="153" customWidth="1"/>
    <col min="59" max="59" width="15.42578125" style="153" bestFit="1" customWidth="1"/>
    <col min="60" max="60" width="17.7109375" style="153" hidden="1" customWidth="1"/>
    <col min="61" max="61" width="16.5703125" style="153" hidden="1" customWidth="1"/>
    <col min="62" max="62" width="17.28515625" style="153" hidden="1" customWidth="1"/>
    <col min="63" max="63" width="16.5703125" style="153" hidden="1" customWidth="1"/>
    <col min="64" max="64" width="14.5703125" style="136" bestFit="1" customWidth="1"/>
    <col min="65" max="65" width="14" style="136" bestFit="1" customWidth="1"/>
    <col min="66" max="66" width="17.5703125" style="153" hidden="1" customWidth="1"/>
    <col min="67" max="67" width="16.85546875" style="153" hidden="1" customWidth="1"/>
    <col min="68" max="68" width="19" style="136" bestFit="1" customWidth="1"/>
    <col min="69" max="69" width="18.28515625" style="136" bestFit="1" customWidth="1"/>
    <col min="70" max="70" width="10.42578125" style="153" bestFit="1" customWidth="1"/>
    <col min="71" max="71" width="9.7109375" style="153" bestFit="1" customWidth="1"/>
    <col min="72" max="72" width="10.85546875" style="136" bestFit="1" customWidth="1"/>
    <col min="73" max="73" width="10.28515625" style="136" bestFit="1" customWidth="1"/>
    <col min="74" max="74" width="12.7109375" style="136" bestFit="1" customWidth="1"/>
    <col min="75" max="75" width="12.140625" style="136" bestFit="1" customWidth="1"/>
    <col min="76" max="76" width="24" style="136" bestFit="1" customWidth="1"/>
    <col min="77" max="77" width="23.42578125" style="136" bestFit="1" customWidth="1"/>
    <col min="78" max="78" width="17.140625" style="136" bestFit="1" customWidth="1"/>
    <col min="79" max="79" width="16.42578125" style="136" bestFit="1" customWidth="1"/>
    <col min="80" max="80" width="25" style="292" customWidth="1"/>
    <col min="81" max="81" width="24.28515625" style="136" customWidth="1"/>
    <col min="82" max="82" width="23.28515625" style="136" bestFit="1" customWidth="1"/>
    <col min="83" max="83" width="22.7109375" style="136" bestFit="1" customWidth="1"/>
    <col min="84" max="84" width="20.5703125" style="136" customWidth="1"/>
    <col min="85" max="85" width="20" style="136" customWidth="1"/>
    <col min="86" max="87" width="9.5703125" style="136" bestFit="1" customWidth="1"/>
    <col min="88" max="88" width="9" style="136" bestFit="1" customWidth="1"/>
    <col min="89" max="89" width="12.140625" style="136" bestFit="1" customWidth="1"/>
    <col min="90" max="90" width="17.7109375" style="136" bestFit="1" customWidth="1"/>
    <col min="91" max="91" width="17.140625" style="136" bestFit="1" customWidth="1"/>
    <col min="92" max="92" width="19.140625" style="137" bestFit="1" customWidth="1"/>
    <col min="93" max="93" width="13.28515625" style="137" bestFit="1" customWidth="1"/>
    <col min="94" max="94" width="13.42578125" style="137" bestFit="1" customWidth="1"/>
    <col min="95" max="16384" width="11.28515625" style="137"/>
  </cols>
  <sheetData>
    <row r="1" spans="1:94" s="139" customFormat="1" ht="16.5" thickTop="1" thickBot="1">
      <c r="A1" s="257" t="s">
        <v>8376</v>
      </c>
      <c r="B1" s="235" t="s">
        <v>8375</v>
      </c>
      <c r="C1" s="154" t="s">
        <v>150</v>
      </c>
      <c r="D1" s="154" t="s">
        <v>8414</v>
      </c>
      <c r="E1" s="154" t="s">
        <v>8632</v>
      </c>
      <c r="F1" s="154" t="s">
        <v>8631</v>
      </c>
      <c r="G1" s="154" t="s">
        <v>8633</v>
      </c>
      <c r="H1" s="310" t="s">
        <v>171</v>
      </c>
      <c r="I1" s="115" t="s">
        <v>187</v>
      </c>
      <c r="J1" s="115" t="s">
        <v>8393</v>
      </c>
      <c r="K1" s="113" t="s">
        <v>21</v>
      </c>
      <c r="L1" s="113" t="s">
        <v>8413</v>
      </c>
      <c r="M1" s="113" t="s">
        <v>22</v>
      </c>
      <c r="N1" s="138" t="s">
        <v>8034</v>
      </c>
      <c r="O1" s="138" t="s">
        <v>8035</v>
      </c>
      <c r="P1" s="138" t="s">
        <v>8036</v>
      </c>
      <c r="Q1" s="138" t="s">
        <v>8037</v>
      </c>
      <c r="R1" s="138" t="s">
        <v>8038</v>
      </c>
      <c r="S1" s="138" t="s">
        <v>8039</v>
      </c>
      <c r="T1" s="138" t="s">
        <v>8040</v>
      </c>
      <c r="U1" s="138" t="s">
        <v>8041</v>
      </c>
      <c r="V1" s="273" t="s">
        <v>281</v>
      </c>
      <c r="W1" s="138" t="s">
        <v>282</v>
      </c>
      <c r="X1" s="138" t="s">
        <v>8042</v>
      </c>
      <c r="Y1" s="138" t="s">
        <v>8043</v>
      </c>
      <c r="Z1" s="138" t="s">
        <v>8044</v>
      </c>
      <c r="AA1" s="138" t="s">
        <v>8045</v>
      </c>
      <c r="AB1" s="273" t="s">
        <v>279</v>
      </c>
      <c r="AC1" s="138" t="s">
        <v>280</v>
      </c>
      <c r="AD1" s="273" t="s">
        <v>275</v>
      </c>
      <c r="AE1" s="138" t="s">
        <v>276</v>
      </c>
      <c r="AF1" s="273" t="s">
        <v>272</v>
      </c>
      <c r="AG1" s="138" t="s">
        <v>8046</v>
      </c>
      <c r="AH1" s="273" t="s">
        <v>8047</v>
      </c>
      <c r="AI1" s="138" t="s">
        <v>8048</v>
      </c>
      <c r="AJ1" s="138" t="s">
        <v>273</v>
      </c>
      <c r="AK1" s="138" t="s">
        <v>274</v>
      </c>
      <c r="AL1" s="138" t="s">
        <v>8049</v>
      </c>
      <c r="AM1" s="138" t="s">
        <v>8050</v>
      </c>
      <c r="AN1" s="138" t="s">
        <v>8368</v>
      </c>
      <c r="AO1" s="138" t="s">
        <v>8369</v>
      </c>
      <c r="AP1" s="138" t="s">
        <v>8051</v>
      </c>
      <c r="AQ1" s="138" t="s">
        <v>8052</v>
      </c>
      <c r="AR1" s="138" t="s">
        <v>8053</v>
      </c>
      <c r="AS1" s="138" t="s">
        <v>8054</v>
      </c>
      <c r="AT1" s="138" t="s">
        <v>8055</v>
      </c>
      <c r="AU1" s="138" t="s">
        <v>8056</v>
      </c>
      <c r="AV1" s="138" t="s">
        <v>8057</v>
      </c>
      <c r="AW1" s="138" t="s">
        <v>8058</v>
      </c>
      <c r="AX1" s="138" t="s">
        <v>8059</v>
      </c>
      <c r="AY1" s="138" t="s">
        <v>8060</v>
      </c>
      <c r="AZ1" s="138" t="s">
        <v>8062</v>
      </c>
      <c r="BA1" s="138" t="s">
        <v>8061</v>
      </c>
      <c r="BB1" s="138" t="s">
        <v>8063</v>
      </c>
      <c r="BC1" s="138" t="s">
        <v>8064</v>
      </c>
      <c r="BD1" s="138" t="s">
        <v>8065</v>
      </c>
      <c r="BE1" s="138" t="s">
        <v>8066</v>
      </c>
      <c r="BF1" s="138" t="s">
        <v>8067</v>
      </c>
      <c r="BG1" s="138" t="s">
        <v>8068</v>
      </c>
      <c r="BH1" s="138" t="s">
        <v>8069</v>
      </c>
      <c r="BI1" s="138" t="s">
        <v>8070</v>
      </c>
      <c r="BJ1" s="138" t="s">
        <v>8071</v>
      </c>
      <c r="BK1" s="138" t="s">
        <v>8072</v>
      </c>
      <c r="BL1" s="138" t="s">
        <v>8073</v>
      </c>
      <c r="BM1" s="138" t="s">
        <v>8074</v>
      </c>
      <c r="BN1" s="138" t="s">
        <v>8075</v>
      </c>
      <c r="BO1" s="138" t="s">
        <v>8076</v>
      </c>
      <c r="BP1" s="138" t="s">
        <v>8077</v>
      </c>
      <c r="BQ1" s="138" t="s">
        <v>8078</v>
      </c>
      <c r="BR1" s="138" t="s">
        <v>277</v>
      </c>
      <c r="BS1" s="138" t="s">
        <v>278</v>
      </c>
      <c r="BT1" s="138" t="s">
        <v>8079</v>
      </c>
      <c r="BU1" s="138" t="s">
        <v>8080</v>
      </c>
      <c r="BV1" s="138" t="s">
        <v>8081</v>
      </c>
      <c r="BW1" s="138" t="s">
        <v>8082</v>
      </c>
      <c r="BX1" s="138" t="s">
        <v>8083</v>
      </c>
      <c r="BY1" s="138" t="s">
        <v>8084</v>
      </c>
      <c r="BZ1" s="138" t="s">
        <v>8085</v>
      </c>
      <c r="CA1" s="138" t="s">
        <v>8086</v>
      </c>
      <c r="CB1" s="265" t="s">
        <v>8087</v>
      </c>
      <c r="CC1" s="138" t="s">
        <v>8088</v>
      </c>
      <c r="CD1" s="138" t="s">
        <v>8089</v>
      </c>
      <c r="CE1" s="138" t="s">
        <v>8090</v>
      </c>
      <c r="CF1" s="138" t="s">
        <v>8091</v>
      </c>
      <c r="CG1" s="138" t="s">
        <v>8092</v>
      </c>
      <c r="CH1" s="138" t="s">
        <v>8404</v>
      </c>
      <c r="CI1" s="138" t="s">
        <v>8020</v>
      </c>
      <c r="CJ1" s="138" t="s">
        <v>7853</v>
      </c>
      <c r="CK1" s="138" t="s">
        <v>8025</v>
      </c>
      <c r="CL1" s="138" t="s">
        <v>8093</v>
      </c>
      <c r="CM1" s="138" t="s">
        <v>8094</v>
      </c>
      <c r="CN1" s="138" t="s">
        <v>8407</v>
      </c>
      <c r="CO1" s="138" t="s">
        <v>8408</v>
      </c>
      <c r="CP1" s="138" t="s">
        <v>8409</v>
      </c>
    </row>
    <row r="2" spans="1:94">
      <c r="A2" s="258">
        <v>1</v>
      </c>
      <c r="B2" s="235">
        <v>1</v>
      </c>
      <c r="C2" s="346" t="s">
        <v>7576</v>
      </c>
      <c r="D2" s="235"/>
      <c r="E2" s="235"/>
      <c r="F2" s="235"/>
      <c r="G2" s="235"/>
      <c r="H2" s="235" t="s">
        <v>265</v>
      </c>
      <c r="I2" s="235">
        <v>1</v>
      </c>
      <c r="K2" s="235">
        <v>1</v>
      </c>
      <c r="L2" s="235">
        <f>K2</f>
        <v>1</v>
      </c>
      <c r="M2" s="235">
        <v>1</v>
      </c>
      <c r="O2" s="248">
        <v>42048</v>
      </c>
      <c r="P2"/>
      <c r="Q2" s="219"/>
      <c r="R2"/>
      <c r="S2"/>
      <c r="T2"/>
      <c r="V2" s="219"/>
      <c r="W2" s="219"/>
      <c r="X2">
        <v>15.55</v>
      </c>
      <c r="Y2"/>
      <c r="Z2"/>
      <c r="AA2"/>
      <c r="AB2" s="220"/>
      <c r="AC2" s="219"/>
      <c r="AD2" s="221"/>
      <c r="AE2" s="219"/>
      <c r="AF2" s="220"/>
      <c r="AG2" s="219"/>
      <c r="AH2" s="220"/>
      <c r="AI2" s="219"/>
      <c r="AJ2" s="286"/>
      <c r="AK2" s="284"/>
      <c r="AL2"/>
      <c r="AM2"/>
      <c r="AN2" s="241">
        <v>70</v>
      </c>
      <c r="AO2" s="242">
        <v>42074</v>
      </c>
      <c r="AP2" s="241">
        <v>104</v>
      </c>
      <c r="AQ2" s="242">
        <v>42108</v>
      </c>
      <c r="AR2"/>
      <c r="AS2" s="297"/>
      <c r="AT2"/>
      <c r="AU2"/>
      <c r="AV2"/>
      <c r="AW2"/>
      <c r="AX2"/>
      <c r="AY2"/>
      <c r="AZ2"/>
      <c r="BA2"/>
      <c r="BB2"/>
      <c r="BC2"/>
      <c r="BD2"/>
      <c r="BE2"/>
      <c r="BF2" s="277"/>
      <c r="BG2"/>
      <c r="BH2"/>
      <c r="BI2"/>
      <c r="BJ2"/>
      <c r="BK2"/>
      <c r="BL2" s="277"/>
      <c r="BM2" s="235"/>
      <c r="BN2"/>
      <c r="BO2"/>
      <c r="BP2" s="277"/>
      <c r="BQ2" s="235"/>
      <c r="BR2" s="277"/>
      <c r="BS2" s="235"/>
      <c r="BT2" s="277"/>
      <c r="BU2" s="235"/>
      <c r="BV2" s="277"/>
      <c r="BW2" s="235"/>
      <c r="BX2" s="277"/>
      <c r="BY2" s="235"/>
      <c r="BZ2"/>
      <c r="CB2" s="266"/>
      <c r="CC2"/>
      <c r="CD2" s="277"/>
      <c r="CE2" s="291"/>
      <c r="CF2"/>
      <c r="CG2"/>
      <c r="CH2"/>
      <c r="CI2"/>
      <c r="CK2"/>
      <c r="CL2">
        <v>3</v>
      </c>
      <c r="CM2" s="259">
        <v>42161</v>
      </c>
      <c r="CN2" s="345" t="s">
        <v>8634</v>
      </c>
    </row>
    <row r="3" spans="1:94">
      <c r="A3" s="258">
        <v>2</v>
      </c>
      <c r="B3" s="235">
        <v>2</v>
      </c>
      <c r="C3" s="346" t="s">
        <v>7749</v>
      </c>
      <c r="D3" s="235" t="s">
        <v>7888</v>
      </c>
      <c r="E3" s="235" t="s">
        <v>7749</v>
      </c>
      <c r="F3" s="235" t="s">
        <v>8558</v>
      </c>
      <c r="G3" s="235" t="str">
        <f>IF(MID(C3,1,3)="BGA","Complement","Rapsodyn")</f>
        <v>Rapsodyn</v>
      </c>
      <c r="H3" s="235" t="s">
        <v>265</v>
      </c>
      <c r="I3" s="235">
        <v>1</v>
      </c>
      <c r="J3" s="235">
        <v>9381</v>
      </c>
      <c r="K3" s="235">
        <v>2</v>
      </c>
      <c r="L3" s="235">
        <f t="shared" ref="L3:L34" si="0">K3</f>
        <v>2</v>
      </c>
      <c r="M3" s="235">
        <v>1</v>
      </c>
      <c r="N3" s="235">
        <v>7</v>
      </c>
      <c r="O3" s="248">
        <v>42048</v>
      </c>
      <c r="P3" s="223">
        <v>2.5499999999999998</v>
      </c>
      <c r="Q3" s="264">
        <v>42204</v>
      </c>
      <c r="R3" s="223"/>
      <c r="S3" s="223"/>
      <c r="T3" s="223"/>
      <c r="U3" s="225"/>
      <c r="V3" s="219">
        <f>+BR3*AF3/100</f>
        <v>7.2763019441784698</v>
      </c>
      <c r="W3" s="224"/>
      <c r="X3">
        <v>15.55</v>
      </c>
      <c r="Y3" s="223"/>
      <c r="Z3" s="223"/>
      <c r="AA3" s="223"/>
      <c r="AB3" s="220">
        <f>+AF3*BT3/100</f>
        <v>3.1886407638969074</v>
      </c>
      <c r="AC3" s="224"/>
      <c r="AD3" s="221">
        <f>+(AF3/AJ3)*10000</f>
        <v>39913.27067204682</v>
      </c>
      <c r="AE3" s="224"/>
      <c r="AF3" s="220">
        <f>($P3/$X3)*(((100-$CD3)/100*(100-2)/100))*100</f>
        <v>15.486349020754165</v>
      </c>
      <c r="AG3" s="224"/>
      <c r="AH3" s="220">
        <f>($P3/$X3)*(((100-$CD3)/(100-9)*(100-2)/(100-2))*100)</f>
        <v>17.365271384563982</v>
      </c>
      <c r="AI3" s="224"/>
      <c r="AJ3">
        <v>3.88</v>
      </c>
      <c r="AK3" s="290" t="s">
        <v>8398</v>
      </c>
      <c r="AL3" s="223">
        <v>155</v>
      </c>
      <c r="AM3" s="223"/>
      <c r="AN3" s="241">
        <v>72</v>
      </c>
      <c r="AO3" s="242">
        <v>42076</v>
      </c>
      <c r="AP3" s="255">
        <v>110</v>
      </c>
      <c r="AQ3" s="242">
        <v>42114</v>
      </c>
      <c r="AR3" s="223">
        <v>133</v>
      </c>
      <c r="AS3" s="297">
        <f>IF(AR3=0,,AR3)</f>
        <v>133</v>
      </c>
      <c r="AT3" s="290">
        <v>42137</v>
      </c>
      <c r="AU3" s="298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81">
        <v>34.039295196533203</v>
      </c>
      <c r="BG3" s="283">
        <v>42230</v>
      </c>
      <c r="BH3" s="223"/>
      <c r="BI3" s="223"/>
      <c r="BJ3" s="223"/>
      <c r="BK3" s="223"/>
      <c r="BL3" s="281">
        <v>59.334339141845703</v>
      </c>
      <c r="BM3" s="283">
        <v>42230</v>
      </c>
      <c r="BN3" s="223"/>
      <c r="BO3" s="223"/>
      <c r="BP3" s="281">
        <v>3.5366349220275879</v>
      </c>
      <c r="BQ3" s="283">
        <v>42230</v>
      </c>
      <c r="BR3" s="281">
        <v>46.985263824462891</v>
      </c>
      <c r="BS3" s="283">
        <v>42230</v>
      </c>
      <c r="BT3" s="281">
        <v>20.590009689331055</v>
      </c>
      <c r="BU3" s="283">
        <v>42230</v>
      </c>
      <c r="BV3" s="281">
        <v>67.81890869140625</v>
      </c>
      <c r="BW3" s="283">
        <v>42230</v>
      </c>
      <c r="BX3" s="281">
        <v>5.9639663696289062</v>
      </c>
      <c r="BY3" s="283">
        <v>42230</v>
      </c>
      <c r="BZ3" s="223"/>
      <c r="CA3" s="226"/>
      <c r="CB3" s="266">
        <v>2.0299999999999998</v>
      </c>
      <c r="CC3" s="223"/>
      <c r="CD3" s="281">
        <v>3.6363636363636398</v>
      </c>
      <c r="CE3" s="291" t="s">
        <v>8398</v>
      </c>
      <c r="CF3" s="223"/>
      <c r="CG3" s="223"/>
      <c r="CH3" s="223">
        <v>6</v>
      </c>
      <c r="CI3" s="223">
        <v>8</v>
      </c>
      <c r="CK3" s="223"/>
      <c r="CL3" s="223">
        <v>5</v>
      </c>
      <c r="CM3" s="259">
        <v>42161</v>
      </c>
      <c r="CN3" s="345" t="s">
        <v>8634</v>
      </c>
      <c r="CO3" s="137" t="s">
        <v>8405</v>
      </c>
    </row>
    <row r="4" spans="1:94">
      <c r="A4" s="258">
        <v>3</v>
      </c>
      <c r="B4" s="235">
        <v>3</v>
      </c>
      <c r="C4" s="235" t="s">
        <v>7740</v>
      </c>
      <c r="D4" s="235" t="s">
        <v>8415</v>
      </c>
      <c r="E4" s="235" t="s">
        <v>7740</v>
      </c>
      <c r="F4" s="235" t="s">
        <v>8498</v>
      </c>
      <c r="G4" s="235" t="str">
        <f>IF(MID(C4,1,3)="BGA","Complement","Rapsodyn")</f>
        <v>Rapsodyn</v>
      </c>
      <c r="H4" s="235" t="s">
        <v>265</v>
      </c>
      <c r="I4" s="235">
        <v>1</v>
      </c>
      <c r="J4" s="235">
        <v>9375</v>
      </c>
      <c r="K4" s="235">
        <v>3</v>
      </c>
      <c r="L4" s="235">
        <f t="shared" si="0"/>
        <v>3</v>
      </c>
      <c r="M4" s="235">
        <v>1</v>
      </c>
      <c r="N4" s="235">
        <v>7</v>
      </c>
      <c r="O4" s="248">
        <v>42048</v>
      </c>
      <c r="P4">
        <v>2.6</v>
      </c>
      <c r="Q4" s="264">
        <v>42204</v>
      </c>
      <c r="R4"/>
      <c r="S4"/>
      <c r="T4"/>
      <c r="V4" s="219">
        <f>+BR4*AF4/100</f>
        <v>7.8041783768641002</v>
      </c>
      <c r="W4" s="219"/>
      <c r="X4">
        <v>15.55</v>
      </c>
      <c r="Y4"/>
      <c r="Z4"/>
      <c r="AA4"/>
      <c r="AB4" s="220">
        <f>+AF4*BT4/100</f>
        <v>3.3430106998343967</v>
      </c>
      <c r="AC4" s="219"/>
      <c r="AD4" s="221">
        <f>+(AF4/AJ4)*10000</f>
        <v>26843.650104303113</v>
      </c>
      <c r="AE4" s="219"/>
      <c r="AF4" s="220">
        <f>($P4/$X4)*(((100-$CD4)/100*(100-2)/100))*100</f>
        <v>15.810909911434534</v>
      </c>
      <c r="AG4" s="219"/>
      <c r="AH4" s="220">
        <f>($P4/$X4)*(((100-$CD4)/(100-9)*(100-2)/(100-2))*100)</f>
        <v>17.729210486022129</v>
      </c>
      <c r="AI4" s="219"/>
      <c r="AJ4">
        <v>5.89</v>
      </c>
      <c r="AK4" s="284" t="s">
        <v>8398</v>
      </c>
      <c r="AL4">
        <v>140</v>
      </c>
      <c r="AM4"/>
      <c r="AN4" s="241">
        <v>70</v>
      </c>
      <c r="AO4" s="242">
        <v>42074</v>
      </c>
      <c r="AP4" s="255">
        <v>106</v>
      </c>
      <c r="AQ4" s="242">
        <v>42110</v>
      </c>
      <c r="AR4">
        <v>131</v>
      </c>
      <c r="AS4" s="297">
        <f>IF(AR4=0,,AR4)</f>
        <v>131</v>
      </c>
      <c r="AT4" s="290">
        <v>42135</v>
      </c>
      <c r="AU4" s="298"/>
      <c r="AV4"/>
      <c r="AW4"/>
      <c r="AX4"/>
      <c r="AY4"/>
      <c r="AZ4"/>
      <c r="BA4"/>
      <c r="BB4"/>
      <c r="BC4"/>
      <c r="BD4"/>
      <c r="BE4"/>
      <c r="BF4" s="277">
        <v>33.687347412109375</v>
      </c>
      <c r="BG4" s="283">
        <v>42230</v>
      </c>
      <c r="BH4"/>
      <c r="BI4"/>
      <c r="BJ4"/>
      <c r="BK4"/>
      <c r="BL4" s="277">
        <v>57.142318725585938</v>
      </c>
      <c r="BM4" s="283">
        <v>42230</v>
      </c>
      <c r="BN4"/>
      <c r="BO4"/>
      <c r="BP4" s="277">
        <v>3.898123025894165</v>
      </c>
      <c r="BQ4" s="283">
        <v>42230</v>
      </c>
      <c r="BR4" s="277">
        <v>49.359451293945313</v>
      </c>
      <c r="BS4" s="283">
        <v>42230</v>
      </c>
      <c r="BT4" s="277">
        <v>21.143695831298828</v>
      </c>
      <c r="BU4" s="283">
        <v>42230</v>
      </c>
      <c r="BV4" s="277">
        <v>87.003211975097656</v>
      </c>
      <c r="BW4" s="283">
        <v>42230</v>
      </c>
      <c r="BX4" s="277">
        <v>5.4957351684570313</v>
      </c>
      <c r="BY4" s="283">
        <v>42230</v>
      </c>
      <c r="BZ4"/>
      <c r="CB4" s="266">
        <v>1.93</v>
      </c>
      <c r="CC4"/>
      <c r="CD4" s="277">
        <v>3.5087719298245648</v>
      </c>
      <c r="CE4" s="291" t="s">
        <v>8398</v>
      </c>
      <c r="CF4"/>
      <c r="CG4"/>
      <c r="CH4">
        <v>3</v>
      </c>
      <c r="CI4">
        <v>5</v>
      </c>
      <c r="CK4"/>
      <c r="CL4">
        <v>8</v>
      </c>
      <c r="CM4" s="259">
        <v>42161</v>
      </c>
      <c r="CN4" s="137" t="s">
        <v>8391</v>
      </c>
    </row>
    <row r="5" spans="1:94">
      <c r="A5" s="258">
        <v>4</v>
      </c>
      <c r="B5" s="235">
        <v>4</v>
      </c>
      <c r="C5" s="346" t="s">
        <v>7750</v>
      </c>
      <c r="D5" s="235" t="s">
        <v>7872</v>
      </c>
      <c r="E5" s="235" t="s">
        <v>7750</v>
      </c>
      <c r="F5" s="235" t="s">
        <v>8559</v>
      </c>
      <c r="G5" s="235" t="str">
        <f>IF(MID(C5,1,3)="BGA","Complement","Rapsodyn")</f>
        <v>Rapsodyn</v>
      </c>
      <c r="H5" s="235" t="s">
        <v>265</v>
      </c>
      <c r="I5" s="235">
        <v>1</v>
      </c>
      <c r="J5" s="235">
        <v>9382</v>
      </c>
      <c r="K5" s="235">
        <v>4</v>
      </c>
      <c r="L5" s="235">
        <f t="shared" si="0"/>
        <v>4</v>
      </c>
      <c r="M5" s="235">
        <v>1</v>
      </c>
      <c r="N5" s="235">
        <v>7</v>
      </c>
      <c r="O5" s="248">
        <v>42048</v>
      </c>
      <c r="P5">
        <v>3.15</v>
      </c>
      <c r="Q5" s="264">
        <v>42204</v>
      </c>
      <c r="R5"/>
      <c r="S5"/>
      <c r="T5"/>
      <c r="V5" s="219">
        <f>+BR5*AF5/100</f>
        <v>8.6336881377473613</v>
      </c>
      <c r="W5" s="219"/>
      <c r="X5">
        <v>15.55</v>
      </c>
      <c r="Y5"/>
      <c r="Z5"/>
      <c r="AA5"/>
      <c r="AB5" s="220">
        <f>+AF5*BT5/100</f>
        <v>4.192208671056318</v>
      </c>
      <c r="AC5" s="219"/>
      <c r="AD5" s="221">
        <f>+(AF5/AJ5)*10000</f>
        <v>37312.201436504212</v>
      </c>
      <c r="AE5" s="219"/>
      <c r="AF5" s="220">
        <f>($P5/$X5)*(((100-$CD5)/100*(100-2)/100))*100</f>
        <v>18.842661725434624</v>
      </c>
      <c r="AG5" s="219"/>
      <c r="AH5" s="220">
        <f>($P5/$X5)*(((100-$CD5)/(100-9)*(100-2)/(100-2))*100)</f>
        <v>21.128797628879372</v>
      </c>
      <c r="AI5" s="219"/>
      <c r="AJ5">
        <v>5.05</v>
      </c>
      <c r="AK5" s="284" t="s">
        <v>8399</v>
      </c>
      <c r="AL5">
        <v>165</v>
      </c>
      <c r="AM5"/>
      <c r="AN5" s="241">
        <v>75</v>
      </c>
      <c r="AO5" s="242">
        <v>42079</v>
      </c>
      <c r="AP5" s="255">
        <v>104</v>
      </c>
      <c r="AQ5" s="242">
        <v>42108</v>
      </c>
      <c r="AR5">
        <v>131</v>
      </c>
      <c r="AS5" s="297">
        <f>IF(AR5=0,,AR5)</f>
        <v>131</v>
      </c>
      <c r="AT5" s="290">
        <v>42135</v>
      </c>
      <c r="AU5" s="298"/>
      <c r="AV5"/>
      <c r="AW5"/>
      <c r="AX5"/>
      <c r="AY5"/>
      <c r="AZ5"/>
      <c r="BA5"/>
      <c r="BB5"/>
      <c r="BC5"/>
      <c r="BD5"/>
      <c r="BE5"/>
      <c r="BF5" s="277">
        <v>-4.181243896484375</v>
      </c>
      <c r="BG5" s="283">
        <v>42230</v>
      </c>
      <c r="BH5"/>
      <c r="BI5"/>
      <c r="BJ5"/>
      <c r="BK5"/>
      <c r="BL5" s="277">
        <v>62.453250885009766</v>
      </c>
      <c r="BM5" s="283">
        <v>42230</v>
      </c>
      <c r="BN5"/>
      <c r="BO5"/>
      <c r="BP5" s="277">
        <v>3.3255970478057861</v>
      </c>
      <c r="BQ5" s="283">
        <v>42230</v>
      </c>
      <c r="BR5" s="277">
        <v>45.819896697998047</v>
      </c>
      <c r="BS5" s="283">
        <v>42230</v>
      </c>
      <c r="BT5" s="277">
        <v>22.248495101928711</v>
      </c>
      <c r="BU5" s="283">
        <v>42230</v>
      </c>
      <c r="BV5" s="277">
        <v>74.924942016601563</v>
      </c>
      <c r="BW5" s="283">
        <v>42230</v>
      </c>
      <c r="BX5" s="277">
        <v>5.8581466674804687</v>
      </c>
      <c r="BY5" s="283">
        <v>42230</v>
      </c>
      <c r="BZ5"/>
      <c r="CB5" s="266">
        <v>1.56</v>
      </c>
      <c r="CC5"/>
      <c r="CD5" s="277">
        <v>5.0847457627118757</v>
      </c>
      <c r="CE5" s="291" t="s">
        <v>8399</v>
      </c>
      <c r="CF5"/>
      <c r="CG5"/>
      <c r="CH5">
        <v>2</v>
      </c>
      <c r="CI5">
        <v>2</v>
      </c>
      <c r="CK5"/>
      <c r="CL5">
        <v>6</v>
      </c>
      <c r="CM5" s="259">
        <v>42161</v>
      </c>
      <c r="CN5" s="345" t="s">
        <v>8634</v>
      </c>
    </row>
    <row r="6" spans="1:94">
      <c r="A6" s="258">
        <v>5</v>
      </c>
      <c r="B6" s="235">
        <v>5</v>
      </c>
      <c r="C6" s="347" t="s">
        <v>7633</v>
      </c>
      <c r="D6" s="236" t="s">
        <v>256</v>
      </c>
      <c r="E6" s="236" t="s">
        <v>7633</v>
      </c>
      <c r="F6" s="236" t="s">
        <v>8557</v>
      </c>
      <c r="G6" s="235" t="str">
        <f>IF(MID(C6,1,3)="BGA","Complement","Rapsodyn")</f>
        <v>Rapsodyn</v>
      </c>
      <c r="H6" s="235" t="s">
        <v>265</v>
      </c>
      <c r="I6" s="235">
        <v>1</v>
      </c>
      <c r="J6" s="236">
        <v>9367</v>
      </c>
      <c r="K6" s="236">
        <v>5</v>
      </c>
      <c r="L6" s="235">
        <f t="shared" si="0"/>
        <v>5</v>
      </c>
      <c r="M6" s="236">
        <v>1</v>
      </c>
      <c r="N6" s="236">
        <v>9</v>
      </c>
      <c r="O6" s="248">
        <v>42048</v>
      </c>
      <c r="P6">
        <v>1.4</v>
      </c>
      <c r="Q6" s="264">
        <v>42204</v>
      </c>
      <c r="R6"/>
      <c r="S6"/>
      <c r="T6"/>
      <c r="V6" s="219">
        <f>+BR6*AF6/100</f>
        <v>4.0548719325854377</v>
      </c>
      <c r="W6" s="219"/>
      <c r="X6">
        <v>15.55</v>
      </c>
      <c r="Y6"/>
      <c r="Z6"/>
      <c r="AA6"/>
      <c r="AB6" s="220">
        <f>+AF6*BT6/100</f>
        <v>1.759488782120614</v>
      </c>
      <c r="AC6" s="219"/>
      <c r="AD6" s="221">
        <f>+(AF6/AJ6)*10000</f>
        <v>19991.453530322455</v>
      </c>
      <c r="AE6" s="219"/>
      <c r="AF6" s="220">
        <f>($P6/$X6)*(((100-$CD6)/100*(100-2)/100))*100</f>
        <v>8.4963677503870425</v>
      </c>
      <c r="AG6" s="219"/>
      <c r="AH6" s="220">
        <f>($P6/$X6)*(((100-$CD6)/(100-9)*(100-2)/(100-2))*100)</f>
        <v>9.5272120995593639</v>
      </c>
      <c r="AI6" s="219"/>
      <c r="AJ6">
        <v>4.25</v>
      </c>
      <c r="AK6" s="284" t="s">
        <v>8398</v>
      </c>
      <c r="AL6">
        <v>145</v>
      </c>
      <c r="AM6"/>
      <c r="AN6" s="241">
        <v>61</v>
      </c>
      <c r="AO6" s="243">
        <v>42065</v>
      </c>
      <c r="AP6" s="255">
        <v>97</v>
      </c>
      <c r="AQ6" s="242">
        <v>42101</v>
      </c>
      <c r="AR6">
        <v>123</v>
      </c>
      <c r="AS6" s="297">
        <f>IF(AR6=0,,AR6)</f>
        <v>123</v>
      </c>
      <c r="AT6" s="290">
        <v>42127</v>
      </c>
      <c r="AU6" s="298"/>
      <c r="AV6"/>
      <c r="AW6"/>
      <c r="AX6"/>
      <c r="AY6"/>
      <c r="AZ6"/>
      <c r="BA6"/>
      <c r="BB6"/>
      <c r="BC6"/>
      <c r="BD6"/>
      <c r="BE6"/>
      <c r="BF6" s="277">
        <v>31.072639465332031</v>
      </c>
      <c r="BG6" s="283">
        <v>42230</v>
      </c>
      <c r="BH6"/>
      <c r="BI6"/>
      <c r="BJ6"/>
      <c r="BK6"/>
      <c r="BL6" s="277">
        <v>61.096698760986328</v>
      </c>
      <c r="BM6" s="283">
        <v>42230</v>
      </c>
      <c r="BN6"/>
      <c r="BO6"/>
      <c r="BP6" s="277">
        <v>3.2214360237121582</v>
      </c>
      <c r="BQ6" s="283">
        <v>42230</v>
      </c>
      <c r="BR6" s="277">
        <v>47.724769592285156</v>
      </c>
      <c r="BS6" s="283">
        <v>42230</v>
      </c>
      <c r="BT6" s="277">
        <v>20.708717346191406</v>
      </c>
      <c r="BU6" s="283">
        <v>42230</v>
      </c>
      <c r="BV6" s="277">
        <v>62.277389526367188</v>
      </c>
      <c r="BW6" s="283">
        <v>42230</v>
      </c>
      <c r="BX6" s="277">
        <v>5.5319442749023437</v>
      </c>
      <c r="BY6" s="283">
        <v>42230</v>
      </c>
      <c r="BZ6"/>
      <c r="CB6" s="266">
        <v>2.59</v>
      </c>
      <c r="CC6"/>
      <c r="CD6" s="281">
        <v>3.7037037037037068</v>
      </c>
      <c r="CE6" s="291" t="s">
        <v>8398</v>
      </c>
      <c r="CF6"/>
      <c r="CG6"/>
      <c r="CH6">
        <v>3</v>
      </c>
      <c r="CI6">
        <v>2</v>
      </c>
      <c r="CK6"/>
      <c r="CL6">
        <v>7</v>
      </c>
      <c r="CM6" s="259">
        <v>42161</v>
      </c>
      <c r="CN6" s="345" t="s">
        <v>8634</v>
      </c>
    </row>
    <row r="7" spans="1:94">
      <c r="A7" s="258">
        <v>6</v>
      </c>
      <c r="B7" s="235">
        <v>6</v>
      </c>
      <c r="C7" s="346" t="s">
        <v>7576</v>
      </c>
      <c r="D7" s="235"/>
      <c r="E7" s="235"/>
      <c r="F7" s="235"/>
      <c r="G7" s="235"/>
      <c r="H7" s="235" t="s">
        <v>265</v>
      </c>
      <c r="I7" s="235">
        <v>1</v>
      </c>
      <c r="K7" s="235">
        <v>6</v>
      </c>
      <c r="L7" s="235">
        <f t="shared" si="0"/>
        <v>6</v>
      </c>
      <c r="M7" s="235">
        <v>1</v>
      </c>
      <c r="O7" s="248">
        <v>42048</v>
      </c>
      <c r="P7" s="223"/>
      <c r="Q7" s="224"/>
      <c r="R7" s="223"/>
      <c r="S7" s="223"/>
      <c r="T7" s="223"/>
      <c r="U7" s="225"/>
      <c r="V7" s="219"/>
      <c r="W7" s="224"/>
      <c r="X7">
        <v>15.55</v>
      </c>
      <c r="Y7" s="223"/>
      <c r="Z7" s="223"/>
      <c r="AA7" s="223"/>
      <c r="AB7" s="220"/>
      <c r="AC7" s="224"/>
      <c r="AD7" s="221"/>
      <c r="AE7" s="224"/>
      <c r="AF7" s="220"/>
      <c r="AG7" s="224"/>
      <c r="AH7" s="220"/>
      <c r="AI7" s="224"/>
      <c r="AJ7" s="286"/>
      <c r="AK7" s="290"/>
      <c r="AL7" s="223"/>
      <c r="AM7" s="223"/>
      <c r="AN7" s="241">
        <v>70</v>
      </c>
      <c r="AO7" s="242">
        <v>42074</v>
      </c>
      <c r="AP7" s="255">
        <v>104</v>
      </c>
      <c r="AQ7" s="242">
        <v>42108</v>
      </c>
      <c r="AR7" s="223"/>
      <c r="AS7" s="297"/>
      <c r="AT7" s="290"/>
      <c r="AU7" s="298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81"/>
      <c r="BG7" s="235"/>
      <c r="BH7" s="223"/>
      <c r="BI7" s="223"/>
      <c r="BJ7" s="223"/>
      <c r="BK7" s="223"/>
      <c r="BL7" s="281"/>
      <c r="BM7" s="235"/>
      <c r="BN7" s="223"/>
      <c r="BO7" s="223"/>
      <c r="BP7" s="281"/>
      <c r="BQ7" s="235"/>
      <c r="BR7" s="281"/>
      <c r="BS7" s="235"/>
      <c r="BT7" s="281"/>
      <c r="BU7" s="235"/>
      <c r="BV7" s="281"/>
      <c r="BW7" s="235"/>
      <c r="BX7" s="281"/>
      <c r="BY7" s="235"/>
      <c r="BZ7" s="223"/>
      <c r="CA7" s="226"/>
      <c r="CB7" s="266"/>
      <c r="CC7" s="223"/>
      <c r="CD7" s="281"/>
      <c r="CE7" s="291"/>
      <c r="CF7" s="223"/>
      <c r="CG7" s="223"/>
      <c r="CH7" s="223"/>
      <c r="CI7" s="223"/>
      <c r="CK7" s="223"/>
      <c r="CL7" s="223">
        <v>4</v>
      </c>
      <c r="CM7" s="259">
        <v>42161</v>
      </c>
      <c r="CN7" s="345" t="s">
        <v>8634</v>
      </c>
    </row>
    <row r="8" spans="1:94">
      <c r="A8" s="258">
        <v>7</v>
      </c>
      <c r="B8" s="235">
        <v>7</v>
      </c>
      <c r="C8" s="346" t="s">
        <v>7790</v>
      </c>
      <c r="D8" s="235" t="s">
        <v>7588</v>
      </c>
      <c r="E8" s="235" t="s">
        <v>7790</v>
      </c>
      <c r="F8" s="235" t="s">
        <v>8536</v>
      </c>
      <c r="G8" s="235" t="str">
        <f t="shared" ref="G8:G14" si="1">IF(MID(C8,1,3)="BGA","Complement","Rapsodyn")</f>
        <v>Rapsodyn</v>
      </c>
      <c r="H8" s="235" t="s">
        <v>265</v>
      </c>
      <c r="I8" s="235">
        <v>1</v>
      </c>
      <c r="J8" s="235">
        <v>9161</v>
      </c>
      <c r="K8" s="235">
        <v>7</v>
      </c>
      <c r="L8" s="235">
        <f t="shared" si="0"/>
        <v>7</v>
      </c>
      <c r="M8" s="235">
        <v>1</v>
      </c>
      <c r="N8" s="235">
        <v>7</v>
      </c>
      <c r="O8" s="248">
        <v>42048</v>
      </c>
      <c r="P8">
        <v>6.9</v>
      </c>
      <c r="Q8" s="264">
        <v>42204</v>
      </c>
      <c r="R8"/>
      <c r="S8"/>
      <c r="T8"/>
      <c r="V8" s="219">
        <f t="shared" ref="V8:V14" si="2">+BR8*AF8/100</f>
        <v>20.416888340646434</v>
      </c>
      <c r="W8" s="219"/>
      <c r="X8">
        <v>15.55</v>
      </c>
      <c r="Y8"/>
      <c r="Z8"/>
      <c r="AA8"/>
      <c r="AB8" s="220">
        <f t="shared" ref="AB8:AB14" si="3">+AF8*BT8/100</f>
        <v>7.7682005448050075</v>
      </c>
      <c r="AC8" s="219"/>
      <c r="AD8" s="221">
        <f t="shared" ref="AD8:AD14" si="4">+(AF8/AJ8)*10000</f>
        <v>88839.991280178787</v>
      </c>
      <c r="AE8" s="219"/>
      <c r="AF8" s="220">
        <f t="shared" ref="AF8:AF14" si="5">($P8/$X8)*(((100-$CD8)/100*(100-2)/100))*100</f>
        <v>41.932475884244383</v>
      </c>
      <c r="AG8" s="219"/>
      <c r="AH8" s="220">
        <f t="shared" ref="AH8:AH14" si="6">($P8/$X8)*(((100-$CD8)/(100-9)*(100-2)/(100-2))*100)</f>
        <v>47.0200447233061</v>
      </c>
      <c r="AI8" s="219"/>
      <c r="AJ8">
        <v>4.72</v>
      </c>
      <c r="AK8" s="284" t="s">
        <v>8398</v>
      </c>
      <c r="AL8">
        <v>175</v>
      </c>
      <c r="AM8"/>
      <c r="AN8" s="241">
        <v>70</v>
      </c>
      <c r="AO8" s="242">
        <v>42074</v>
      </c>
      <c r="AP8" s="255">
        <v>106</v>
      </c>
      <c r="AQ8" s="242">
        <v>42110</v>
      </c>
      <c r="AR8">
        <v>131</v>
      </c>
      <c r="AS8" s="297">
        <f t="shared" ref="AS8:AS14" si="7">IF(AR8=0,,AR8)</f>
        <v>131</v>
      </c>
      <c r="AT8" s="290">
        <v>42135</v>
      </c>
      <c r="AU8" s="298"/>
      <c r="AV8"/>
      <c r="AW8"/>
      <c r="AX8"/>
      <c r="AY8"/>
      <c r="AZ8"/>
      <c r="BA8"/>
      <c r="BB8"/>
      <c r="BC8"/>
      <c r="BD8"/>
      <c r="BE8"/>
      <c r="BF8" s="277">
        <v>-5.4760971069335937</v>
      </c>
      <c r="BG8" s="283">
        <v>42230</v>
      </c>
      <c r="BH8"/>
      <c r="BI8"/>
      <c r="BJ8"/>
      <c r="BK8"/>
      <c r="BL8" s="277">
        <v>64.639900207519531</v>
      </c>
      <c r="BM8" s="283">
        <v>42230</v>
      </c>
      <c r="BN8"/>
      <c r="BO8"/>
      <c r="BP8" s="277">
        <v>4.145942211151123</v>
      </c>
      <c r="BQ8" s="283">
        <v>42230</v>
      </c>
      <c r="BR8" s="277">
        <v>48.689918518066406</v>
      </c>
      <c r="BS8" s="283">
        <v>42230</v>
      </c>
      <c r="BT8" s="277">
        <v>18.52549934387207</v>
      </c>
      <c r="BU8" s="283">
        <v>42230</v>
      </c>
      <c r="BV8" s="277">
        <v>11.924435615539551</v>
      </c>
      <c r="BW8" s="283">
        <v>42230</v>
      </c>
      <c r="BX8" s="277">
        <v>5.80645751953125</v>
      </c>
      <c r="BY8" s="283">
        <v>42230</v>
      </c>
      <c r="BZ8"/>
      <c r="CB8" s="266">
        <v>0.39</v>
      </c>
      <c r="CC8"/>
      <c r="CD8" s="277">
        <v>3.5714285714285587</v>
      </c>
      <c r="CE8" s="291" t="s">
        <v>8398</v>
      </c>
      <c r="CF8"/>
      <c r="CG8"/>
      <c r="CH8">
        <v>2</v>
      </c>
      <c r="CI8">
        <v>2</v>
      </c>
      <c r="CK8"/>
      <c r="CL8">
        <v>2</v>
      </c>
      <c r="CM8" s="259">
        <v>42161</v>
      </c>
      <c r="CN8" s="345" t="s">
        <v>8634</v>
      </c>
    </row>
    <row r="9" spans="1:94">
      <c r="A9" s="258">
        <v>11</v>
      </c>
      <c r="B9" s="235">
        <v>11</v>
      </c>
      <c r="C9" s="346" t="s">
        <v>7665</v>
      </c>
      <c r="D9" s="235" t="s">
        <v>7819</v>
      </c>
      <c r="E9" s="235" t="s">
        <v>7665</v>
      </c>
      <c r="F9" s="235" t="s">
        <v>8581</v>
      </c>
      <c r="G9" s="235" t="str">
        <f t="shared" si="1"/>
        <v>Rapsodyn</v>
      </c>
      <c r="H9" s="235" t="s">
        <v>265</v>
      </c>
      <c r="I9" s="235">
        <v>1</v>
      </c>
      <c r="J9" s="235">
        <v>9048</v>
      </c>
      <c r="K9" s="235">
        <v>11</v>
      </c>
      <c r="L9" s="235">
        <f t="shared" si="0"/>
        <v>11</v>
      </c>
      <c r="M9" s="235">
        <v>1</v>
      </c>
      <c r="N9" s="235">
        <v>7</v>
      </c>
      <c r="O9" s="248">
        <v>42048</v>
      </c>
      <c r="P9">
        <v>5.0999999999999996</v>
      </c>
      <c r="Q9" s="264">
        <v>42204</v>
      </c>
      <c r="R9"/>
      <c r="S9"/>
      <c r="T9"/>
      <c r="V9" s="219">
        <f t="shared" si="2"/>
        <v>14.56749337276252</v>
      </c>
      <c r="W9" s="219"/>
      <c r="X9">
        <v>15.55</v>
      </c>
      <c r="Y9"/>
      <c r="Z9"/>
      <c r="AA9"/>
      <c r="AB9" s="220">
        <f t="shared" si="3"/>
        <v>5.7332950761680834</v>
      </c>
      <c r="AC9" s="219"/>
      <c r="AD9" s="221">
        <f t="shared" si="4"/>
        <v>72024.10948702204</v>
      </c>
      <c r="AE9" s="219"/>
      <c r="AF9" s="220">
        <f t="shared" si="5"/>
        <v>30.322150094036278</v>
      </c>
      <c r="AG9" s="219"/>
      <c r="AH9" s="220">
        <f t="shared" si="6"/>
        <v>34.001065366714819</v>
      </c>
      <c r="AI9" s="219"/>
      <c r="AJ9">
        <v>4.21</v>
      </c>
      <c r="AK9" s="284" t="s">
        <v>8399</v>
      </c>
      <c r="AL9">
        <v>160</v>
      </c>
      <c r="AM9"/>
      <c r="AN9" s="241">
        <v>79</v>
      </c>
      <c r="AO9" s="242">
        <v>42083</v>
      </c>
      <c r="AP9" s="255">
        <v>110</v>
      </c>
      <c r="AQ9" s="242">
        <v>42114</v>
      </c>
      <c r="AR9">
        <v>135</v>
      </c>
      <c r="AS9" s="297">
        <f t="shared" si="7"/>
        <v>135</v>
      </c>
      <c r="AT9" s="290">
        <v>42139</v>
      </c>
      <c r="AU9" s="298"/>
      <c r="AV9"/>
      <c r="AW9"/>
      <c r="AX9"/>
      <c r="AY9"/>
      <c r="AZ9"/>
      <c r="BA9"/>
      <c r="BB9"/>
      <c r="BC9"/>
      <c r="BD9"/>
      <c r="BE9"/>
      <c r="BF9" s="277">
        <v>-0.72414600849151611</v>
      </c>
      <c r="BG9" s="283">
        <v>42233</v>
      </c>
      <c r="BH9"/>
      <c r="BI9"/>
      <c r="BJ9"/>
      <c r="BK9"/>
      <c r="BL9" s="277">
        <v>63.592140197753906</v>
      </c>
      <c r="BM9" s="283">
        <v>42233</v>
      </c>
      <c r="BN9"/>
      <c r="BO9"/>
      <c r="BP9" s="277">
        <v>3.8491179943084717</v>
      </c>
      <c r="BQ9" s="283">
        <v>42233</v>
      </c>
      <c r="BR9" s="277">
        <v>48.042415618896484</v>
      </c>
      <c r="BS9" s="283">
        <v>42233</v>
      </c>
      <c r="BT9" s="277">
        <v>18.907943725585938</v>
      </c>
      <c r="BU9" s="283">
        <v>42233</v>
      </c>
      <c r="BV9" s="277">
        <v>14.217878341674805</v>
      </c>
      <c r="BW9" s="283">
        <v>42233</v>
      </c>
      <c r="BX9" s="277">
        <v>5.4365615844726563</v>
      </c>
      <c r="BY9" s="283">
        <v>42233</v>
      </c>
      <c r="BZ9"/>
      <c r="CB9" s="266">
        <v>1.24</v>
      </c>
      <c r="CC9"/>
      <c r="CD9" s="277">
        <v>5.660377358490563</v>
      </c>
      <c r="CE9" s="291" t="s">
        <v>8399</v>
      </c>
      <c r="CF9"/>
      <c r="CG9"/>
      <c r="CH9">
        <v>4</v>
      </c>
      <c r="CI9">
        <v>3</v>
      </c>
      <c r="CK9"/>
      <c r="CL9">
        <v>1</v>
      </c>
      <c r="CM9" s="259">
        <v>42161</v>
      </c>
      <c r="CN9" s="345" t="s">
        <v>8634</v>
      </c>
    </row>
    <row r="10" spans="1:94">
      <c r="A10" s="258">
        <v>15</v>
      </c>
      <c r="B10" s="235">
        <v>15</v>
      </c>
      <c r="C10" s="346" t="s">
        <v>7616</v>
      </c>
      <c r="D10" s="235" t="s">
        <v>7453</v>
      </c>
      <c r="E10" s="235" t="s">
        <v>7616</v>
      </c>
      <c r="F10" s="235" t="s">
        <v>8520</v>
      </c>
      <c r="G10" s="235" t="str">
        <f t="shared" si="1"/>
        <v>Rapsodyn</v>
      </c>
      <c r="H10" s="235" t="s">
        <v>265</v>
      </c>
      <c r="I10" s="235">
        <v>1</v>
      </c>
      <c r="J10" s="235">
        <v>9009</v>
      </c>
      <c r="K10" s="235">
        <v>15</v>
      </c>
      <c r="L10" s="235">
        <f t="shared" si="0"/>
        <v>15</v>
      </c>
      <c r="M10" s="235">
        <v>1</v>
      </c>
      <c r="N10" s="235">
        <v>7</v>
      </c>
      <c r="O10" s="248">
        <v>42048</v>
      </c>
      <c r="P10">
        <v>3.9</v>
      </c>
      <c r="Q10" s="264">
        <v>42204</v>
      </c>
      <c r="R10"/>
      <c r="S10"/>
      <c r="T10"/>
      <c r="V10" s="219">
        <f t="shared" si="2"/>
        <v>11.367995613370576</v>
      </c>
      <c r="W10" s="219"/>
      <c r="X10">
        <v>15.55</v>
      </c>
      <c r="Y10"/>
      <c r="Z10"/>
      <c r="AA10"/>
      <c r="AB10" s="220">
        <f t="shared" si="3"/>
        <v>4.9810391573115922</v>
      </c>
      <c r="AC10" s="219"/>
      <c r="AD10" s="221">
        <f t="shared" si="4"/>
        <v>50567.94214744521</v>
      </c>
      <c r="AE10" s="219"/>
      <c r="AF10" s="220">
        <f t="shared" si="5"/>
        <v>23.716364867151803</v>
      </c>
      <c r="AG10" s="219"/>
      <c r="AH10" s="220">
        <f t="shared" si="6"/>
        <v>26.593815729033196</v>
      </c>
      <c r="AI10" s="219"/>
      <c r="AJ10">
        <v>4.6900000000000004</v>
      </c>
      <c r="AK10" s="284" t="s">
        <v>8400</v>
      </c>
      <c r="AL10">
        <v>165</v>
      </c>
      <c r="AM10"/>
      <c r="AN10" s="241">
        <v>79</v>
      </c>
      <c r="AO10" s="242">
        <v>42083</v>
      </c>
      <c r="AP10" s="255">
        <v>110</v>
      </c>
      <c r="AQ10" s="242">
        <v>42114</v>
      </c>
      <c r="AR10">
        <v>129</v>
      </c>
      <c r="AS10" s="297">
        <f t="shared" si="7"/>
        <v>129</v>
      </c>
      <c r="AT10" s="290">
        <v>42133</v>
      </c>
      <c r="AU10" s="298"/>
      <c r="AV10"/>
      <c r="AW10"/>
      <c r="AX10"/>
      <c r="AY10"/>
      <c r="AZ10"/>
      <c r="BA10"/>
      <c r="BB10"/>
      <c r="BC10"/>
      <c r="BD10"/>
      <c r="BE10"/>
      <c r="BF10" s="277">
        <v>35.865608215332031</v>
      </c>
      <c r="BG10" s="283">
        <v>42230</v>
      </c>
      <c r="BH10"/>
      <c r="BI10"/>
      <c r="BJ10"/>
      <c r="BK10"/>
      <c r="BL10" s="277">
        <v>60.599571228027344</v>
      </c>
      <c r="BM10" s="283">
        <v>42230</v>
      </c>
      <c r="BN10"/>
      <c r="BO10"/>
      <c r="BP10" s="277">
        <v>4.2385950088500977</v>
      </c>
      <c r="BQ10" s="283">
        <v>42230</v>
      </c>
      <c r="BR10" s="277">
        <v>47.933128356933594</v>
      </c>
      <c r="BS10" s="283">
        <v>42230</v>
      </c>
      <c r="BT10" s="277">
        <v>21.002540588378906</v>
      </c>
      <c r="BU10" s="283">
        <v>42230</v>
      </c>
      <c r="BV10" s="277">
        <v>72.550186157226563</v>
      </c>
      <c r="BW10" s="283">
        <v>42230</v>
      </c>
      <c r="BX10" s="277">
        <v>5.6131057739257812</v>
      </c>
      <c r="BY10" s="283">
        <v>42230</v>
      </c>
      <c r="BZ10"/>
      <c r="CB10" s="266">
        <v>1.1399999999999999</v>
      </c>
      <c r="CC10"/>
      <c r="CD10" s="277">
        <v>3.5087719298245648</v>
      </c>
      <c r="CE10" s="291" t="s">
        <v>8400</v>
      </c>
      <c r="CF10"/>
      <c r="CG10"/>
      <c r="CH10">
        <v>1</v>
      </c>
      <c r="CI10">
        <v>2</v>
      </c>
      <c r="CK10"/>
      <c r="CL10">
        <v>6</v>
      </c>
      <c r="CM10" s="259">
        <v>42161</v>
      </c>
      <c r="CN10" s="345" t="s">
        <v>8634</v>
      </c>
    </row>
    <row r="11" spans="1:94">
      <c r="A11" s="258">
        <v>19</v>
      </c>
      <c r="B11" s="235">
        <v>19</v>
      </c>
      <c r="C11" s="346" t="s">
        <v>7691</v>
      </c>
      <c r="D11" s="235" t="s">
        <v>7517</v>
      </c>
      <c r="E11" s="235" t="s">
        <v>7691</v>
      </c>
      <c r="F11" s="235" t="s">
        <v>8459</v>
      </c>
      <c r="G11" s="235" t="str">
        <f t="shared" si="1"/>
        <v>Rapsodyn</v>
      </c>
      <c r="H11" s="235" t="s">
        <v>265</v>
      </c>
      <c r="I11" s="235">
        <v>1</v>
      </c>
      <c r="J11" s="235">
        <v>9073</v>
      </c>
      <c r="K11" s="235">
        <v>19</v>
      </c>
      <c r="L11" s="235">
        <f t="shared" si="0"/>
        <v>19</v>
      </c>
      <c r="M11" s="235">
        <v>1</v>
      </c>
      <c r="N11" s="235">
        <v>7</v>
      </c>
      <c r="O11" s="248">
        <v>42048</v>
      </c>
      <c r="P11">
        <v>6.35</v>
      </c>
      <c r="Q11" s="264">
        <v>42204</v>
      </c>
      <c r="R11"/>
      <c r="S11"/>
      <c r="T11"/>
      <c r="V11" s="219">
        <f t="shared" si="2"/>
        <v>19.553949231058837</v>
      </c>
      <c r="W11" s="219"/>
      <c r="X11">
        <v>15.55</v>
      </c>
      <c r="Y11"/>
      <c r="Z11"/>
      <c r="AA11"/>
      <c r="AB11" s="220">
        <f t="shared" si="3"/>
        <v>6.3495320497065109</v>
      </c>
      <c r="AC11" s="219"/>
      <c r="AD11" s="221">
        <f t="shared" si="4"/>
        <v>94925.819371580059</v>
      </c>
      <c r="AE11" s="219"/>
      <c r="AF11" s="220">
        <f t="shared" si="5"/>
        <v>37.875401929260448</v>
      </c>
      <c r="AG11" s="219"/>
      <c r="AH11" s="220">
        <f t="shared" si="6"/>
        <v>42.470735511617455</v>
      </c>
      <c r="AI11" s="219"/>
      <c r="AJ11">
        <v>3.99</v>
      </c>
      <c r="AK11" s="284" t="s">
        <v>8399</v>
      </c>
      <c r="AL11">
        <v>175</v>
      </c>
      <c r="AM11"/>
      <c r="AN11" s="241">
        <v>72</v>
      </c>
      <c r="AO11" s="242">
        <v>42076</v>
      </c>
      <c r="AP11" s="255">
        <v>110</v>
      </c>
      <c r="AQ11" s="242">
        <v>42114</v>
      </c>
      <c r="AR11">
        <v>135</v>
      </c>
      <c r="AS11" s="297">
        <f t="shared" si="7"/>
        <v>135</v>
      </c>
      <c r="AT11" s="290">
        <v>42139</v>
      </c>
      <c r="AU11" s="298"/>
      <c r="AV11"/>
      <c r="AW11"/>
      <c r="AX11"/>
      <c r="AY11"/>
      <c r="AZ11"/>
      <c r="BA11"/>
      <c r="BB11"/>
      <c r="BC11"/>
      <c r="BD11"/>
      <c r="BE11"/>
      <c r="BF11" s="277">
        <v>26.377077102661133</v>
      </c>
      <c r="BG11" s="283">
        <v>42230</v>
      </c>
      <c r="BH11"/>
      <c r="BI11"/>
      <c r="BJ11"/>
      <c r="BK11"/>
      <c r="BL11" s="277">
        <v>66.518463134765625</v>
      </c>
      <c r="BM11" s="283">
        <v>42230</v>
      </c>
      <c r="BN11"/>
      <c r="BO11"/>
      <c r="BP11" s="277">
        <v>4.1525001525878906</v>
      </c>
      <c r="BQ11" s="283">
        <v>42230</v>
      </c>
      <c r="BR11" s="277">
        <v>51.627040863037109</v>
      </c>
      <c r="BS11" s="283">
        <v>42230</v>
      </c>
      <c r="BT11" s="277">
        <v>16.764263153076172</v>
      </c>
      <c r="BU11" s="283">
        <v>42230</v>
      </c>
      <c r="BV11" s="277">
        <v>15.10651683807373</v>
      </c>
      <c r="BW11" s="283">
        <v>42230</v>
      </c>
      <c r="BX11" s="277">
        <v>5.1479568481445312</v>
      </c>
      <c r="BY11" s="283">
        <v>42230</v>
      </c>
      <c r="BZ11"/>
      <c r="CB11" s="266">
        <v>2.1</v>
      </c>
      <c r="CC11"/>
      <c r="CD11" s="277">
        <v>5.3571428571428541</v>
      </c>
      <c r="CE11" s="291" t="s">
        <v>8399</v>
      </c>
      <c r="CF11"/>
      <c r="CG11"/>
      <c r="CH11">
        <v>2</v>
      </c>
      <c r="CI11">
        <v>2</v>
      </c>
      <c r="CK11"/>
      <c r="CL11">
        <v>2</v>
      </c>
      <c r="CM11" s="259">
        <v>42161</v>
      </c>
      <c r="CN11" s="345" t="s">
        <v>8634</v>
      </c>
    </row>
    <row r="12" spans="1:94">
      <c r="A12" s="258">
        <v>20</v>
      </c>
      <c r="B12" s="235">
        <v>20</v>
      </c>
      <c r="C12" s="346" t="s">
        <v>7676</v>
      </c>
      <c r="D12" s="235" t="s">
        <v>7505</v>
      </c>
      <c r="E12" s="235" t="s">
        <v>7676</v>
      </c>
      <c r="F12" s="235" t="s">
        <v>8604</v>
      </c>
      <c r="G12" s="235" t="str">
        <f t="shared" si="1"/>
        <v>Rapsodyn</v>
      </c>
      <c r="H12" s="235" t="s">
        <v>265</v>
      </c>
      <c r="I12" s="235">
        <v>1</v>
      </c>
      <c r="J12" s="235">
        <v>9058</v>
      </c>
      <c r="K12" s="235">
        <v>20</v>
      </c>
      <c r="L12" s="235">
        <f t="shared" si="0"/>
        <v>20</v>
      </c>
      <c r="M12" s="235">
        <v>1</v>
      </c>
      <c r="N12" s="235">
        <v>7</v>
      </c>
      <c r="O12" s="248">
        <v>42048</v>
      </c>
      <c r="P12">
        <v>5.85</v>
      </c>
      <c r="Q12" s="264">
        <v>42204</v>
      </c>
      <c r="R12"/>
      <c r="S12"/>
      <c r="T12"/>
      <c r="V12" s="219">
        <f t="shared" si="2"/>
        <v>17.070901705877969</v>
      </c>
      <c r="W12" s="219"/>
      <c r="X12">
        <v>15.55</v>
      </c>
      <c r="Y12"/>
      <c r="Z12"/>
      <c r="AA12"/>
      <c r="AB12" s="220">
        <f t="shared" si="3"/>
        <v>6.5126058048625133</v>
      </c>
      <c r="AC12" s="219"/>
      <c r="AD12" s="221">
        <f t="shared" si="4"/>
        <v>85899.737191454653</v>
      </c>
      <c r="AE12" s="219"/>
      <c r="AF12" s="220">
        <f t="shared" si="5"/>
        <v>34.961193036922047</v>
      </c>
      <c r="AG12" s="219"/>
      <c r="AH12" s="220">
        <f t="shared" si="6"/>
        <v>39.20295249710928</v>
      </c>
      <c r="AI12" s="219"/>
      <c r="AJ12">
        <v>4.07</v>
      </c>
      <c r="AK12" s="284" t="s">
        <v>8399</v>
      </c>
      <c r="AL12">
        <v>160</v>
      </c>
      <c r="AM12"/>
      <c r="AN12" s="241">
        <v>72</v>
      </c>
      <c r="AO12" s="242">
        <v>42076</v>
      </c>
      <c r="AP12" s="255">
        <v>104</v>
      </c>
      <c r="AQ12" s="242">
        <v>42108</v>
      </c>
      <c r="AR12">
        <v>138</v>
      </c>
      <c r="AS12" s="297">
        <f t="shared" si="7"/>
        <v>138</v>
      </c>
      <c r="AT12" s="290">
        <v>42142</v>
      </c>
      <c r="AU12" s="298"/>
      <c r="AV12"/>
      <c r="AW12"/>
      <c r="AX12"/>
      <c r="AY12"/>
      <c r="AZ12"/>
      <c r="BA12"/>
      <c r="BB12"/>
      <c r="BC12"/>
      <c r="BD12"/>
      <c r="BE12"/>
      <c r="BF12" s="277">
        <v>-4.9669232368469238</v>
      </c>
      <c r="BG12" s="283">
        <v>42230</v>
      </c>
      <c r="BH12"/>
      <c r="BI12"/>
      <c r="BJ12"/>
      <c r="BK12"/>
      <c r="BL12" s="277">
        <v>67.106475830078125</v>
      </c>
      <c r="BM12" s="283">
        <v>42230</v>
      </c>
      <c r="BN12"/>
      <c r="BO12"/>
      <c r="BP12" s="277">
        <v>3.9920148849487305</v>
      </c>
      <c r="BQ12" s="283">
        <v>42230</v>
      </c>
      <c r="BR12" s="277">
        <v>48.828144073486328</v>
      </c>
      <c r="BS12" s="283">
        <v>42230</v>
      </c>
      <c r="BT12" s="277">
        <v>18.62809944152832</v>
      </c>
      <c r="BU12" s="283">
        <v>42230</v>
      </c>
      <c r="BV12" s="277">
        <v>16.237752914428711</v>
      </c>
      <c r="BW12" s="283">
        <v>42230</v>
      </c>
      <c r="BX12" s="277">
        <v>5.3928985595703125</v>
      </c>
      <c r="BY12" s="283">
        <v>42230</v>
      </c>
      <c r="BZ12"/>
      <c r="CB12" s="266">
        <v>1.2</v>
      </c>
      <c r="CC12"/>
      <c r="CD12" s="277">
        <v>5.1724137931034457</v>
      </c>
      <c r="CE12" s="291" t="s">
        <v>8399</v>
      </c>
      <c r="CF12"/>
      <c r="CG12"/>
      <c r="CH12">
        <v>3</v>
      </c>
      <c r="CI12">
        <v>5</v>
      </c>
      <c r="CK12"/>
      <c r="CL12">
        <v>1</v>
      </c>
      <c r="CM12" s="259">
        <v>42161</v>
      </c>
      <c r="CN12" s="345" t="s">
        <v>8634</v>
      </c>
    </row>
    <row r="13" spans="1:94">
      <c r="A13" s="258">
        <v>23</v>
      </c>
      <c r="B13" s="235">
        <v>23</v>
      </c>
      <c r="C13" s="346" t="s">
        <v>7774</v>
      </c>
      <c r="D13" s="235" t="s">
        <v>7572</v>
      </c>
      <c r="E13" s="235" t="s">
        <v>7774</v>
      </c>
      <c r="F13" s="235" t="s">
        <v>8617</v>
      </c>
      <c r="G13" s="235" t="str">
        <f t="shared" si="1"/>
        <v>Rapsodyn</v>
      </c>
      <c r="H13" s="235" t="s">
        <v>265</v>
      </c>
      <c r="I13" s="235">
        <v>1</v>
      </c>
      <c r="J13" s="235">
        <v>9145</v>
      </c>
      <c r="K13" s="235">
        <v>23</v>
      </c>
      <c r="L13" s="235">
        <f t="shared" si="0"/>
        <v>23</v>
      </c>
      <c r="M13" s="235">
        <v>1</v>
      </c>
      <c r="N13" s="235">
        <v>7</v>
      </c>
      <c r="O13" s="248">
        <v>42048</v>
      </c>
      <c r="P13" s="223">
        <v>5.95</v>
      </c>
      <c r="Q13" s="264">
        <v>42204</v>
      </c>
      <c r="R13" s="223"/>
      <c r="S13" s="223"/>
      <c r="T13" s="223"/>
      <c r="U13" s="225"/>
      <c r="V13" s="219">
        <f t="shared" si="2"/>
        <v>18.028269703365218</v>
      </c>
      <c r="W13" s="224"/>
      <c r="X13">
        <v>15.55</v>
      </c>
      <c r="Y13" s="223"/>
      <c r="Z13" s="223"/>
      <c r="AA13" s="223"/>
      <c r="AB13" s="220">
        <f t="shared" si="3"/>
        <v>5.9983122384969842</v>
      </c>
      <c r="AC13" s="224"/>
      <c r="AD13" s="221">
        <f t="shared" si="4"/>
        <v>71744.372990353702</v>
      </c>
      <c r="AE13" s="224"/>
      <c r="AF13" s="220">
        <f t="shared" si="5"/>
        <v>36.159163987138271</v>
      </c>
      <c r="AG13" s="224"/>
      <c r="AH13" s="220">
        <f t="shared" si="6"/>
        <v>40.54627044980743</v>
      </c>
      <c r="AI13" s="224"/>
      <c r="AJ13">
        <v>5.04</v>
      </c>
      <c r="AK13" s="290" t="s">
        <v>8399</v>
      </c>
      <c r="AL13" s="223">
        <v>170</v>
      </c>
      <c r="AM13" s="223"/>
      <c r="AN13" s="241">
        <v>70</v>
      </c>
      <c r="AO13" s="242">
        <v>42074</v>
      </c>
      <c r="AP13" s="255">
        <v>106</v>
      </c>
      <c r="AQ13" s="242">
        <v>42110</v>
      </c>
      <c r="AR13" s="223">
        <v>133</v>
      </c>
      <c r="AS13" s="297">
        <f t="shared" si="7"/>
        <v>133</v>
      </c>
      <c r="AT13" s="290">
        <v>42137</v>
      </c>
      <c r="AU13" s="298"/>
      <c r="AV13" s="223"/>
      <c r="AW13" s="223"/>
      <c r="AX13" s="223"/>
      <c r="AY13" s="223"/>
      <c r="AZ13" s="223"/>
      <c r="BA13" s="223"/>
      <c r="BB13" s="223"/>
      <c r="BC13" s="223"/>
      <c r="BD13" s="223"/>
      <c r="BE13" s="223"/>
      <c r="BF13" s="281">
        <v>-4.8870110511779785</v>
      </c>
      <c r="BG13" s="283">
        <v>42233</v>
      </c>
      <c r="BH13" s="223"/>
      <c r="BI13" s="223"/>
      <c r="BJ13" s="223"/>
      <c r="BK13" s="223"/>
      <c r="BL13" s="281">
        <v>59.365386962890625</v>
      </c>
      <c r="BM13" s="283">
        <v>42233</v>
      </c>
      <c r="BN13" s="223"/>
      <c r="BO13" s="223"/>
      <c r="BP13" s="281">
        <v>3.7586441040039062</v>
      </c>
      <c r="BQ13" s="283">
        <v>42233</v>
      </c>
      <c r="BR13" s="281">
        <v>49.85809326171875</v>
      </c>
      <c r="BS13" s="283">
        <v>42233</v>
      </c>
      <c r="BT13" s="281">
        <v>16.58863639831543</v>
      </c>
      <c r="BU13" s="283">
        <v>42233</v>
      </c>
      <c r="BV13" s="281">
        <v>14.797682762145996</v>
      </c>
      <c r="BW13" s="283">
        <v>42233</v>
      </c>
      <c r="BX13" s="281">
        <v>5.28533935546875</v>
      </c>
      <c r="BY13" s="283">
        <v>42233</v>
      </c>
      <c r="BZ13" s="223"/>
      <c r="CA13" s="226"/>
      <c r="CB13" s="266">
        <v>1.27</v>
      </c>
      <c r="CC13" s="223"/>
      <c r="CD13" s="281">
        <v>3.5714285714285587</v>
      </c>
      <c r="CE13" s="291" t="s">
        <v>8399</v>
      </c>
      <c r="CF13" s="223"/>
      <c r="CG13" s="223"/>
      <c r="CH13" s="223">
        <v>3</v>
      </c>
      <c r="CI13" s="223">
        <v>2</v>
      </c>
      <c r="CK13" s="223"/>
      <c r="CL13" s="223">
        <v>2</v>
      </c>
      <c r="CM13" s="259">
        <v>42161</v>
      </c>
      <c r="CN13" s="345" t="s">
        <v>8634</v>
      </c>
    </row>
    <row r="14" spans="1:94">
      <c r="A14" s="258">
        <v>25</v>
      </c>
      <c r="B14" s="235">
        <v>25</v>
      </c>
      <c r="C14" s="346" t="s">
        <v>7626</v>
      </c>
      <c r="D14" s="235" t="s">
        <v>7460</v>
      </c>
      <c r="E14" s="235" t="s">
        <v>7626</v>
      </c>
      <c r="F14" s="235" t="s">
        <v>8484</v>
      </c>
      <c r="G14" s="235" t="str">
        <f t="shared" si="1"/>
        <v>Rapsodyn</v>
      </c>
      <c r="H14" s="235" t="s">
        <v>265</v>
      </c>
      <c r="I14" s="235">
        <v>1</v>
      </c>
      <c r="J14" s="235">
        <v>9018</v>
      </c>
      <c r="K14" s="235">
        <v>25</v>
      </c>
      <c r="L14" s="235">
        <f t="shared" si="0"/>
        <v>25</v>
      </c>
      <c r="M14" s="235">
        <v>1</v>
      </c>
      <c r="N14" s="235">
        <v>7</v>
      </c>
      <c r="O14" s="248">
        <v>42048</v>
      </c>
      <c r="P14">
        <v>5.65</v>
      </c>
      <c r="Q14" s="264">
        <v>42204</v>
      </c>
      <c r="R14"/>
      <c r="S14"/>
      <c r="T14"/>
      <c r="V14" s="219">
        <f t="shared" si="2"/>
        <v>16.384957076239463</v>
      </c>
      <c r="W14" s="219"/>
      <c r="X14">
        <v>15.55</v>
      </c>
      <c r="Y14"/>
      <c r="Z14"/>
      <c r="AA14"/>
      <c r="AB14" s="220">
        <f t="shared" si="3"/>
        <v>6.7613371340260793</v>
      </c>
      <c r="AC14" s="219"/>
      <c r="AD14" s="221">
        <f t="shared" si="4"/>
        <v>72232.467222088308</v>
      </c>
      <c r="AE14" s="219"/>
      <c r="AF14" s="220">
        <f t="shared" si="5"/>
        <v>34.238189463269855</v>
      </c>
      <c r="AG14" s="219"/>
      <c r="AH14" s="220">
        <f t="shared" si="6"/>
        <v>38.392228597521701</v>
      </c>
      <c r="AI14" s="219"/>
      <c r="AJ14">
        <v>4.74</v>
      </c>
      <c r="AK14" s="284" t="s">
        <v>8400</v>
      </c>
      <c r="AL14">
        <v>170</v>
      </c>
      <c r="AM14"/>
      <c r="AN14" s="241">
        <v>70</v>
      </c>
      <c r="AO14" s="242">
        <v>42074</v>
      </c>
      <c r="AP14" s="255">
        <v>106</v>
      </c>
      <c r="AQ14" s="242">
        <v>42110</v>
      </c>
      <c r="AR14" s="223">
        <v>133</v>
      </c>
      <c r="AS14" s="297">
        <f t="shared" si="7"/>
        <v>133</v>
      </c>
      <c r="AT14" s="290">
        <v>42137</v>
      </c>
      <c r="AU14" s="298"/>
      <c r="AV14"/>
      <c r="AW14"/>
      <c r="AX14"/>
      <c r="AY14"/>
      <c r="AZ14"/>
      <c r="BA14"/>
      <c r="BB14"/>
      <c r="BC14"/>
      <c r="BD14"/>
      <c r="BE14"/>
      <c r="BF14" s="277">
        <v>-4.4342160224914551</v>
      </c>
      <c r="BG14" s="283">
        <v>42230</v>
      </c>
      <c r="BH14"/>
      <c r="BI14"/>
      <c r="BJ14"/>
      <c r="BK14"/>
      <c r="BL14" s="277">
        <v>65.151046752929687</v>
      </c>
      <c r="BM14" s="283">
        <v>42230</v>
      </c>
      <c r="BN14"/>
      <c r="BO14"/>
      <c r="BP14" s="277">
        <v>2.9554851055145264</v>
      </c>
      <c r="BQ14" s="283">
        <v>42230</v>
      </c>
      <c r="BR14" s="277">
        <v>47.855792999267578</v>
      </c>
      <c r="BS14" s="283">
        <v>42230</v>
      </c>
      <c r="BT14" s="277">
        <v>19.747940063476563</v>
      </c>
      <c r="BU14" s="283">
        <v>42230</v>
      </c>
      <c r="BV14" s="277">
        <v>45.061939239501953</v>
      </c>
      <c r="BW14" s="283">
        <v>42230</v>
      </c>
      <c r="BX14" s="277">
        <v>5.7031784057617187</v>
      </c>
      <c r="BY14" s="283">
        <v>42230</v>
      </c>
      <c r="BZ14"/>
      <c r="CB14" s="266">
        <v>1.27</v>
      </c>
      <c r="CC14"/>
      <c r="CD14" s="277">
        <v>3.8461538461538494</v>
      </c>
      <c r="CE14" s="291" t="s">
        <v>8400</v>
      </c>
      <c r="CF14"/>
      <c r="CG14"/>
      <c r="CH14">
        <v>3</v>
      </c>
      <c r="CI14">
        <v>5</v>
      </c>
      <c r="CK14"/>
      <c r="CL14" s="223">
        <v>2</v>
      </c>
      <c r="CM14" s="259">
        <v>42161</v>
      </c>
      <c r="CN14" s="345" t="s">
        <v>8634</v>
      </c>
    </row>
    <row r="15" spans="1:94">
      <c r="A15" s="258">
        <v>27</v>
      </c>
      <c r="B15" s="235">
        <v>27</v>
      </c>
      <c r="C15" s="346" t="s">
        <v>7576</v>
      </c>
      <c r="D15" s="235"/>
      <c r="E15" s="235"/>
      <c r="F15" s="235"/>
      <c r="G15" s="235"/>
      <c r="H15" s="235" t="s">
        <v>265</v>
      </c>
      <c r="I15" s="235">
        <v>1</v>
      </c>
      <c r="K15" s="235">
        <v>27</v>
      </c>
      <c r="L15" s="235">
        <f t="shared" si="0"/>
        <v>27</v>
      </c>
      <c r="M15" s="235">
        <v>1</v>
      </c>
      <c r="O15" s="248">
        <v>42048</v>
      </c>
      <c r="P15"/>
      <c r="Q15" s="219"/>
      <c r="R15"/>
      <c r="S15"/>
      <c r="T15"/>
      <c r="V15" s="219"/>
      <c r="W15" s="219"/>
      <c r="X15">
        <v>15.55</v>
      </c>
      <c r="Y15"/>
      <c r="Z15"/>
      <c r="AA15"/>
      <c r="AB15" s="220"/>
      <c r="AC15" s="219"/>
      <c r="AD15" s="221"/>
      <c r="AE15" s="219"/>
      <c r="AF15" s="220"/>
      <c r="AG15" s="219"/>
      <c r="AH15" s="220"/>
      <c r="AI15" s="219"/>
      <c r="AJ15" s="286"/>
      <c r="AK15" s="284"/>
      <c r="AL15"/>
      <c r="AM15"/>
      <c r="AN15" s="241">
        <v>70</v>
      </c>
      <c r="AO15" s="242">
        <v>42074</v>
      </c>
      <c r="AP15" s="255">
        <v>104</v>
      </c>
      <c r="AQ15" s="242">
        <v>42108</v>
      </c>
      <c r="AR15" s="223"/>
      <c r="AS15" s="297"/>
      <c r="AT15" s="290"/>
      <c r="AU15" s="298"/>
      <c r="AV15"/>
      <c r="AW15"/>
      <c r="AX15"/>
      <c r="AY15"/>
      <c r="AZ15"/>
      <c r="BA15"/>
      <c r="BB15"/>
      <c r="BC15"/>
      <c r="BD15"/>
      <c r="BE15"/>
      <c r="BF15" s="277"/>
      <c r="BG15" s="235"/>
      <c r="BH15"/>
      <c r="BI15"/>
      <c r="BJ15"/>
      <c r="BK15"/>
      <c r="BL15" s="277"/>
      <c r="BM15" s="235"/>
      <c r="BN15"/>
      <c r="BO15"/>
      <c r="BP15" s="277"/>
      <c r="BQ15" s="235"/>
      <c r="BR15" s="277"/>
      <c r="BS15" s="235"/>
      <c r="BT15" s="277"/>
      <c r="BU15" s="235"/>
      <c r="BV15" s="277"/>
      <c r="BW15" s="235"/>
      <c r="BX15" s="277"/>
      <c r="BY15" s="235"/>
      <c r="BZ15"/>
      <c r="CB15" s="266"/>
      <c r="CC15"/>
      <c r="CD15" s="277"/>
      <c r="CE15" s="291"/>
      <c r="CF15"/>
      <c r="CG15"/>
      <c r="CH15"/>
      <c r="CI15"/>
      <c r="CK15"/>
      <c r="CL15" s="223">
        <v>3</v>
      </c>
      <c r="CM15" s="259">
        <v>42161</v>
      </c>
      <c r="CN15" s="345" t="s">
        <v>8634</v>
      </c>
    </row>
    <row r="16" spans="1:94">
      <c r="A16" s="258">
        <v>28</v>
      </c>
      <c r="B16" s="235">
        <v>28</v>
      </c>
      <c r="C16" s="346" t="s">
        <v>7576</v>
      </c>
      <c r="D16" s="235"/>
      <c r="E16" s="235"/>
      <c r="F16" s="235"/>
      <c r="G16" s="235"/>
      <c r="H16" s="235" t="s">
        <v>265</v>
      </c>
      <c r="I16" s="235">
        <v>1</v>
      </c>
      <c r="K16" s="235">
        <v>28</v>
      </c>
      <c r="L16" s="235">
        <f t="shared" si="0"/>
        <v>28</v>
      </c>
      <c r="M16" s="235">
        <v>1</v>
      </c>
      <c r="O16" s="248">
        <v>42048</v>
      </c>
      <c r="P16"/>
      <c r="Q16" s="219"/>
      <c r="R16"/>
      <c r="S16"/>
      <c r="T16"/>
      <c r="V16" s="219"/>
      <c r="W16" s="219"/>
      <c r="X16">
        <v>15.55</v>
      </c>
      <c r="Y16"/>
      <c r="Z16"/>
      <c r="AA16"/>
      <c r="AB16" s="220"/>
      <c r="AC16" s="219"/>
      <c r="AD16" s="221"/>
      <c r="AE16" s="219"/>
      <c r="AF16" s="220"/>
      <c r="AG16" s="219"/>
      <c r="AH16" s="220"/>
      <c r="AI16" s="219"/>
      <c r="AJ16" s="286"/>
      <c r="AK16" s="284"/>
      <c r="AL16"/>
      <c r="AM16"/>
      <c r="AN16" s="241">
        <v>70</v>
      </c>
      <c r="AO16" s="242">
        <v>42074</v>
      </c>
      <c r="AP16" s="255">
        <v>104</v>
      </c>
      <c r="AQ16" s="242">
        <v>42108</v>
      </c>
      <c r="AR16"/>
      <c r="AS16" s="297"/>
      <c r="AT16" s="290"/>
      <c r="AU16" s="298"/>
      <c r="AV16"/>
      <c r="AW16"/>
      <c r="AX16"/>
      <c r="AY16"/>
      <c r="AZ16"/>
      <c r="BA16"/>
      <c r="BB16"/>
      <c r="BC16"/>
      <c r="BD16"/>
      <c r="BE16"/>
      <c r="BF16" s="277"/>
      <c r="BG16" s="235"/>
      <c r="BH16"/>
      <c r="BI16"/>
      <c r="BJ16"/>
      <c r="BK16"/>
      <c r="BL16" s="277"/>
      <c r="BM16" s="235"/>
      <c r="BN16"/>
      <c r="BO16"/>
      <c r="BP16" s="277"/>
      <c r="BQ16" s="235"/>
      <c r="BR16" s="277"/>
      <c r="BS16" s="235"/>
      <c r="BT16" s="277"/>
      <c r="BU16" s="235"/>
      <c r="BV16" s="277"/>
      <c r="BW16" s="235"/>
      <c r="BX16" s="277"/>
      <c r="BY16" s="235"/>
      <c r="BZ16"/>
      <c r="CB16" s="266"/>
      <c r="CC16"/>
      <c r="CD16" s="277"/>
      <c r="CE16" s="291"/>
      <c r="CF16"/>
      <c r="CG16"/>
      <c r="CH16"/>
      <c r="CI16"/>
      <c r="CK16"/>
      <c r="CL16" s="223">
        <v>2</v>
      </c>
      <c r="CM16" s="259">
        <v>42161</v>
      </c>
      <c r="CN16" s="345" t="s">
        <v>8634</v>
      </c>
    </row>
    <row r="17" spans="1:93">
      <c r="A17" s="258">
        <v>33</v>
      </c>
      <c r="B17" s="235">
        <v>33</v>
      </c>
      <c r="C17" s="346" t="s">
        <v>7648</v>
      </c>
      <c r="D17" s="235" t="s">
        <v>7480</v>
      </c>
      <c r="E17" s="235" t="s">
        <v>7648</v>
      </c>
      <c r="F17" s="235" t="s">
        <v>8618</v>
      </c>
      <c r="G17" s="235" t="str">
        <f>IF(MID(C17,1,3)="BGA","Complement","Rapsodyn")</f>
        <v>Rapsodyn</v>
      </c>
      <c r="H17" s="235" t="s">
        <v>265</v>
      </c>
      <c r="I17" s="235">
        <v>1</v>
      </c>
      <c r="J17" s="235">
        <v>9034</v>
      </c>
      <c r="K17" s="235">
        <v>33</v>
      </c>
      <c r="L17" s="235">
        <f t="shared" si="0"/>
        <v>33</v>
      </c>
      <c r="M17" s="235">
        <v>1</v>
      </c>
      <c r="N17" s="235">
        <v>7</v>
      </c>
      <c r="O17" s="248">
        <v>42048</v>
      </c>
      <c r="P17">
        <v>5.55</v>
      </c>
      <c r="Q17" s="264">
        <v>42204</v>
      </c>
      <c r="R17"/>
      <c r="S17"/>
      <c r="T17"/>
      <c r="V17" s="219">
        <f t="shared" ref="V17:V21" si="8">+BR17*AF17/100</f>
        <v>15.070981142161711</v>
      </c>
      <c r="W17" s="219"/>
      <c r="X17">
        <v>15.55</v>
      </c>
      <c r="Y17"/>
      <c r="Z17"/>
      <c r="AA17"/>
      <c r="AB17" s="220">
        <f t="shared" ref="AB17:AB21" si="9">+AF17*BT17/100</f>
        <v>6.3883020166632942</v>
      </c>
      <c r="AC17" s="219"/>
      <c r="AD17" s="221">
        <f t="shared" ref="AD17:AD21" si="10">+(AF17/AJ17)*10000</f>
        <v>82738.965214849464</v>
      </c>
      <c r="AE17" s="219"/>
      <c r="AF17" s="220">
        <f t="shared" ref="AF17:AF21" si="11">($P17/$X17)*(((100-$CD17)/100*(100-2)/100))*100</f>
        <v>32.433674364220991</v>
      </c>
      <c r="AG17" s="219"/>
      <c r="AH17" s="220">
        <f t="shared" ref="AH17:AH21" si="12">($P17/$X17)*(((100-$CD17)/(100-9)*(100-2)/(100-2))*100)</f>
        <v>36.368775918615142</v>
      </c>
      <c r="AI17" s="219"/>
      <c r="AJ17">
        <v>3.92</v>
      </c>
      <c r="AK17" s="284" t="s">
        <v>8401</v>
      </c>
      <c r="AL17">
        <v>180</v>
      </c>
      <c r="AM17"/>
      <c r="AN17" s="241">
        <v>70</v>
      </c>
      <c r="AO17" s="242">
        <v>42074</v>
      </c>
      <c r="AP17" s="255">
        <v>106</v>
      </c>
      <c r="AQ17" s="242">
        <v>42110</v>
      </c>
      <c r="AR17" s="223">
        <v>133</v>
      </c>
      <c r="AS17" s="297">
        <f t="shared" ref="AS17:AS21" si="13">IF(AR17=0,,AR17)</f>
        <v>133</v>
      </c>
      <c r="AT17" s="290">
        <v>42137</v>
      </c>
      <c r="AU17" s="298"/>
      <c r="AV17"/>
      <c r="AW17"/>
      <c r="AX17"/>
      <c r="AY17"/>
      <c r="AZ17"/>
      <c r="BA17"/>
      <c r="BB17"/>
      <c r="BC17"/>
      <c r="BD17"/>
      <c r="BE17"/>
      <c r="BF17" s="277">
        <v>-7.2372021675109863</v>
      </c>
      <c r="BG17" s="283">
        <v>42230</v>
      </c>
      <c r="BH17"/>
      <c r="BI17"/>
      <c r="BJ17"/>
      <c r="BK17"/>
      <c r="BL17" s="277">
        <v>62.176738739013672</v>
      </c>
      <c r="BM17" s="283">
        <v>42230</v>
      </c>
      <c r="BN17"/>
      <c r="BO17"/>
      <c r="BP17" s="277">
        <v>3.3029379844665527</v>
      </c>
      <c r="BQ17" s="283">
        <v>42230</v>
      </c>
      <c r="BR17" s="277">
        <v>46.467079162597656</v>
      </c>
      <c r="BS17" s="283">
        <v>42230</v>
      </c>
      <c r="BT17" s="277">
        <v>19.696510314941406</v>
      </c>
      <c r="BU17" s="283">
        <v>42230</v>
      </c>
      <c r="BV17" s="277">
        <v>57.4888916015625</v>
      </c>
      <c r="BW17" s="283">
        <v>42230</v>
      </c>
      <c r="BX17" s="277">
        <v>5.7285308837890625</v>
      </c>
      <c r="BY17" s="283">
        <v>42230</v>
      </c>
      <c r="BZ17"/>
      <c r="CB17" s="266">
        <v>1.84</v>
      </c>
      <c r="CC17"/>
      <c r="CD17" s="277">
        <v>7.2727272727272796</v>
      </c>
      <c r="CE17" s="291" t="s">
        <v>8401</v>
      </c>
      <c r="CF17"/>
      <c r="CG17"/>
      <c r="CH17">
        <v>1</v>
      </c>
      <c r="CI17">
        <v>5</v>
      </c>
      <c r="CK17"/>
      <c r="CL17" s="223">
        <v>4</v>
      </c>
      <c r="CM17" s="259">
        <v>42161</v>
      </c>
      <c r="CN17" s="345" t="s">
        <v>8634</v>
      </c>
    </row>
    <row r="18" spans="1:93">
      <c r="A18" s="258">
        <v>35</v>
      </c>
      <c r="B18" s="235">
        <v>35</v>
      </c>
      <c r="C18" s="346" t="s">
        <v>7613</v>
      </c>
      <c r="D18" s="235" t="s">
        <v>7814</v>
      </c>
      <c r="E18" s="235" t="s">
        <v>7613</v>
      </c>
      <c r="F18" s="235" t="s">
        <v>8573</v>
      </c>
      <c r="G18" s="235" t="str">
        <f>IF(MID(C18,1,3)="BGA","Complement","Rapsodyn")</f>
        <v>Rapsodyn</v>
      </c>
      <c r="H18" s="235" t="s">
        <v>265</v>
      </c>
      <c r="I18" s="235">
        <v>1</v>
      </c>
      <c r="J18" s="235">
        <v>9006</v>
      </c>
      <c r="K18" s="235">
        <v>35</v>
      </c>
      <c r="L18" s="235">
        <f t="shared" si="0"/>
        <v>35</v>
      </c>
      <c r="M18" s="235">
        <v>1</v>
      </c>
      <c r="N18" s="235">
        <v>9</v>
      </c>
      <c r="O18" s="248">
        <v>42048</v>
      </c>
      <c r="P18">
        <v>4.3</v>
      </c>
      <c r="Q18" s="264">
        <v>42204</v>
      </c>
      <c r="R18"/>
      <c r="S18"/>
      <c r="T18"/>
      <c r="V18" s="219">
        <f t="shared" si="8"/>
        <v>11.771606260402866</v>
      </c>
      <c r="W18" s="219"/>
      <c r="X18">
        <v>15.55</v>
      </c>
      <c r="Y18"/>
      <c r="Z18"/>
      <c r="AA18"/>
      <c r="AB18" s="220">
        <f t="shared" si="9"/>
        <v>5.352013529017202</v>
      </c>
      <c r="AC18" s="219"/>
      <c r="AD18" s="221">
        <f t="shared" si="10"/>
        <v>54897.487222388743</v>
      </c>
      <c r="AE18" s="219"/>
      <c r="AF18" s="220">
        <f t="shared" si="11"/>
        <v>25.197946635076434</v>
      </c>
      <c r="AG18" s="219"/>
      <c r="AH18" s="220">
        <f t="shared" si="12"/>
        <v>28.255154334017082</v>
      </c>
      <c r="AI18" s="219"/>
      <c r="AJ18">
        <v>4.59</v>
      </c>
      <c r="AK18" s="284" t="s">
        <v>8402</v>
      </c>
      <c r="AL18">
        <v>185</v>
      </c>
      <c r="AM18"/>
      <c r="AN18" s="241">
        <v>70</v>
      </c>
      <c r="AO18" s="242">
        <v>42074</v>
      </c>
      <c r="AP18" s="255">
        <v>110</v>
      </c>
      <c r="AQ18" s="242">
        <v>42114</v>
      </c>
      <c r="AR18" s="223">
        <v>135</v>
      </c>
      <c r="AS18" s="297">
        <f t="shared" si="13"/>
        <v>135</v>
      </c>
      <c r="AT18" s="290">
        <v>42139</v>
      </c>
      <c r="AU18" s="298"/>
      <c r="AV18"/>
      <c r="AW18"/>
      <c r="AX18"/>
      <c r="AY18"/>
      <c r="AZ18"/>
      <c r="BA18"/>
      <c r="BB18"/>
      <c r="BC18"/>
      <c r="BD18"/>
      <c r="BE18"/>
      <c r="BF18" s="277">
        <v>33.921527862548828</v>
      </c>
      <c r="BG18" s="283">
        <v>42233</v>
      </c>
      <c r="BH18"/>
      <c r="BI18"/>
      <c r="BJ18"/>
      <c r="BK18"/>
      <c r="BL18" s="277">
        <v>59.958473205566406</v>
      </c>
      <c r="BM18" s="283">
        <v>42233</v>
      </c>
      <c r="BN18"/>
      <c r="BO18"/>
      <c r="BP18" s="277">
        <v>3.8495550155639648</v>
      </c>
      <c r="BQ18" s="283">
        <v>42233</v>
      </c>
      <c r="BR18" s="277">
        <v>46.716529846191406</v>
      </c>
      <c r="BS18" s="283">
        <v>42233</v>
      </c>
      <c r="BT18" s="277">
        <v>21.239879608154297</v>
      </c>
      <c r="BU18" s="283">
        <v>42233</v>
      </c>
      <c r="BV18" s="277">
        <v>71.406547546386719</v>
      </c>
      <c r="BW18" s="283">
        <v>42233</v>
      </c>
      <c r="BX18" s="277">
        <v>5.711517333984375</v>
      </c>
      <c r="BY18" s="283">
        <v>42233</v>
      </c>
      <c r="BZ18"/>
      <c r="CB18" s="266">
        <v>0.86</v>
      </c>
      <c r="CC18"/>
      <c r="CD18" s="277">
        <v>7.0175438596491295</v>
      </c>
      <c r="CE18" s="291" t="s">
        <v>8402</v>
      </c>
      <c r="CF18"/>
      <c r="CG18"/>
      <c r="CH18">
        <v>1</v>
      </c>
      <c r="CI18">
        <v>2</v>
      </c>
      <c r="CK18"/>
      <c r="CL18" s="223">
        <v>5</v>
      </c>
      <c r="CM18" s="259">
        <v>42161</v>
      </c>
      <c r="CN18" s="345" t="s">
        <v>8634</v>
      </c>
    </row>
    <row r="19" spans="1:93">
      <c r="A19" s="258">
        <v>38</v>
      </c>
      <c r="B19" s="235">
        <v>38</v>
      </c>
      <c r="C19" s="348" t="s">
        <v>7761</v>
      </c>
      <c r="D19" s="237" t="s">
        <v>7838</v>
      </c>
      <c r="E19" s="237" t="s">
        <v>7761</v>
      </c>
      <c r="F19" s="237" t="s">
        <v>8512</v>
      </c>
      <c r="G19" s="235" t="str">
        <f>IF(MID(C19,1,3)="BGA","Complement","Rapsodyn")</f>
        <v>Rapsodyn</v>
      </c>
      <c r="H19" s="235" t="s">
        <v>265</v>
      </c>
      <c r="I19" s="235">
        <v>1</v>
      </c>
      <c r="J19" s="237">
        <v>9132</v>
      </c>
      <c r="K19" s="237">
        <v>38</v>
      </c>
      <c r="L19" s="235">
        <f t="shared" si="0"/>
        <v>38</v>
      </c>
      <c r="M19" s="237">
        <v>1</v>
      </c>
      <c r="N19" s="235">
        <v>7</v>
      </c>
      <c r="O19" s="248">
        <v>42048</v>
      </c>
      <c r="P19">
        <v>7.25</v>
      </c>
      <c r="Q19" s="264">
        <v>42204</v>
      </c>
      <c r="R19"/>
      <c r="S19"/>
      <c r="T19"/>
      <c r="V19" s="219">
        <f t="shared" si="8"/>
        <v>21.800240788610679</v>
      </c>
      <c r="W19" s="219"/>
      <c r="X19">
        <v>15.55</v>
      </c>
      <c r="Y19"/>
      <c r="Z19"/>
      <c r="AA19"/>
      <c r="AB19" s="220">
        <f t="shared" si="9"/>
        <v>8.0265245401577516</v>
      </c>
      <c r="AC19" s="219"/>
      <c r="AD19" s="221">
        <f t="shared" si="10"/>
        <v>100200.25949117166</v>
      </c>
      <c r="AE19" s="219"/>
      <c r="AF19" s="220">
        <f t="shared" si="11"/>
        <v>44.088114176115532</v>
      </c>
      <c r="AG19" s="219"/>
      <c r="AH19" s="220">
        <f t="shared" si="12"/>
        <v>49.437221547561712</v>
      </c>
      <c r="AI19" s="219"/>
      <c r="AJ19">
        <v>4.4000000000000004</v>
      </c>
      <c r="AK19" s="284" t="s">
        <v>8400</v>
      </c>
      <c r="AL19">
        <v>180</v>
      </c>
      <c r="AM19"/>
      <c r="AN19" s="241">
        <v>65</v>
      </c>
      <c r="AO19" s="244">
        <v>42069</v>
      </c>
      <c r="AP19" s="255">
        <v>104</v>
      </c>
      <c r="AQ19" s="242">
        <v>42108</v>
      </c>
      <c r="AR19" s="223">
        <v>130</v>
      </c>
      <c r="AS19" s="297">
        <f t="shared" si="13"/>
        <v>130</v>
      </c>
      <c r="AT19" s="290">
        <v>42134</v>
      </c>
      <c r="AU19" s="298"/>
      <c r="AV19"/>
      <c r="AW19"/>
      <c r="AX19"/>
      <c r="AY19"/>
      <c r="AZ19"/>
      <c r="BA19"/>
      <c r="BB19"/>
      <c r="BC19"/>
      <c r="BD19"/>
      <c r="BE19"/>
      <c r="BF19" s="277">
        <v>-2.5788919925689697</v>
      </c>
      <c r="BG19" s="283">
        <v>42233</v>
      </c>
      <c r="BH19"/>
      <c r="BI19"/>
      <c r="BJ19"/>
      <c r="BK19"/>
      <c r="BL19" s="277">
        <v>64.098747253417969</v>
      </c>
      <c r="BM19" s="283">
        <v>42233</v>
      </c>
      <c r="BN19"/>
      <c r="BO19"/>
      <c r="BP19" s="277">
        <v>3.9728701114654541</v>
      </c>
      <c r="BQ19" s="283">
        <v>42233</v>
      </c>
      <c r="BR19" s="277">
        <v>49.446979522705078</v>
      </c>
      <c r="BS19" s="283">
        <v>42233</v>
      </c>
      <c r="BT19" s="277">
        <v>18.205642700195313</v>
      </c>
      <c r="BU19" s="283">
        <v>42233</v>
      </c>
      <c r="BV19" s="277">
        <v>13.665251731872559</v>
      </c>
      <c r="BW19" s="283">
        <v>42233</v>
      </c>
      <c r="BX19" s="277">
        <v>5.436126708984375</v>
      </c>
      <c r="BY19" s="283">
        <v>42233</v>
      </c>
      <c r="BZ19"/>
      <c r="CB19" s="266">
        <v>0.99</v>
      </c>
      <c r="CC19"/>
      <c r="CD19" s="277">
        <v>3.5087719298245648</v>
      </c>
      <c r="CE19" s="291" t="s">
        <v>8400</v>
      </c>
      <c r="CF19"/>
      <c r="CG19"/>
      <c r="CH19">
        <v>1</v>
      </c>
      <c r="CI19">
        <v>2</v>
      </c>
      <c r="CK19"/>
      <c r="CL19" s="223">
        <v>1</v>
      </c>
      <c r="CM19" s="259">
        <v>42161</v>
      </c>
      <c r="CN19" s="345" t="s">
        <v>8634</v>
      </c>
    </row>
    <row r="20" spans="1:93">
      <c r="A20" s="258">
        <v>39</v>
      </c>
      <c r="B20" s="235">
        <v>39</v>
      </c>
      <c r="C20" s="346" t="s">
        <v>7705</v>
      </c>
      <c r="D20" s="235" t="s">
        <v>7531</v>
      </c>
      <c r="E20" s="235" t="s">
        <v>7705</v>
      </c>
      <c r="F20" s="235" t="s">
        <v>8471</v>
      </c>
      <c r="G20" s="235" t="str">
        <f>IF(MID(C20,1,3)="BGA","Complement","Rapsodyn")</f>
        <v>Rapsodyn</v>
      </c>
      <c r="H20" s="235" t="s">
        <v>265</v>
      </c>
      <c r="I20" s="235">
        <v>1</v>
      </c>
      <c r="J20" s="235">
        <v>9087</v>
      </c>
      <c r="K20" s="235">
        <v>39</v>
      </c>
      <c r="L20" s="235">
        <f t="shared" si="0"/>
        <v>39</v>
      </c>
      <c r="M20" s="235">
        <v>1</v>
      </c>
      <c r="N20" s="236">
        <v>5</v>
      </c>
      <c r="O20" s="248">
        <v>42048</v>
      </c>
      <c r="P20">
        <v>4.5999999999999996</v>
      </c>
      <c r="Q20" s="264">
        <v>42204</v>
      </c>
      <c r="R20"/>
      <c r="S20"/>
      <c r="T20"/>
      <c r="V20" s="219">
        <f t="shared" si="8"/>
        <v>12.597639293609323</v>
      </c>
      <c r="W20" s="219"/>
      <c r="X20">
        <v>15.55</v>
      </c>
      <c r="Y20"/>
      <c r="Z20"/>
      <c r="AA20"/>
      <c r="AB20" s="220">
        <f t="shared" si="9"/>
        <v>5.796590530842531</v>
      </c>
      <c r="AC20" s="219"/>
      <c r="AD20" s="221">
        <f t="shared" si="10"/>
        <v>64727.60872888576</v>
      </c>
      <c r="AE20" s="219"/>
      <c r="AF20" s="220">
        <f t="shared" si="11"/>
        <v>27.379778492318678</v>
      </c>
      <c r="AG20" s="219"/>
      <c r="AH20" s="220">
        <f t="shared" si="12"/>
        <v>30.701702727426195</v>
      </c>
      <c r="AI20" s="219"/>
      <c r="AJ20">
        <v>4.2300000000000004</v>
      </c>
      <c r="AK20" s="284" t="s">
        <v>8400</v>
      </c>
      <c r="AL20">
        <v>165</v>
      </c>
      <c r="AM20"/>
      <c r="AN20" s="241">
        <v>75</v>
      </c>
      <c r="AO20" s="242">
        <v>42079</v>
      </c>
      <c r="AP20" s="255">
        <v>110</v>
      </c>
      <c r="AQ20" s="242">
        <v>42114</v>
      </c>
      <c r="AR20" s="223">
        <v>136</v>
      </c>
      <c r="AS20" s="297">
        <f t="shared" si="13"/>
        <v>136</v>
      </c>
      <c r="AT20" s="290">
        <v>42140</v>
      </c>
      <c r="AU20" s="298"/>
      <c r="AV20"/>
      <c r="AW20"/>
      <c r="AX20"/>
      <c r="AY20"/>
      <c r="AZ20"/>
      <c r="BA20"/>
      <c r="BB20"/>
      <c r="BC20"/>
      <c r="BD20"/>
      <c r="BE20"/>
      <c r="BF20" s="277">
        <v>-6.2511038780212402</v>
      </c>
      <c r="BG20" s="283">
        <v>42234</v>
      </c>
      <c r="BH20"/>
      <c r="BI20"/>
      <c r="BJ20"/>
      <c r="BK20"/>
      <c r="BL20" s="277">
        <v>62.008762359619141</v>
      </c>
      <c r="BM20" s="283">
        <v>42234</v>
      </c>
      <c r="BN20"/>
      <c r="BO20"/>
      <c r="BP20" s="277">
        <v>3.3888030052185059</v>
      </c>
      <c r="BQ20" s="283">
        <v>42234</v>
      </c>
      <c r="BR20" s="277">
        <v>46.0107421875</v>
      </c>
      <c r="BS20" s="283">
        <v>42234</v>
      </c>
      <c r="BT20" s="277">
        <v>21.171064376831055</v>
      </c>
      <c r="BU20" s="283">
        <v>42234</v>
      </c>
      <c r="BV20" s="277">
        <v>17.688554763793945</v>
      </c>
      <c r="BW20" s="283">
        <v>42234</v>
      </c>
      <c r="BX20" s="277">
        <v>5.7203369140625</v>
      </c>
      <c r="BY20" s="283">
        <v>42234</v>
      </c>
      <c r="BZ20"/>
      <c r="CB20" s="266">
        <v>0.63</v>
      </c>
      <c r="CC20"/>
      <c r="CD20" s="277">
        <v>5.5555555555555687</v>
      </c>
      <c r="CE20" s="291" t="s">
        <v>8400</v>
      </c>
      <c r="CF20"/>
      <c r="CG20"/>
      <c r="CH20">
        <v>5</v>
      </c>
      <c r="CI20">
        <v>2</v>
      </c>
      <c r="CK20" s="223"/>
      <c r="CL20" s="223">
        <v>3</v>
      </c>
      <c r="CM20" s="259">
        <v>42161</v>
      </c>
      <c r="CN20" s="345" t="s">
        <v>8634</v>
      </c>
    </row>
    <row r="21" spans="1:93">
      <c r="A21" s="258">
        <v>40</v>
      </c>
      <c r="B21" s="235">
        <v>40</v>
      </c>
      <c r="C21" s="346" t="s">
        <v>7807</v>
      </c>
      <c r="D21" s="235" t="s">
        <v>7601</v>
      </c>
      <c r="E21" s="235" t="s">
        <v>7807</v>
      </c>
      <c r="F21" s="235" t="s">
        <v>8452</v>
      </c>
      <c r="G21" s="235" t="str">
        <f>IF(MID(C21,1,3)="BGA","Complement","Rapsodyn")</f>
        <v>Rapsodyn</v>
      </c>
      <c r="H21" s="235" t="s">
        <v>265</v>
      </c>
      <c r="I21" s="235">
        <v>1</v>
      </c>
      <c r="J21" s="235">
        <v>9178</v>
      </c>
      <c r="K21" s="235">
        <v>40</v>
      </c>
      <c r="L21" s="235">
        <f t="shared" si="0"/>
        <v>40</v>
      </c>
      <c r="M21" s="235">
        <v>1</v>
      </c>
      <c r="N21" s="235">
        <v>5</v>
      </c>
      <c r="O21" s="248">
        <v>42048</v>
      </c>
      <c r="P21">
        <v>7.7</v>
      </c>
      <c r="Q21" s="264">
        <v>42204</v>
      </c>
      <c r="R21"/>
      <c r="S21"/>
      <c r="T21"/>
      <c r="V21" s="219">
        <f t="shared" si="8"/>
        <v>22.091350565674219</v>
      </c>
      <c r="W21" s="219"/>
      <c r="X21">
        <v>15.55</v>
      </c>
      <c r="Y21"/>
      <c r="Z21"/>
      <c r="AA21"/>
      <c r="AB21" s="220">
        <f t="shared" si="9"/>
        <v>7.8753748176402976</v>
      </c>
      <c r="AC21" s="219"/>
      <c r="AD21" s="221">
        <f t="shared" si="10"/>
        <v>100034.41078580696</v>
      </c>
      <c r="AE21" s="219"/>
      <c r="AF21" s="220">
        <f t="shared" si="11"/>
        <v>45.615691318327968</v>
      </c>
      <c r="AG21" s="219"/>
      <c r="AH21" s="220">
        <f t="shared" si="12"/>
        <v>51.15013603759585</v>
      </c>
      <c r="AI21" s="219"/>
      <c r="AJ21" s="287">
        <v>4.5599999999999996</v>
      </c>
      <c r="AK21" s="284">
        <v>42256</v>
      </c>
      <c r="AL21">
        <v>180</v>
      </c>
      <c r="AM21"/>
      <c r="AN21" s="241">
        <v>70</v>
      </c>
      <c r="AO21" s="242">
        <v>42074</v>
      </c>
      <c r="AP21" s="255">
        <v>106</v>
      </c>
      <c r="AQ21" s="242">
        <v>42110</v>
      </c>
      <c r="AR21" s="223">
        <v>137</v>
      </c>
      <c r="AS21" s="297">
        <f t="shared" si="13"/>
        <v>137</v>
      </c>
      <c r="AT21" s="290">
        <v>42141</v>
      </c>
      <c r="AU21" s="298"/>
      <c r="AV21"/>
      <c r="AW21"/>
      <c r="AX21"/>
      <c r="AY21"/>
      <c r="AZ21"/>
      <c r="BA21"/>
      <c r="BB21"/>
      <c r="BC21"/>
      <c r="BD21"/>
      <c r="BE21"/>
      <c r="BF21" s="277">
        <v>-0.11864499747753143</v>
      </c>
      <c r="BG21" s="283">
        <v>42234</v>
      </c>
      <c r="BH21"/>
      <c r="BI21"/>
      <c r="BJ21"/>
      <c r="BK21"/>
      <c r="BL21" s="277">
        <v>62.253684997558594</v>
      </c>
      <c r="BM21" s="283">
        <v>42234</v>
      </c>
      <c r="BN21"/>
      <c r="BO21"/>
      <c r="BP21" s="277">
        <v>3.7439150810241699</v>
      </c>
      <c r="BQ21" s="283">
        <v>42234</v>
      </c>
      <c r="BR21" s="277">
        <v>48.429279327392578</v>
      </c>
      <c r="BS21" s="283">
        <v>42234</v>
      </c>
      <c r="BT21" s="277">
        <v>17.264617919921875</v>
      </c>
      <c r="BU21" s="283">
        <v>42234</v>
      </c>
      <c r="BV21" s="277">
        <v>13.537844657897949</v>
      </c>
      <c r="BW21" s="283">
        <v>42234</v>
      </c>
      <c r="BX21" s="277">
        <v>5.6920318603515625</v>
      </c>
      <c r="BY21" s="283">
        <v>42234</v>
      </c>
      <c r="BZ21"/>
      <c r="CB21" s="266">
        <v>1.61</v>
      </c>
      <c r="CC21"/>
      <c r="CD21" s="277">
        <v>6</v>
      </c>
      <c r="CE21" s="291">
        <v>42256</v>
      </c>
      <c r="CF21"/>
      <c r="CG21"/>
      <c r="CH21">
        <v>3</v>
      </c>
      <c r="CI21">
        <v>4</v>
      </c>
      <c r="CK21"/>
      <c r="CL21" s="223">
        <v>3</v>
      </c>
      <c r="CM21" s="259">
        <v>42161</v>
      </c>
      <c r="CN21" s="345" t="s">
        <v>8634</v>
      </c>
    </row>
    <row r="22" spans="1:93">
      <c r="A22" s="258">
        <v>49</v>
      </c>
      <c r="B22" s="235">
        <v>49</v>
      </c>
      <c r="C22" s="346" t="s">
        <v>7576</v>
      </c>
      <c r="D22" s="235"/>
      <c r="E22" s="235"/>
      <c r="F22" s="235"/>
      <c r="G22" s="235"/>
      <c r="H22" s="235" t="s">
        <v>265</v>
      </c>
      <c r="I22" s="235">
        <v>1</v>
      </c>
      <c r="K22" s="235">
        <v>49</v>
      </c>
      <c r="L22" s="235">
        <f t="shared" si="0"/>
        <v>49</v>
      </c>
      <c r="M22" s="235">
        <v>1</v>
      </c>
      <c r="O22" s="248">
        <v>42048</v>
      </c>
      <c r="P22" s="223"/>
      <c r="Q22" s="224"/>
      <c r="R22" s="223"/>
      <c r="S22" s="223"/>
      <c r="T22" s="223"/>
      <c r="U22" s="225"/>
      <c r="V22" s="219"/>
      <c r="W22" s="224"/>
      <c r="X22">
        <v>15.55</v>
      </c>
      <c r="Y22" s="223"/>
      <c r="Z22" s="223"/>
      <c r="AA22" s="223"/>
      <c r="AB22" s="220"/>
      <c r="AC22" s="224"/>
      <c r="AD22" s="221"/>
      <c r="AE22" s="224"/>
      <c r="AF22" s="220"/>
      <c r="AG22" s="224"/>
      <c r="AH22" s="220"/>
      <c r="AI22" s="224"/>
      <c r="AJ22" s="286"/>
      <c r="AK22" s="290"/>
      <c r="AL22" s="223"/>
      <c r="AM22" s="223"/>
      <c r="AN22" s="241">
        <v>70</v>
      </c>
      <c r="AO22" s="242">
        <v>42074</v>
      </c>
      <c r="AP22" s="255">
        <v>104</v>
      </c>
      <c r="AQ22" s="242">
        <v>42108</v>
      </c>
      <c r="AR22" s="223"/>
      <c r="AS22" s="297"/>
      <c r="AT22" s="290"/>
      <c r="AU22" s="298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81"/>
      <c r="BG22" s="235"/>
      <c r="BH22" s="223"/>
      <c r="BI22" s="223"/>
      <c r="BJ22" s="223"/>
      <c r="BK22" s="223"/>
      <c r="BL22" s="281"/>
      <c r="BM22" s="235"/>
      <c r="BN22" s="223"/>
      <c r="BO22" s="223"/>
      <c r="BP22" s="281"/>
      <c r="BQ22" s="235"/>
      <c r="BR22" s="281"/>
      <c r="BS22" s="235"/>
      <c r="BT22" s="281"/>
      <c r="BU22" s="235"/>
      <c r="BV22" s="281"/>
      <c r="BW22" s="235"/>
      <c r="BX22" s="281"/>
      <c r="BY22" s="235"/>
      <c r="BZ22" s="223"/>
      <c r="CA22" s="226"/>
      <c r="CB22" s="266"/>
      <c r="CC22" s="223"/>
      <c r="CD22" s="281"/>
      <c r="CE22" s="291"/>
      <c r="CF22" s="223"/>
      <c r="CG22" s="223"/>
      <c r="CH22" s="223"/>
      <c r="CI22" s="223"/>
      <c r="CK22" s="223"/>
      <c r="CL22" s="223">
        <v>2</v>
      </c>
      <c r="CM22" s="259">
        <v>42161</v>
      </c>
      <c r="CN22" s="345" t="s">
        <v>8634</v>
      </c>
    </row>
    <row r="23" spans="1:93">
      <c r="A23" s="258">
        <v>50</v>
      </c>
      <c r="B23" s="235">
        <v>50</v>
      </c>
      <c r="C23" s="346" t="s">
        <v>7576</v>
      </c>
      <c r="D23" s="235"/>
      <c r="E23" s="235"/>
      <c r="F23" s="235"/>
      <c r="G23" s="235"/>
      <c r="H23" s="235" t="s">
        <v>265</v>
      </c>
      <c r="I23" s="235">
        <v>1</v>
      </c>
      <c r="K23" s="235">
        <v>50</v>
      </c>
      <c r="L23" s="235">
        <f t="shared" si="0"/>
        <v>50</v>
      </c>
      <c r="M23" s="235">
        <v>1</v>
      </c>
      <c r="O23" s="248">
        <v>42048</v>
      </c>
      <c r="P23" s="223"/>
      <c r="Q23" s="224"/>
      <c r="R23" s="223"/>
      <c r="S23" s="223"/>
      <c r="T23" s="223"/>
      <c r="U23" s="225"/>
      <c r="V23" s="219"/>
      <c r="W23" s="224"/>
      <c r="X23">
        <v>15.55</v>
      </c>
      <c r="Y23" s="223"/>
      <c r="Z23" s="223"/>
      <c r="AA23" s="223"/>
      <c r="AB23" s="220"/>
      <c r="AC23" s="224"/>
      <c r="AD23" s="221"/>
      <c r="AE23" s="224"/>
      <c r="AF23" s="220"/>
      <c r="AG23" s="224"/>
      <c r="AH23" s="220"/>
      <c r="AI23" s="224"/>
      <c r="AJ23" s="286"/>
      <c r="AK23" s="290"/>
      <c r="AL23" s="223"/>
      <c r="AM23" s="223"/>
      <c r="AN23" s="241">
        <v>70</v>
      </c>
      <c r="AO23" s="242">
        <v>42074</v>
      </c>
      <c r="AP23" s="255">
        <v>104</v>
      </c>
      <c r="AQ23" s="242">
        <v>42108</v>
      </c>
      <c r="AR23" s="223"/>
      <c r="AS23" s="297"/>
      <c r="AT23" s="290"/>
      <c r="AU23" s="298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81"/>
      <c r="BG23" s="235"/>
      <c r="BH23" s="223"/>
      <c r="BI23" s="223"/>
      <c r="BJ23" s="223"/>
      <c r="BK23" s="223"/>
      <c r="BL23" s="281"/>
      <c r="BM23" s="235"/>
      <c r="BN23" s="223"/>
      <c r="BO23" s="223"/>
      <c r="BP23" s="281"/>
      <c r="BQ23" s="235"/>
      <c r="BR23" s="281"/>
      <c r="BS23" s="235"/>
      <c r="BT23" s="281"/>
      <c r="BU23" s="235"/>
      <c r="BV23" s="281"/>
      <c r="BW23" s="235"/>
      <c r="BX23" s="281"/>
      <c r="BY23" s="235"/>
      <c r="BZ23" s="223"/>
      <c r="CA23" s="226"/>
      <c r="CB23" s="266"/>
      <c r="CC23" s="223"/>
      <c r="CD23" s="281"/>
      <c r="CE23" s="291"/>
      <c r="CF23" s="223"/>
      <c r="CG23" s="223"/>
      <c r="CH23" s="223"/>
      <c r="CI23" s="223"/>
      <c r="CK23" s="223"/>
      <c r="CL23" s="223">
        <v>2</v>
      </c>
      <c r="CM23" s="259">
        <v>42161</v>
      </c>
      <c r="CN23" s="345" t="s">
        <v>8634</v>
      </c>
    </row>
    <row r="24" spans="1:93">
      <c r="A24" s="258">
        <v>53</v>
      </c>
      <c r="B24" s="235">
        <v>53</v>
      </c>
      <c r="C24" s="346" t="s">
        <v>7666</v>
      </c>
      <c r="D24" s="235" t="s">
        <v>7495</v>
      </c>
      <c r="E24" s="235" t="s">
        <v>7666</v>
      </c>
      <c r="F24" s="235" t="s">
        <v>8479</v>
      </c>
      <c r="G24" s="235" t="str">
        <f t="shared" ref="G24:G37" si="14">IF(MID(C24,1,3)="BGA","Complement","Rapsodyn")</f>
        <v>Rapsodyn</v>
      </c>
      <c r="H24" s="235" t="s">
        <v>265</v>
      </c>
      <c r="I24" s="235">
        <v>1</v>
      </c>
      <c r="J24" s="235">
        <v>9049</v>
      </c>
      <c r="K24" s="235">
        <v>53</v>
      </c>
      <c r="L24" s="235">
        <f t="shared" si="0"/>
        <v>53</v>
      </c>
      <c r="M24" s="235">
        <v>1</v>
      </c>
      <c r="N24" s="235">
        <v>7</v>
      </c>
      <c r="O24" s="248">
        <v>42048</v>
      </c>
      <c r="P24">
        <v>6.6</v>
      </c>
      <c r="Q24" s="264">
        <v>42204</v>
      </c>
      <c r="R24" s="261"/>
      <c r="S24"/>
      <c r="T24"/>
      <c r="V24" s="219">
        <f t="shared" ref="V24:V37" si="15">+BR24*AF24/100</f>
        <v>19.321130984544066</v>
      </c>
      <c r="W24" s="219"/>
      <c r="X24">
        <v>15.55</v>
      </c>
      <c r="Y24"/>
      <c r="Z24"/>
      <c r="AA24"/>
      <c r="AB24" s="220">
        <f t="shared" ref="AB24:AB37" si="16">+AF24*BT24/100</f>
        <v>6.7468876488879754</v>
      </c>
      <c r="AC24" s="219"/>
      <c r="AD24" s="221">
        <f t="shared" ref="AD24:AD37" si="17">+(AF24/AJ24)*10000</f>
        <v>80743.044031414509</v>
      </c>
      <c r="AE24" s="219"/>
      <c r="AF24" s="220">
        <f t="shared" ref="AF24:AF37" si="18">($P24/$X24)*(((100-$CD24)/100*(100-2)/100))*100</f>
        <v>38.675918091047549</v>
      </c>
      <c r="AG24" s="219"/>
      <c r="AH24" s="220">
        <f t="shared" ref="AH24:AH37" si="19">($P24/$X24)*(((100-$CD24)/(100-9)*(100-2)/(100-2))*100)</f>
        <v>43.368376419654133</v>
      </c>
      <c r="AI24" s="219"/>
      <c r="AJ24">
        <v>4.79</v>
      </c>
      <c r="AK24" s="284" t="s">
        <v>8399</v>
      </c>
      <c r="AL24">
        <v>175</v>
      </c>
      <c r="AM24"/>
      <c r="AN24" s="241">
        <v>72</v>
      </c>
      <c r="AO24" s="242">
        <v>42076</v>
      </c>
      <c r="AP24" s="255">
        <v>110</v>
      </c>
      <c r="AQ24" s="242">
        <v>42114</v>
      </c>
      <c r="AR24" s="223">
        <v>133</v>
      </c>
      <c r="AS24" s="297">
        <f t="shared" ref="AS24:AS37" si="20">IF(AR24=0,,AR24)</f>
        <v>133</v>
      </c>
      <c r="AT24" s="290">
        <v>42137</v>
      </c>
      <c r="AU24" s="298"/>
      <c r="AV24"/>
      <c r="AW24"/>
      <c r="AX24"/>
      <c r="AY24"/>
      <c r="AZ24"/>
      <c r="BA24"/>
      <c r="BB24"/>
      <c r="BC24"/>
      <c r="BD24"/>
      <c r="BE24"/>
      <c r="BF24" s="277">
        <v>-1.610882043838501</v>
      </c>
      <c r="BG24" s="283">
        <v>42233</v>
      </c>
      <c r="BH24"/>
      <c r="BI24"/>
      <c r="BJ24"/>
      <c r="BK24"/>
      <c r="BL24" s="277">
        <v>64.769485473632812</v>
      </c>
      <c r="BM24" s="283">
        <v>42233</v>
      </c>
      <c r="BN24"/>
      <c r="BO24"/>
      <c r="BP24" s="277">
        <v>3.2619800567626953</v>
      </c>
      <c r="BQ24" s="283">
        <v>42233</v>
      </c>
      <c r="BR24" s="277">
        <v>49.956489562988281</v>
      </c>
      <c r="BS24" s="283">
        <v>42233</v>
      </c>
      <c r="BT24" s="277">
        <v>17.444673538208008</v>
      </c>
      <c r="BU24" s="283">
        <v>42233</v>
      </c>
      <c r="BV24" s="277">
        <v>15.832272529602051</v>
      </c>
      <c r="BW24" s="283">
        <v>42233</v>
      </c>
      <c r="BX24" s="277">
        <v>5.4139556884765625</v>
      </c>
      <c r="BY24" s="283">
        <v>42233</v>
      </c>
      <c r="BZ24"/>
      <c r="CB24" s="266">
        <v>1.95</v>
      </c>
      <c r="CC24"/>
      <c r="CD24" s="277">
        <v>7.0175438596491295</v>
      </c>
      <c r="CE24" s="291" t="s">
        <v>8399</v>
      </c>
      <c r="CF24"/>
      <c r="CG24"/>
      <c r="CH24">
        <v>2</v>
      </c>
      <c r="CI24">
        <v>3</v>
      </c>
      <c r="CK24"/>
      <c r="CL24" s="223">
        <v>3</v>
      </c>
      <c r="CM24" s="259">
        <v>42161</v>
      </c>
      <c r="CN24" s="345" t="s">
        <v>8634</v>
      </c>
    </row>
    <row r="25" spans="1:93">
      <c r="A25" s="258">
        <v>54</v>
      </c>
      <c r="B25" s="235">
        <v>54</v>
      </c>
      <c r="C25" s="346" t="s">
        <v>7664</v>
      </c>
      <c r="D25" s="235" t="s">
        <v>7494</v>
      </c>
      <c r="E25" s="235" t="s">
        <v>7664</v>
      </c>
      <c r="F25" s="235" t="s">
        <v>8456</v>
      </c>
      <c r="G25" s="235" t="str">
        <f t="shared" si="14"/>
        <v>Rapsodyn</v>
      </c>
      <c r="H25" s="235" t="s">
        <v>265</v>
      </c>
      <c r="I25" s="235">
        <v>1</v>
      </c>
      <c r="J25" s="235">
        <v>9047</v>
      </c>
      <c r="K25" s="235">
        <v>54</v>
      </c>
      <c r="L25" s="235">
        <f t="shared" si="0"/>
        <v>54</v>
      </c>
      <c r="M25" s="235">
        <v>1</v>
      </c>
      <c r="N25" s="235">
        <v>9</v>
      </c>
      <c r="O25" s="248">
        <v>42048</v>
      </c>
      <c r="P25" s="223">
        <v>6.5</v>
      </c>
      <c r="Q25" s="264">
        <v>42204</v>
      </c>
      <c r="R25" s="223"/>
      <c r="S25" s="223"/>
      <c r="T25" s="223"/>
      <c r="U25" s="225"/>
      <c r="V25" s="219">
        <f t="shared" si="15"/>
        <v>19.09224885444014</v>
      </c>
      <c r="W25" s="224"/>
      <c r="X25">
        <v>15.55</v>
      </c>
      <c r="Y25" s="223"/>
      <c r="Z25" s="223"/>
      <c r="AA25" s="223"/>
      <c r="AB25" s="220">
        <f t="shared" si="16"/>
        <v>6.7253731099782348</v>
      </c>
      <c r="AC25" s="224"/>
      <c r="AD25" s="221">
        <f t="shared" si="17"/>
        <v>88488.224344425107</v>
      </c>
      <c r="AE25" s="224"/>
      <c r="AF25" s="220">
        <f t="shared" si="18"/>
        <v>37.872960019413945</v>
      </c>
      <c r="AG25" s="224"/>
      <c r="AH25" s="220">
        <f t="shared" si="19"/>
        <v>42.467997330583025</v>
      </c>
      <c r="AI25" s="224"/>
      <c r="AJ25">
        <v>4.28</v>
      </c>
      <c r="AK25" s="290" t="s">
        <v>8399</v>
      </c>
      <c r="AL25" s="223">
        <v>165</v>
      </c>
      <c r="AM25" s="223"/>
      <c r="AN25" s="241">
        <v>70</v>
      </c>
      <c r="AO25" s="242">
        <v>42074</v>
      </c>
      <c r="AP25" s="255">
        <v>106</v>
      </c>
      <c r="AQ25" s="242">
        <v>42110</v>
      </c>
      <c r="AR25" s="223">
        <v>133</v>
      </c>
      <c r="AS25" s="297">
        <f t="shared" si="20"/>
        <v>133</v>
      </c>
      <c r="AT25" s="290">
        <v>42137</v>
      </c>
      <c r="AU25" s="298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81">
        <v>-1.5899029970169067</v>
      </c>
      <c r="BG25" s="283">
        <v>42233</v>
      </c>
      <c r="BH25" s="223"/>
      <c r="BI25" s="223"/>
      <c r="BJ25" s="223"/>
      <c r="BK25" s="223"/>
      <c r="BL25" s="281">
        <v>65.896759033203125</v>
      </c>
      <c r="BM25" s="283">
        <v>42233</v>
      </c>
      <c r="BN25" s="223"/>
      <c r="BO25" s="223"/>
      <c r="BP25" s="281">
        <v>3.2886190414428711</v>
      </c>
      <c r="BQ25" s="283">
        <v>42233</v>
      </c>
      <c r="BR25" s="281">
        <v>50.411293029785156</v>
      </c>
      <c r="BS25" s="283">
        <v>42233</v>
      </c>
      <c r="BT25" s="281">
        <v>17.757717132568359</v>
      </c>
      <c r="BU25" s="283">
        <v>42233</v>
      </c>
      <c r="BV25" s="281">
        <v>22.698099136352539</v>
      </c>
      <c r="BW25" s="283">
        <v>42233</v>
      </c>
      <c r="BX25" s="281">
        <v>5.3441848754882812</v>
      </c>
      <c r="BY25" s="283">
        <v>42233</v>
      </c>
      <c r="BZ25" s="223"/>
      <c r="CA25" s="226"/>
      <c r="CB25" s="266">
        <v>1.72</v>
      </c>
      <c r="CC25" s="223"/>
      <c r="CD25" s="281">
        <v>7.547169811320745</v>
      </c>
      <c r="CE25" s="291" t="s">
        <v>8399</v>
      </c>
      <c r="CF25" s="223"/>
      <c r="CG25" s="223"/>
      <c r="CH25" s="223">
        <v>1</v>
      </c>
      <c r="CI25" s="223">
        <v>2</v>
      </c>
      <c r="CK25" s="223"/>
      <c r="CL25" s="223">
        <v>2</v>
      </c>
      <c r="CM25" s="259">
        <v>42161</v>
      </c>
      <c r="CN25" s="345" t="s">
        <v>8634</v>
      </c>
    </row>
    <row r="26" spans="1:93">
      <c r="A26" s="258">
        <v>55</v>
      </c>
      <c r="B26" s="236">
        <v>55</v>
      </c>
      <c r="C26" s="346" t="s">
        <v>7765</v>
      </c>
      <c r="D26" s="235" t="s">
        <v>7567</v>
      </c>
      <c r="E26" s="235" t="s">
        <v>7765</v>
      </c>
      <c r="F26" s="235" t="s">
        <v>8607</v>
      </c>
      <c r="G26" s="235" t="str">
        <f t="shared" si="14"/>
        <v>Rapsodyn</v>
      </c>
      <c r="H26" s="235" t="s">
        <v>265</v>
      </c>
      <c r="I26" s="235">
        <v>1</v>
      </c>
      <c r="J26" s="235">
        <v>9136</v>
      </c>
      <c r="K26" s="235">
        <v>55</v>
      </c>
      <c r="L26" s="235">
        <f t="shared" si="0"/>
        <v>55</v>
      </c>
      <c r="M26" s="235">
        <v>1</v>
      </c>
      <c r="N26" s="235">
        <v>7</v>
      </c>
      <c r="O26" s="248">
        <v>42048</v>
      </c>
      <c r="P26">
        <v>7.8</v>
      </c>
      <c r="Q26" s="264">
        <v>42204</v>
      </c>
      <c r="R26"/>
      <c r="S26"/>
      <c r="T26"/>
      <c r="V26" s="219">
        <f t="shared" si="15"/>
        <v>23.527360052372483</v>
      </c>
      <c r="W26" s="219"/>
      <c r="X26">
        <v>15.55</v>
      </c>
      <c r="Y26"/>
      <c r="Z26"/>
      <c r="AA26"/>
      <c r="AB26" s="220">
        <f t="shared" si="16"/>
        <v>7.000066807860347</v>
      </c>
      <c r="AC26" s="219"/>
      <c r="AD26" s="221">
        <f t="shared" si="17"/>
        <v>108681.67202572348</v>
      </c>
      <c r="AE26" s="219"/>
      <c r="AF26" s="220">
        <f t="shared" si="18"/>
        <v>45.646302250803863</v>
      </c>
      <c r="AG26" s="219"/>
      <c r="AH26" s="220">
        <f t="shared" si="19"/>
        <v>51.184460922632717</v>
      </c>
      <c r="AI26" s="219"/>
      <c r="AJ26">
        <v>4.2</v>
      </c>
      <c r="AK26" s="284" t="s">
        <v>8399</v>
      </c>
      <c r="AL26">
        <v>175</v>
      </c>
      <c r="AM26"/>
      <c r="AN26" s="241">
        <v>70</v>
      </c>
      <c r="AO26" s="242">
        <v>42074</v>
      </c>
      <c r="AP26" s="255">
        <v>110</v>
      </c>
      <c r="AQ26" s="242">
        <v>42114</v>
      </c>
      <c r="AR26" s="223">
        <v>132</v>
      </c>
      <c r="AS26" s="297">
        <f t="shared" si="20"/>
        <v>132</v>
      </c>
      <c r="AT26" s="290">
        <v>42136</v>
      </c>
      <c r="AU26" s="298"/>
      <c r="AV26"/>
      <c r="AW26"/>
      <c r="AX26"/>
      <c r="AY26"/>
      <c r="AZ26"/>
      <c r="BA26"/>
      <c r="BB26"/>
      <c r="BC26"/>
      <c r="BD26"/>
      <c r="BE26"/>
      <c r="BF26" s="277">
        <v>-7.389153003692627</v>
      </c>
      <c r="BG26" s="283">
        <v>42234</v>
      </c>
      <c r="BH26"/>
      <c r="BI26"/>
      <c r="BJ26"/>
      <c r="BK26"/>
      <c r="BL26" s="277">
        <v>68.96588134765625</v>
      </c>
      <c r="BM26" s="283">
        <v>42234</v>
      </c>
      <c r="BN26"/>
      <c r="BO26"/>
      <c r="BP26" s="277">
        <v>3.5450229644775391</v>
      </c>
      <c r="BQ26" s="283">
        <v>42234</v>
      </c>
      <c r="BR26" s="277">
        <v>51.542751312255859</v>
      </c>
      <c r="BS26" s="283">
        <v>42234</v>
      </c>
      <c r="BT26" s="277">
        <v>15.335452079772949</v>
      </c>
      <c r="BU26" s="283">
        <v>42234</v>
      </c>
      <c r="BV26" s="277">
        <v>13.073871612548828</v>
      </c>
      <c r="BW26" s="283">
        <v>42234</v>
      </c>
      <c r="BX26" s="277">
        <v>5.5576858520507812</v>
      </c>
      <c r="BY26" s="283">
        <v>42234</v>
      </c>
      <c r="BZ26"/>
      <c r="CB26" s="266">
        <v>1.99</v>
      </c>
      <c r="CC26"/>
      <c r="CD26" s="277">
        <v>7.1428571428571344</v>
      </c>
      <c r="CE26" s="291" t="s">
        <v>8399</v>
      </c>
      <c r="CF26"/>
      <c r="CG26"/>
      <c r="CH26">
        <v>3</v>
      </c>
      <c r="CI26">
        <v>2</v>
      </c>
      <c r="CK26"/>
      <c r="CL26" s="223">
        <v>2</v>
      </c>
      <c r="CM26" s="259">
        <v>42161</v>
      </c>
      <c r="CN26" s="345" t="s">
        <v>8634</v>
      </c>
    </row>
    <row r="27" spans="1:93">
      <c r="A27" s="258">
        <v>56</v>
      </c>
      <c r="B27" s="235">
        <v>56</v>
      </c>
      <c r="C27" s="349" t="s">
        <v>7677</v>
      </c>
      <c r="D27" s="238" t="s">
        <v>258</v>
      </c>
      <c r="E27" s="238" t="s">
        <v>7677</v>
      </c>
      <c r="F27" s="238" t="s">
        <v>8608</v>
      </c>
      <c r="G27" s="235" t="str">
        <f t="shared" si="14"/>
        <v>Rapsodyn</v>
      </c>
      <c r="H27" s="235" t="s">
        <v>265</v>
      </c>
      <c r="I27" s="235">
        <v>1</v>
      </c>
      <c r="J27" s="238">
        <v>9059</v>
      </c>
      <c r="K27" s="238">
        <v>56</v>
      </c>
      <c r="L27" s="235">
        <f t="shared" si="0"/>
        <v>56</v>
      </c>
      <c r="M27" s="238">
        <v>1</v>
      </c>
      <c r="N27" s="235">
        <v>7</v>
      </c>
      <c r="O27" s="248">
        <v>42048</v>
      </c>
      <c r="P27">
        <v>5.8</v>
      </c>
      <c r="Q27" s="264">
        <v>42204</v>
      </c>
      <c r="R27"/>
      <c r="S27"/>
      <c r="T27"/>
      <c r="V27" s="219">
        <f t="shared" si="15"/>
        <v>16.716801653454159</v>
      </c>
      <c r="W27" s="219"/>
      <c r="X27">
        <v>15.55</v>
      </c>
      <c r="Y27"/>
      <c r="Z27"/>
      <c r="AA27"/>
      <c r="AB27" s="220">
        <f t="shared" si="16"/>
        <v>6.5175017526264742</v>
      </c>
      <c r="AC27" s="219"/>
      <c r="AD27" s="221">
        <f t="shared" si="17"/>
        <v>71013.091879878222</v>
      </c>
      <c r="AE27" s="219"/>
      <c r="AF27" s="220">
        <f t="shared" si="18"/>
        <v>34.72540192926045</v>
      </c>
      <c r="AG27" s="219"/>
      <c r="AH27" s="220">
        <f t="shared" si="19"/>
        <v>38.93855340800679</v>
      </c>
      <c r="AI27" s="219"/>
      <c r="AJ27">
        <v>4.8899999999999997</v>
      </c>
      <c r="AK27" s="284" t="s">
        <v>8399</v>
      </c>
      <c r="AL27">
        <v>180</v>
      </c>
      <c r="AM27"/>
      <c r="AN27" s="241">
        <v>70</v>
      </c>
      <c r="AO27" s="242">
        <v>42074</v>
      </c>
      <c r="AP27" s="255">
        <v>106</v>
      </c>
      <c r="AQ27" s="242">
        <v>42110</v>
      </c>
      <c r="AR27" s="223">
        <v>131</v>
      </c>
      <c r="AS27" s="297">
        <f t="shared" si="20"/>
        <v>131</v>
      </c>
      <c r="AT27" s="290">
        <v>42135</v>
      </c>
      <c r="AU27" s="298"/>
      <c r="AV27"/>
      <c r="AW27"/>
      <c r="AX27"/>
      <c r="AY27"/>
      <c r="AZ27"/>
      <c r="BA27"/>
      <c r="BB27"/>
      <c r="BC27"/>
      <c r="BD27"/>
      <c r="BE27"/>
      <c r="BF27" s="277">
        <v>-3.7073709964752197</v>
      </c>
      <c r="BG27" s="283">
        <v>42233</v>
      </c>
      <c r="BH27"/>
      <c r="BI27"/>
      <c r="BJ27"/>
      <c r="BK27"/>
      <c r="BL27" s="277">
        <v>62.868080139160156</v>
      </c>
      <c r="BM27" s="283">
        <v>42233</v>
      </c>
      <c r="BN27"/>
      <c r="BO27"/>
      <c r="BP27" s="277">
        <v>3.6239190101623535</v>
      </c>
      <c r="BQ27" s="283">
        <v>42233</v>
      </c>
      <c r="BR27" s="277">
        <v>48.139980316162109</v>
      </c>
      <c r="BS27" s="283">
        <v>42233</v>
      </c>
      <c r="BT27" s="277">
        <v>18.768686294555664</v>
      </c>
      <c r="BU27" s="283">
        <v>42233</v>
      </c>
      <c r="BV27" s="277">
        <v>15.651106834411621</v>
      </c>
      <c r="BW27" s="283">
        <v>42233</v>
      </c>
      <c r="BX27" s="277">
        <v>5.64984130859375</v>
      </c>
      <c r="BY27" s="283">
        <v>42233</v>
      </c>
      <c r="BZ27"/>
      <c r="CB27" s="266">
        <v>1.06</v>
      </c>
      <c r="CC27"/>
      <c r="CD27" s="277">
        <v>4.9999999999999964</v>
      </c>
      <c r="CE27" s="291" t="s">
        <v>8399</v>
      </c>
      <c r="CF27"/>
      <c r="CG27"/>
      <c r="CH27">
        <v>2</v>
      </c>
      <c r="CI27">
        <v>3</v>
      </c>
      <c r="CK27"/>
      <c r="CL27" s="223">
        <v>3</v>
      </c>
      <c r="CM27" s="259">
        <v>42161</v>
      </c>
      <c r="CN27" s="345" t="s">
        <v>8634</v>
      </c>
    </row>
    <row r="28" spans="1:93">
      <c r="A28" s="258">
        <v>57</v>
      </c>
      <c r="B28" s="235">
        <v>57</v>
      </c>
      <c r="C28" s="348" t="s">
        <v>7624</v>
      </c>
      <c r="D28" s="237" t="s">
        <v>7459</v>
      </c>
      <c r="E28" s="237" t="s">
        <v>7624</v>
      </c>
      <c r="F28" s="237" t="s">
        <v>8504</v>
      </c>
      <c r="G28" s="235" t="str">
        <f t="shared" si="14"/>
        <v>Rapsodyn</v>
      </c>
      <c r="H28" s="235" t="s">
        <v>265</v>
      </c>
      <c r="I28" s="235">
        <v>1</v>
      </c>
      <c r="J28" s="237">
        <v>9016</v>
      </c>
      <c r="K28" s="237">
        <v>57</v>
      </c>
      <c r="L28" s="235">
        <f t="shared" si="0"/>
        <v>57</v>
      </c>
      <c r="M28" s="237">
        <v>1</v>
      </c>
      <c r="N28" s="235">
        <v>7</v>
      </c>
      <c r="O28" s="248">
        <v>42048</v>
      </c>
      <c r="P28">
        <v>5.15</v>
      </c>
      <c r="Q28" s="264">
        <v>42204</v>
      </c>
      <c r="R28"/>
      <c r="S28"/>
      <c r="T28"/>
      <c r="V28" s="219">
        <f t="shared" si="15"/>
        <v>14.530921775535759</v>
      </c>
      <c r="W28" s="219"/>
      <c r="X28">
        <v>15.55</v>
      </c>
      <c r="Y28"/>
      <c r="Z28"/>
      <c r="AA28"/>
      <c r="AB28" s="220">
        <f t="shared" si="16"/>
        <v>6.1734935366762436</v>
      </c>
      <c r="AC28" s="219"/>
      <c r="AD28" s="221">
        <f t="shared" si="17"/>
        <v>58940.541718894783</v>
      </c>
      <c r="AE28" s="219"/>
      <c r="AF28" s="220">
        <f t="shared" si="18"/>
        <v>31.297427652733127</v>
      </c>
      <c r="AG28" s="219"/>
      <c r="AH28" s="220">
        <f t="shared" si="19"/>
        <v>35.094671061598035</v>
      </c>
      <c r="AI28" s="219"/>
      <c r="AJ28">
        <v>5.31</v>
      </c>
      <c r="AK28" s="284" t="s">
        <v>8401</v>
      </c>
      <c r="AL28">
        <v>180</v>
      </c>
      <c r="AM28"/>
      <c r="AN28" s="241">
        <v>70</v>
      </c>
      <c r="AO28" s="242">
        <v>42074</v>
      </c>
      <c r="AP28" s="255">
        <v>106</v>
      </c>
      <c r="AQ28" s="242">
        <v>42110</v>
      </c>
      <c r="AR28" s="223">
        <v>135</v>
      </c>
      <c r="AS28" s="297">
        <f t="shared" si="20"/>
        <v>135</v>
      </c>
      <c r="AT28" s="290">
        <v>42139</v>
      </c>
      <c r="AU28" s="298"/>
      <c r="AV28"/>
      <c r="AW28"/>
      <c r="AX28"/>
      <c r="AY28"/>
      <c r="AZ28"/>
      <c r="BA28"/>
      <c r="BB28"/>
      <c r="BC28"/>
      <c r="BD28"/>
      <c r="BE28"/>
      <c r="BF28" s="277">
        <v>21.21258544921875</v>
      </c>
      <c r="BG28" s="283">
        <v>42233</v>
      </c>
      <c r="BH28"/>
      <c r="BI28"/>
      <c r="BJ28"/>
      <c r="BK28"/>
      <c r="BL28" s="277">
        <v>61.879062652587891</v>
      </c>
      <c r="BM28" s="283">
        <v>42233</v>
      </c>
      <c r="BN28"/>
      <c r="BO28"/>
      <c r="BP28" s="277">
        <v>3.9569220542907715</v>
      </c>
      <c r="BQ28" s="283">
        <v>42233</v>
      </c>
      <c r="BR28" s="277">
        <v>46.428485870361328</v>
      </c>
      <c r="BS28" s="283">
        <v>42233</v>
      </c>
      <c r="BT28" s="277">
        <v>19.725242614746094</v>
      </c>
      <c r="BU28" s="283">
        <v>42233</v>
      </c>
      <c r="BV28" s="277">
        <v>67.45367431640625</v>
      </c>
      <c r="BW28" s="283">
        <v>42233</v>
      </c>
      <c r="BX28" s="277">
        <v>5.768096923828125</v>
      </c>
      <c r="BY28" s="283">
        <v>42233</v>
      </c>
      <c r="BZ28"/>
      <c r="CB28" s="266">
        <v>1.75</v>
      </c>
      <c r="CC28"/>
      <c r="CD28" s="277">
        <v>3.5714285714285587</v>
      </c>
      <c r="CE28" s="291" t="s">
        <v>8401</v>
      </c>
      <c r="CF28"/>
      <c r="CG28"/>
      <c r="CH28">
        <v>4</v>
      </c>
      <c r="CI28">
        <v>3</v>
      </c>
      <c r="CK28"/>
      <c r="CL28" s="223">
        <v>4</v>
      </c>
      <c r="CM28" s="259">
        <v>42161</v>
      </c>
      <c r="CN28" s="345" t="s">
        <v>8634</v>
      </c>
    </row>
    <row r="29" spans="1:93">
      <c r="A29" s="258">
        <v>59</v>
      </c>
      <c r="B29" s="235">
        <v>59</v>
      </c>
      <c r="C29" s="346" t="s">
        <v>7670</v>
      </c>
      <c r="D29" s="235" t="s">
        <v>7499</v>
      </c>
      <c r="E29" s="235" t="s">
        <v>7670</v>
      </c>
      <c r="F29" s="235" t="s">
        <v>8548</v>
      </c>
      <c r="G29" s="235" t="str">
        <f t="shared" si="14"/>
        <v>Rapsodyn</v>
      </c>
      <c r="H29" s="235" t="s">
        <v>265</v>
      </c>
      <c r="I29" s="235">
        <v>1</v>
      </c>
      <c r="J29" s="235">
        <v>9052</v>
      </c>
      <c r="K29" s="235">
        <v>59</v>
      </c>
      <c r="L29" s="235">
        <f t="shared" si="0"/>
        <v>59</v>
      </c>
      <c r="M29" s="235">
        <v>1</v>
      </c>
      <c r="N29" s="235">
        <v>5</v>
      </c>
      <c r="O29" s="248">
        <v>42048</v>
      </c>
      <c r="P29">
        <v>6.85</v>
      </c>
      <c r="Q29" s="264">
        <v>42204</v>
      </c>
      <c r="R29"/>
      <c r="S29"/>
      <c r="T29"/>
      <c r="V29" s="219">
        <f t="shared" si="15"/>
        <v>20.668241351688142</v>
      </c>
      <c r="W29" s="219"/>
      <c r="X29">
        <v>15.55</v>
      </c>
      <c r="Y29"/>
      <c r="Z29"/>
      <c r="AA29"/>
      <c r="AB29" s="220">
        <f t="shared" si="16"/>
        <v>7.0032971596568538</v>
      </c>
      <c r="AC29" s="219"/>
      <c r="AD29" s="221">
        <f t="shared" si="17"/>
        <v>93162.39349187816</v>
      </c>
      <c r="AE29" s="219"/>
      <c r="AF29" s="220">
        <f t="shared" si="18"/>
        <v>40.898290742934506</v>
      </c>
      <c r="AG29" s="219"/>
      <c r="AH29" s="220">
        <f t="shared" si="19"/>
        <v>45.860384327129971</v>
      </c>
      <c r="AI29" s="219"/>
      <c r="AJ29">
        <v>4.3899999999999997</v>
      </c>
      <c r="AK29" s="284" t="s">
        <v>8398</v>
      </c>
      <c r="AL29">
        <v>160</v>
      </c>
      <c r="AM29"/>
      <c r="AN29" s="241">
        <v>70</v>
      </c>
      <c r="AO29" s="242">
        <v>42074</v>
      </c>
      <c r="AP29" s="255">
        <v>106</v>
      </c>
      <c r="AQ29" s="242">
        <v>42110</v>
      </c>
      <c r="AR29" s="223">
        <v>123</v>
      </c>
      <c r="AS29" s="297">
        <f t="shared" si="20"/>
        <v>123</v>
      </c>
      <c r="AT29" s="290">
        <v>42127</v>
      </c>
      <c r="AU29" s="298"/>
      <c r="AV29"/>
      <c r="AW29"/>
      <c r="AX29"/>
      <c r="AY29"/>
      <c r="AZ29"/>
      <c r="BA29"/>
      <c r="BB29"/>
      <c r="BC29"/>
      <c r="BD29"/>
      <c r="BE29"/>
      <c r="BF29" s="277">
        <v>-3.7969799041748047</v>
      </c>
      <c r="BG29" s="283">
        <v>42230</v>
      </c>
      <c r="BH29"/>
      <c r="BI29"/>
      <c r="BJ29"/>
      <c r="BK29"/>
      <c r="BL29" s="277">
        <v>63.34613037109375</v>
      </c>
      <c r="BM29" s="283">
        <v>42230</v>
      </c>
      <c r="BN29"/>
      <c r="BO29"/>
      <c r="BP29" s="277">
        <v>3.1507740020751953</v>
      </c>
      <c r="BQ29" s="283">
        <v>42230</v>
      </c>
      <c r="BR29" s="277">
        <v>50.535709381103516</v>
      </c>
      <c r="BS29" s="283">
        <v>42230</v>
      </c>
      <c r="BT29" s="277">
        <v>17.123691558837891</v>
      </c>
      <c r="BU29" s="283">
        <v>42230</v>
      </c>
      <c r="BV29" s="277">
        <v>13.18105411529541</v>
      </c>
      <c r="BW29" s="283">
        <v>42230</v>
      </c>
      <c r="BX29" s="277">
        <v>5.5599746704101562</v>
      </c>
      <c r="BY29" s="283">
        <v>42230</v>
      </c>
      <c r="BZ29"/>
      <c r="CB29" s="266">
        <v>1.45</v>
      </c>
      <c r="CC29"/>
      <c r="CD29" s="277">
        <v>5.2631578947368389</v>
      </c>
      <c r="CE29" s="291" t="s">
        <v>8398</v>
      </c>
      <c r="CF29"/>
      <c r="CG29"/>
      <c r="CH29">
        <v>3</v>
      </c>
      <c r="CI29">
        <v>2</v>
      </c>
      <c r="CK29"/>
      <c r="CL29" s="223">
        <v>1</v>
      </c>
      <c r="CM29" s="259">
        <v>42161</v>
      </c>
      <c r="CN29" s="345" t="s">
        <v>8634</v>
      </c>
    </row>
    <row r="30" spans="1:93">
      <c r="A30" s="258">
        <v>60</v>
      </c>
      <c r="B30" s="235">
        <v>60</v>
      </c>
      <c r="C30" s="346" t="s">
        <v>7689</v>
      </c>
      <c r="D30" s="235" t="s">
        <v>7515</v>
      </c>
      <c r="E30" s="235" t="s">
        <v>7689</v>
      </c>
      <c r="F30" s="235" t="s">
        <v>8511</v>
      </c>
      <c r="G30" s="235" t="str">
        <f t="shared" si="14"/>
        <v>Rapsodyn</v>
      </c>
      <c r="H30" s="235" t="s">
        <v>265</v>
      </c>
      <c r="I30" s="235">
        <v>1</v>
      </c>
      <c r="J30" s="235">
        <v>9071</v>
      </c>
      <c r="K30" s="235">
        <v>60</v>
      </c>
      <c r="L30" s="235">
        <f t="shared" si="0"/>
        <v>60</v>
      </c>
      <c r="M30" s="235">
        <v>1</v>
      </c>
      <c r="N30" s="236">
        <v>5</v>
      </c>
      <c r="O30" s="248">
        <v>42048</v>
      </c>
      <c r="P30">
        <v>6.8</v>
      </c>
      <c r="Q30" s="264">
        <v>42204</v>
      </c>
      <c r="R30"/>
      <c r="S30"/>
      <c r="T30"/>
      <c r="V30" s="219">
        <f t="shared" si="15"/>
        <v>19.7051762948381</v>
      </c>
      <c r="W30" s="219"/>
      <c r="X30">
        <v>15.55</v>
      </c>
      <c r="Y30"/>
      <c r="Z30"/>
      <c r="AA30"/>
      <c r="AB30" s="220">
        <f t="shared" si="16"/>
        <v>6.9173209362766999</v>
      </c>
      <c r="AC30" s="219"/>
      <c r="AD30" s="221">
        <f t="shared" si="17"/>
        <v>93779.016497297926</v>
      </c>
      <c r="AE30" s="219"/>
      <c r="AF30" s="220">
        <f t="shared" si="18"/>
        <v>39.949861027848918</v>
      </c>
      <c r="AG30" s="219"/>
      <c r="AH30" s="220">
        <f t="shared" si="19"/>
        <v>44.796883861683028</v>
      </c>
      <c r="AI30" s="219"/>
      <c r="AJ30">
        <v>4.26</v>
      </c>
      <c r="AK30" s="284" t="s">
        <v>8398</v>
      </c>
      <c r="AL30">
        <v>165</v>
      </c>
      <c r="AM30"/>
      <c r="AN30" s="241">
        <v>72</v>
      </c>
      <c r="AO30" s="242">
        <v>42076</v>
      </c>
      <c r="AP30" s="255">
        <v>110</v>
      </c>
      <c r="AQ30" s="242">
        <v>42114</v>
      </c>
      <c r="AR30" s="223">
        <v>135</v>
      </c>
      <c r="AS30" s="297">
        <f t="shared" si="20"/>
        <v>135</v>
      </c>
      <c r="AT30" s="290">
        <v>42139</v>
      </c>
      <c r="AU30" s="298"/>
      <c r="AV30"/>
      <c r="AW30"/>
      <c r="AX30"/>
      <c r="AY30"/>
      <c r="AZ30"/>
      <c r="BA30"/>
      <c r="BB30"/>
      <c r="BC30"/>
      <c r="BD30"/>
      <c r="BE30"/>
      <c r="BF30" s="277">
        <v>-5.1872959136962891</v>
      </c>
      <c r="BG30" s="283">
        <v>42230</v>
      </c>
      <c r="BH30"/>
      <c r="BI30"/>
      <c r="BJ30"/>
      <c r="BK30"/>
      <c r="BL30" s="277">
        <v>62.901832580566406</v>
      </c>
      <c r="BM30" s="283">
        <v>42230</v>
      </c>
      <c r="BN30"/>
      <c r="BO30"/>
      <c r="BP30" s="277">
        <v>4.3233070373535156</v>
      </c>
      <c r="BQ30" s="283">
        <v>42230</v>
      </c>
      <c r="BR30" s="277">
        <v>49.32476806640625</v>
      </c>
      <c r="BS30" s="283">
        <v>42230</v>
      </c>
      <c r="BT30" s="277">
        <v>17.315006256103516</v>
      </c>
      <c r="BU30" s="283">
        <v>42230</v>
      </c>
      <c r="BV30" s="277">
        <v>18.602024078369141</v>
      </c>
      <c r="BW30" s="283">
        <v>42230</v>
      </c>
      <c r="BX30" s="277">
        <v>5.3004608154296875</v>
      </c>
      <c r="BY30" s="283">
        <v>42230</v>
      </c>
      <c r="BZ30"/>
      <c r="CB30" s="266">
        <v>1.2</v>
      </c>
      <c r="CC30"/>
      <c r="CD30" s="277">
        <v>6.7796610169491585</v>
      </c>
      <c r="CE30" s="291" t="s">
        <v>8398</v>
      </c>
      <c r="CF30"/>
      <c r="CG30"/>
      <c r="CH30">
        <v>1</v>
      </c>
      <c r="CI30">
        <v>2</v>
      </c>
      <c r="CK30"/>
      <c r="CL30" s="223">
        <v>1</v>
      </c>
      <c r="CM30" s="259">
        <v>42161</v>
      </c>
      <c r="CN30" s="345" t="s">
        <v>8634</v>
      </c>
    </row>
    <row r="31" spans="1:93">
      <c r="A31" s="258">
        <v>62</v>
      </c>
      <c r="B31" s="235">
        <v>62</v>
      </c>
      <c r="C31" s="347" t="s">
        <v>7610</v>
      </c>
      <c r="D31" s="236" t="s">
        <v>7812</v>
      </c>
      <c r="E31" s="236" t="s">
        <v>7610</v>
      </c>
      <c r="F31" s="236" t="s">
        <v>8439</v>
      </c>
      <c r="G31" s="235" t="str">
        <f t="shared" si="14"/>
        <v>Rapsodyn</v>
      </c>
      <c r="H31" s="235" t="s">
        <v>265</v>
      </c>
      <c r="I31" s="235">
        <v>1</v>
      </c>
      <c r="J31" s="236">
        <v>9005</v>
      </c>
      <c r="K31" s="236">
        <v>62</v>
      </c>
      <c r="L31" s="235">
        <f t="shared" si="0"/>
        <v>62</v>
      </c>
      <c r="M31" s="236">
        <v>1</v>
      </c>
      <c r="N31" s="235">
        <v>7</v>
      </c>
      <c r="O31" s="248">
        <v>42048</v>
      </c>
      <c r="P31">
        <v>2.5</v>
      </c>
      <c r="Q31" s="264">
        <v>42204</v>
      </c>
      <c r="R31"/>
      <c r="S31"/>
      <c r="T31"/>
      <c r="V31" s="219">
        <f t="shared" si="15"/>
        <v>7.1839175119336325</v>
      </c>
      <c r="W31" s="219"/>
      <c r="X31">
        <v>15.55</v>
      </c>
      <c r="Y31"/>
      <c r="Z31"/>
      <c r="AA31"/>
      <c r="AB31" s="220">
        <f t="shared" si="16"/>
        <v>3.1171815458453875</v>
      </c>
      <c r="AC31" s="219"/>
      <c r="AD31" s="221">
        <f t="shared" si="17"/>
        <v>34036.63916858528</v>
      </c>
      <c r="AE31" s="219"/>
      <c r="AF31" s="220">
        <f t="shared" si="18"/>
        <v>15.452634182537716</v>
      </c>
      <c r="AG31" s="219"/>
      <c r="AH31" s="220">
        <f t="shared" si="19"/>
        <v>17.327466004191205</v>
      </c>
      <c r="AI31" s="219"/>
      <c r="AJ31">
        <v>4.54</v>
      </c>
      <c r="AK31" s="284" t="s">
        <v>8398</v>
      </c>
      <c r="AL31">
        <v>165</v>
      </c>
      <c r="AM31"/>
      <c r="AN31" s="241">
        <v>61</v>
      </c>
      <c r="AO31" s="243">
        <v>42065</v>
      </c>
      <c r="AP31" s="255">
        <v>97</v>
      </c>
      <c r="AQ31" s="242">
        <v>42101</v>
      </c>
      <c r="AR31" s="223">
        <v>125</v>
      </c>
      <c r="AS31" s="297">
        <f t="shared" si="20"/>
        <v>125</v>
      </c>
      <c r="AT31" s="290">
        <v>42129</v>
      </c>
      <c r="AU31" s="298"/>
      <c r="AV31"/>
      <c r="AW31"/>
      <c r="AX31"/>
      <c r="AY31"/>
      <c r="AZ31"/>
      <c r="BA31"/>
      <c r="BB31"/>
      <c r="BC31"/>
      <c r="BD31"/>
      <c r="BE31"/>
      <c r="BF31" s="277">
        <v>33.068954467773437</v>
      </c>
      <c r="BG31" s="283">
        <v>42230</v>
      </c>
      <c r="BH31"/>
      <c r="BI31"/>
      <c r="BJ31"/>
      <c r="BK31"/>
      <c r="BL31" s="277">
        <v>58.897235870361328</v>
      </c>
      <c r="BM31" s="283">
        <v>42230</v>
      </c>
      <c r="BN31"/>
      <c r="BO31"/>
      <c r="BP31" s="277">
        <v>3.2992069721221924</v>
      </c>
      <c r="BQ31" s="283">
        <v>42230</v>
      </c>
      <c r="BR31" s="277">
        <v>46.489921569824219</v>
      </c>
      <c r="BS31" s="283">
        <v>42230</v>
      </c>
      <c r="BT31" s="277">
        <v>20.172492980957031</v>
      </c>
      <c r="BU31" s="283">
        <v>42230</v>
      </c>
      <c r="BV31" s="277">
        <v>65.24310302734375</v>
      </c>
      <c r="BW31" s="283">
        <v>42230</v>
      </c>
      <c r="BX31" s="277">
        <v>5.688568115234375</v>
      </c>
      <c r="BY31" s="283">
        <v>42230</v>
      </c>
      <c r="BZ31"/>
      <c r="CB31" s="266">
        <v>1.6</v>
      </c>
      <c r="CC31"/>
      <c r="CD31" s="277">
        <v>1.9230769230769333</v>
      </c>
      <c r="CE31" s="291" t="s">
        <v>8398</v>
      </c>
      <c r="CF31"/>
      <c r="CG31"/>
      <c r="CH31">
        <v>1</v>
      </c>
      <c r="CI31">
        <v>2</v>
      </c>
      <c r="CK31"/>
      <c r="CL31" s="223">
        <v>4</v>
      </c>
      <c r="CM31" s="259">
        <v>42161</v>
      </c>
      <c r="CN31" s="345" t="s">
        <v>8634</v>
      </c>
    </row>
    <row r="32" spans="1:93">
      <c r="A32" s="258">
        <v>63</v>
      </c>
      <c r="B32" s="235">
        <v>63</v>
      </c>
      <c r="C32" s="346" t="s">
        <v>7796</v>
      </c>
      <c r="D32" s="235" t="s">
        <v>7594</v>
      </c>
      <c r="E32" s="235" t="s">
        <v>7796</v>
      </c>
      <c r="F32" s="235" t="s">
        <v>8588</v>
      </c>
      <c r="G32" s="235" t="str">
        <f t="shared" si="14"/>
        <v>Rapsodyn</v>
      </c>
      <c r="H32" s="235" t="s">
        <v>265</v>
      </c>
      <c r="I32" s="235">
        <v>1</v>
      </c>
      <c r="J32" s="235">
        <v>9167</v>
      </c>
      <c r="K32" s="235">
        <v>63</v>
      </c>
      <c r="L32" s="235">
        <f t="shared" si="0"/>
        <v>63</v>
      </c>
      <c r="M32" s="235">
        <v>1</v>
      </c>
      <c r="N32" s="235">
        <v>3</v>
      </c>
      <c r="O32" s="248">
        <v>42048</v>
      </c>
      <c r="P32">
        <v>6.4</v>
      </c>
      <c r="Q32" s="264">
        <v>42204</v>
      </c>
      <c r="R32"/>
      <c r="S32"/>
      <c r="T32"/>
      <c r="V32" s="219">
        <f t="shared" si="15"/>
        <v>19.97532141659774</v>
      </c>
      <c r="W32" s="219"/>
      <c r="X32">
        <v>15.55</v>
      </c>
      <c r="Y32"/>
      <c r="Z32"/>
      <c r="AA32"/>
      <c r="AB32" s="220">
        <f t="shared" si="16"/>
        <v>6.908480390972823</v>
      </c>
      <c r="AC32" s="219"/>
      <c r="AD32" s="221">
        <f t="shared" si="17"/>
        <v>73610.289389067504</v>
      </c>
      <c r="AE32" s="219"/>
      <c r="AF32" s="220">
        <f t="shared" si="18"/>
        <v>39.558743507296555</v>
      </c>
      <c r="AG32" s="219"/>
      <c r="AH32" s="220">
        <f t="shared" si="19"/>
        <v>44.358312970729486</v>
      </c>
      <c r="AI32" s="219"/>
      <c r="AJ32" s="288">
        <v>5.3740779768177029</v>
      </c>
      <c r="AK32" s="284" t="s">
        <v>8402</v>
      </c>
      <c r="AL32">
        <v>180</v>
      </c>
      <c r="AM32"/>
      <c r="AN32" s="241">
        <v>72</v>
      </c>
      <c r="AO32" s="242">
        <v>42076</v>
      </c>
      <c r="AP32" s="255">
        <v>106</v>
      </c>
      <c r="AQ32" s="242">
        <v>42110</v>
      </c>
      <c r="AR32" s="223">
        <v>137</v>
      </c>
      <c r="AS32" s="297">
        <f t="shared" si="20"/>
        <v>137</v>
      </c>
      <c r="AT32" s="290">
        <v>42141</v>
      </c>
      <c r="AU32" s="298"/>
      <c r="AV32"/>
      <c r="AW32"/>
      <c r="AX32"/>
      <c r="AY32"/>
      <c r="AZ32"/>
      <c r="BA32"/>
      <c r="BB32"/>
      <c r="BC32"/>
      <c r="BD32"/>
      <c r="BE32"/>
      <c r="BF32" s="277">
        <v>-6.0648398399353027</v>
      </c>
      <c r="BG32" s="283">
        <v>42230</v>
      </c>
      <c r="BH32"/>
      <c r="BI32"/>
      <c r="BJ32"/>
      <c r="BK32"/>
      <c r="BL32" s="277">
        <v>62.395450592041016</v>
      </c>
      <c r="BM32" s="283">
        <v>42230</v>
      </c>
      <c r="BN32"/>
      <c r="BO32"/>
      <c r="BP32" s="277">
        <v>3.8683950901031494</v>
      </c>
      <c r="BQ32" s="283">
        <v>42230</v>
      </c>
      <c r="BR32" s="277">
        <v>50.495338439941406</v>
      </c>
      <c r="BS32" s="283">
        <v>42230</v>
      </c>
      <c r="BT32" s="277">
        <v>17.463851928710937</v>
      </c>
      <c r="BU32" s="283">
        <v>42230</v>
      </c>
      <c r="BV32" s="277">
        <v>15.36684513092041</v>
      </c>
      <c r="BW32" s="283">
        <v>42230</v>
      </c>
      <c r="BX32" s="277">
        <v>5.4019927978515625</v>
      </c>
      <c r="BY32" s="283">
        <v>42230</v>
      </c>
      <c r="BZ32"/>
      <c r="CB32" s="266">
        <v>1.58</v>
      </c>
      <c r="CC32"/>
      <c r="CD32" s="277">
        <v>1.9230769230769333</v>
      </c>
      <c r="CE32" s="291" t="s">
        <v>8402</v>
      </c>
      <c r="CF32"/>
      <c r="CG32"/>
      <c r="CH32">
        <v>1</v>
      </c>
      <c r="CI32">
        <v>7</v>
      </c>
      <c r="CK32"/>
      <c r="CL32" s="223">
        <v>2</v>
      </c>
      <c r="CM32" s="259">
        <v>42161</v>
      </c>
      <c r="CN32" s="345" t="s">
        <v>8634</v>
      </c>
      <c r="CO32" s="137" t="s">
        <v>8405</v>
      </c>
    </row>
    <row r="33" spans="1:93">
      <c r="A33" s="258">
        <v>64</v>
      </c>
      <c r="B33" s="235">
        <v>64</v>
      </c>
      <c r="C33" s="346" t="s">
        <v>7614</v>
      </c>
      <c r="D33" s="235" t="s">
        <v>7451</v>
      </c>
      <c r="E33" s="235" t="s">
        <v>7614</v>
      </c>
      <c r="F33" s="235" t="s">
        <v>8474</v>
      </c>
      <c r="G33" s="235" t="str">
        <f t="shared" si="14"/>
        <v>Rapsodyn</v>
      </c>
      <c r="H33" s="235" t="s">
        <v>265</v>
      </c>
      <c r="I33" s="235">
        <v>1</v>
      </c>
      <c r="J33" s="235">
        <v>9007</v>
      </c>
      <c r="K33" s="235">
        <v>64</v>
      </c>
      <c r="L33" s="235">
        <f t="shared" si="0"/>
        <v>64</v>
      </c>
      <c r="M33" s="235">
        <v>1</v>
      </c>
      <c r="N33" s="235">
        <v>7</v>
      </c>
      <c r="O33" s="248">
        <v>42048</v>
      </c>
      <c r="P33">
        <v>5.0999999999999996</v>
      </c>
      <c r="Q33" s="264">
        <v>42204</v>
      </c>
      <c r="R33"/>
      <c r="S33"/>
      <c r="T33"/>
      <c r="V33" s="219">
        <f t="shared" si="15"/>
        <v>15.614349061581255</v>
      </c>
      <c r="W33" s="219"/>
      <c r="X33">
        <v>15.55</v>
      </c>
      <c r="Y33"/>
      <c r="Z33"/>
      <c r="AA33"/>
      <c r="AB33" s="220">
        <f t="shared" si="16"/>
        <v>5.7152305720949235</v>
      </c>
      <c r="AC33" s="219"/>
      <c r="AD33" s="221">
        <f t="shared" si="17"/>
        <v>69215.012750859285</v>
      </c>
      <c r="AE33" s="219"/>
      <c r="AF33" s="220">
        <f t="shared" si="18"/>
        <v>31.033152234172295</v>
      </c>
      <c r="AG33" s="219"/>
      <c r="AH33" s="220">
        <f t="shared" si="19"/>
        <v>34.798331727037784</v>
      </c>
      <c r="AI33" s="219"/>
      <c r="AJ33" s="288">
        <v>4.4835868694955963</v>
      </c>
      <c r="AK33" s="284" t="s">
        <v>8402</v>
      </c>
      <c r="AL33">
        <v>175</v>
      </c>
      <c r="AM33"/>
      <c r="AN33" s="241">
        <v>72</v>
      </c>
      <c r="AO33" s="242">
        <v>42076</v>
      </c>
      <c r="AP33" s="255">
        <v>106</v>
      </c>
      <c r="AQ33" s="242">
        <v>42110</v>
      </c>
      <c r="AR33" s="223">
        <v>132</v>
      </c>
      <c r="AS33" s="297">
        <f t="shared" si="20"/>
        <v>132</v>
      </c>
      <c r="AT33" s="290">
        <v>42136</v>
      </c>
      <c r="AU33" s="298"/>
      <c r="AV33"/>
      <c r="AW33"/>
      <c r="AX33"/>
      <c r="AY33"/>
      <c r="AZ33"/>
      <c r="BA33"/>
      <c r="BB33"/>
      <c r="BC33"/>
      <c r="BD33"/>
      <c r="BE33"/>
      <c r="BF33" s="277">
        <v>32.730606079101563</v>
      </c>
      <c r="BG33" s="283">
        <v>42230</v>
      </c>
      <c r="BH33"/>
      <c r="BI33"/>
      <c r="BJ33"/>
      <c r="BK33"/>
      <c r="BL33" s="277">
        <v>62.186344146728516</v>
      </c>
      <c r="BM33" s="283">
        <v>42230</v>
      </c>
      <c r="BN33"/>
      <c r="BO33"/>
      <c r="BP33" s="277">
        <v>3.7741460800170898</v>
      </c>
      <c r="BQ33" s="283">
        <v>42230</v>
      </c>
      <c r="BR33" s="277">
        <v>50.315059661865234</v>
      </c>
      <c r="BS33" s="283">
        <v>42230</v>
      </c>
      <c r="BT33" s="277">
        <v>18.416532516479492</v>
      </c>
      <c r="BU33" s="283">
        <v>42230</v>
      </c>
      <c r="BV33" s="277">
        <v>67.329666137695313</v>
      </c>
      <c r="BW33" s="283">
        <v>42230</v>
      </c>
      <c r="BX33" s="277">
        <v>5.349884033203125</v>
      </c>
      <c r="BY33" s="283">
        <v>42230</v>
      </c>
      <c r="BZ33"/>
      <c r="CB33" s="266">
        <v>1.68</v>
      </c>
      <c r="CC33"/>
      <c r="CD33" s="277">
        <v>3.4482758620689689</v>
      </c>
      <c r="CE33" s="291" t="s">
        <v>8402</v>
      </c>
      <c r="CF33"/>
      <c r="CG33"/>
      <c r="CH33">
        <v>4</v>
      </c>
      <c r="CI33">
        <v>2</v>
      </c>
      <c r="CK33"/>
      <c r="CL33" s="223">
        <v>4</v>
      </c>
      <c r="CM33" s="259">
        <v>42161</v>
      </c>
      <c r="CN33" s="345" t="s">
        <v>8634</v>
      </c>
    </row>
    <row r="34" spans="1:93">
      <c r="A34" s="258">
        <v>65</v>
      </c>
      <c r="B34" s="235">
        <v>65</v>
      </c>
      <c r="C34" s="346" t="s">
        <v>8223</v>
      </c>
      <c r="D34" s="235" t="s">
        <v>7562</v>
      </c>
      <c r="E34" s="235" t="s">
        <v>8461</v>
      </c>
      <c r="F34" s="235" t="s">
        <v>8469</v>
      </c>
      <c r="G34" s="235" t="str">
        <f t="shared" si="14"/>
        <v>Complement</v>
      </c>
      <c r="H34" s="235" t="s">
        <v>265</v>
      </c>
      <c r="I34" s="235">
        <v>1</v>
      </c>
      <c r="J34" s="235">
        <v>9278</v>
      </c>
      <c r="K34" s="235">
        <v>65</v>
      </c>
      <c r="L34" s="235">
        <f t="shared" si="0"/>
        <v>65</v>
      </c>
      <c r="M34" s="235">
        <v>1</v>
      </c>
      <c r="N34" s="235">
        <v>5</v>
      </c>
      <c r="O34" s="248">
        <v>42048</v>
      </c>
      <c r="P34">
        <v>7.15</v>
      </c>
      <c r="Q34" s="264">
        <v>42204</v>
      </c>
      <c r="R34"/>
      <c r="S34"/>
      <c r="T34"/>
      <c r="V34" s="219">
        <f t="shared" si="15"/>
        <v>22.399992336015611</v>
      </c>
      <c r="W34" s="219"/>
      <c r="X34">
        <v>15.55</v>
      </c>
      <c r="Y34"/>
      <c r="Z34"/>
      <c r="AA34"/>
      <c r="AB34" s="220">
        <f t="shared" si="16"/>
        <v>7.2285023957525425</v>
      </c>
      <c r="AC34" s="219"/>
      <c r="AD34" s="221">
        <f t="shared" si="17"/>
        <v>89346.724359228829</v>
      </c>
      <c r="AE34" s="219"/>
      <c r="AF34" s="220">
        <f t="shared" si="18"/>
        <v>43.422508038585214</v>
      </c>
      <c r="AG34" s="219"/>
      <c r="AH34" s="220">
        <f t="shared" si="19"/>
        <v>48.690858980248038</v>
      </c>
      <c r="AI34" s="219"/>
      <c r="AJ34">
        <v>4.8600000000000003</v>
      </c>
      <c r="AK34" s="284" t="s">
        <v>8401</v>
      </c>
      <c r="AL34">
        <v>175</v>
      </c>
      <c r="AM34"/>
      <c r="AN34" s="241">
        <v>70</v>
      </c>
      <c r="AO34" s="242">
        <v>42074</v>
      </c>
      <c r="AP34" s="255">
        <v>104</v>
      </c>
      <c r="AQ34" s="242">
        <v>42108</v>
      </c>
      <c r="AR34" s="223">
        <v>125</v>
      </c>
      <c r="AS34" s="297">
        <f t="shared" si="20"/>
        <v>125</v>
      </c>
      <c r="AT34" s="290">
        <v>42129</v>
      </c>
      <c r="AU34" s="298"/>
      <c r="AV34"/>
      <c r="AW34"/>
      <c r="AX34"/>
      <c r="AY34"/>
      <c r="AZ34"/>
      <c r="BA34"/>
      <c r="BB34"/>
      <c r="BC34"/>
      <c r="BD34"/>
      <c r="BE34"/>
      <c r="BF34" s="277">
        <v>-2.193932056427002</v>
      </c>
      <c r="BG34" s="283">
        <v>42233</v>
      </c>
      <c r="BH34"/>
      <c r="BI34"/>
      <c r="BJ34"/>
      <c r="BK34"/>
      <c r="BL34" s="277">
        <v>66.532035827636719</v>
      </c>
      <c r="BM34" s="283">
        <v>42233</v>
      </c>
      <c r="BN34"/>
      <c r="BO34"/>
      <c r="BP34" s="277">
        <v>3.2068231105804443</v>
      </c>
      <c r="BQ34" s="283">
        <v>42233</v>
      </c>
      <c r="BR34" s="277">
        <v>51.586132049560547</v>
      </c>
      <c r="BS34" s="283">
        <v>42233</v>
      </c>
      <c r="BT34" s="277">
        <v>16.646902084350586</v>
      </c>
      <c r="BU34" s="283">
        <v>42233</v>
      </c>
      <c r="BV34" s="277">
        <v>15.018376350402832</v>
      </c>
      <c r="BW34" s="283">
        <v>42233</v>
      </c>
      <c r="BX34" s="277">
        <v>5.09454345703125</v>
      </c>
      <c r="BY34" s="283">
        <v>42233</v>
      </c>
      <c r="BZ34"/>
      <c r="CB34" s="266">
        <v>2.35</v>
      </c>
      <c r="CC34"/>
      <c r="CD34" s="277">
        <v>3.6363636363636398</v>
      </c>
      <c r="CE34" s="291" t="s">
        <v>8401</v>
      </c>
      <c r="CF34"/>
      <c r="CG34"/>
      <c r="CH34">
        <v>4</v>
      </c>
      <c r="CI34">
        <v>4</v>
      </c>
      <c r="CK34"/>
      <c r="CL34" s="223">
        <v>1</v>
      </c>
      <c r="CM34" s="259">
        <v>42161</v>
      </c>
      <c r="CN34" s="345" t="s">
        <v>8634</v>
      </c>
    </row>
    <row r="35" spans="1:93">
      <c r="A35" s="258">
        <v>67</v>
      </c>
      <c r="B35" s="235">
        <v>67</v>
      </c>
      <c r="C35" s="346" t="s">
        <v>7769</v>
      </c>
      <c r="D35" s="235" t="s">
        <v>7845</v>
      </c>
      <c r="E35" s="235" t="s">
        <v>7769</v>
      </c>
      <c r="F35" s="235" t="s">
        <v>8462</v>
      </c>
      <c r="G35" s="235" t="str">
        <f t="shared" si="14"/>
        <v>Rapsodyn</v>
      </c>
      <c r="H35" s="235" t="s">
        <v>265</v>
      </c>
      <c r="I35" s="235">
        <v>1</v>
      </c>
      <c r="J35" s="235">
        <v>9140</v>
      </c>
      <c r="K35" s="235">
        <v>67</v>
      </c>
      <c r="L35" s="235">
        <f t="shared" ref="L35:L74" si="21">K35</f>
        <v>67</v>
      </c>
      <c r="M35" s="235">
        <v>1</v>
      </c>
      <c r="N35" s="235">
        <v>3</v>
      </c>
      <c r="O35" s="248">
        <v>42048</v>
      </c>
      <c r="P35">
        <v>7.45</v>
      </c>
      <c r="Q35" s="264">
        <v>42204</v>
      </c>
      <c r="R35"/>
      <c r="S35"/>
      <c r="T35"/>
      <c r="V35" s="219">
        <f t="shared" si="15"/>
        <v>22.250994058358675</v>
      </c>
      <c r="W35" s="219"/>
      <c r="X35">
        <v>15.55</v>
      </c>
      <c r="Y35"/>
      <c r="Z35"/>
      <c r="AA35"/>
      <c r="AB35" s="220">
        <f t="shared" si="16"/>
        <v>7.8999413859599592</v>
      </c>
      <c r="AC35" s="219"/>
      <c r="AD35" s="221">
        <f t="shared" si="17"/>
        <v>95452.387031205872</v>
      </c>
      <c r="AE35" s="219"/>
      <c r="AF35" s="220">
        <f t="shared" si="18"/>
        <v>45.244431452791581</v>
      </c>
      <c r="AG35" s="219"/>
      <c r="AH35" s="220">
        <f t="shared" si="19"/>
        <v>50.733832084314393</v>
      </c>
      <c r="AI35" s="219"/>
      <c r="AJ35">
        <v>4.74</v>
      </c>
      <c r="AK35" s="284" t="s">
        <v>8399</v>
      </c>
      <c r="AL35">
        <v>160</v>
      </c>
      <c r="AM35"/>
      <c r="AN35" s="241">
        <v>79</v>
      </c>
      <c r="AO35" s="242">
        <v>42083</v>
      </c>
      <c r="AP35" s="255">
        <v>106</v>
      </c>
      <c r="AQ35" s="242">
        <v>42110</v>
      </c>
      <c r="AR35" s="223">
        <v>125</v>
      </c>
      <c r="AS35" s="297">
        <f t="shared" si="20"/>
        <v>125</v>
      </c>
      <c r="AT35" s="290">
        <v>42129</v>
      </c>
      <c r="AU35" s="298"/>
      <c r="AV35"/>
      <c r="AW35"/>
      <c r="AX35"/>
      <c r="AY35"/>
      <c r="AZ35"/>
      <c r="BA35"/>
      <c r="BB35"/>
      <c r="BC35"/>
      <c r="BD35"/>
      <c r="BE35"/>
      <c r="BF35" s="277">
        <v>-2.9579238891601562</v>
      </c>
      <c r="BG35" s="283">
        <v>42234</v>
      </c>
      <c r="BH35"/>
      <c r="BI35"/>
      <c r="BJ35"/>
      <c r="BK35"/>
      <c r="BL35" s="277">
        <v>60.812850952148438</v>
      </c>
      <c r="BM35" s="283">
        <v>42234</v>
      </c>
      <c r="BN35"/>
      <c r="BO35"/>
      <c r="BP35" s="277">
        <v>3.132504940032959</v>
      </c>
      <c r="BQ35" s="283">
        <v>42234</v>
      </c>
      <c r="BR35" s="277">
        <v>49.179519653320312</v>
      </c>
      <c r="BS35" s="283">
        <v>42234</v>
      </c>
      <c r="BT35" s="277">
        <v>17.460582733154297</v>
      </c>
      <c r="BU35" s="283">
        <v>42234</v>
      </c>
      <c r="BV35" s="277">
        <v>13.782126426696777</v>
      </c>
      <c r="BW35" s="283">
        <v>42234</v>
      </c>
      <c r="BX35" s="277">
        <v>5.477752685546875</v>
      </c>
      <c r="BY35" s="283">
        <v>42234</v>
      </c>
      <c r="BZ35"/>
      <c r="CB35" s="266">
        <v>1.4</v>
      </c>
      <c r="CC35"/>
      <c r="CD35" s="277">
        <v>3.6363636363636398</v>
      </c>
      <c r="CE35" s="291" t="s">
        <v>8399</v>
      </c>
      <c r="CF35"/>
      <c r="CG35"/>
      <c r="CH35">
        <v>2</v>
      </c>
      <c r="CI35">
        <v>2</v>
      </c>
      <c r="CK35"/>
      <c r="CL35" s="223">
        <v>1</v>
      </c>
      <c r="CM35" s="259">
        <v>42161</v>
      </c>
      <c r="CN35" s="345" t="s">
        <v>8634</v>
      </c>
    </row>
    <row r="36" spans="1:93">
      <c r="A36" s="258">
        <v>69</v>
      </c>
      <c r="B36" s="235">
        <v>69</v>
      </c>
      <c r="C36" s="346" t="s">
        <v>7644</v>
      </c>
      <c r="D36" s="235" t="s">
        <v>7476</v>
      </c>
      <c r="E36" s="235" t="s">
        <v>7644</v>
      </c>
      <c r="F36" s="235" t="s">
        <v>8620</v>
      </c>
      <c r="G36" s="235" t="str">
        <f t="shared" si="14"/>
        <v>Rapsodyn</v>
      </c>
      <c r="H36" s="235" t="s">
        <v>265</v>
      </c>
      <c r="I36" s="235">
        <v>1</v>
      </c>
      <c r="J36" s="235">
        <v>9032</v>
      </c>
      <c r="K36" s="235">
        <v>69</v>
      </c>
      <c r="L36" s="235">
        <f t="shared" si="21"/>
        <v>69</v>
      </c>
      <c r="M36" s="235">
        <v>1</v>
      </c>
      <c r="N36" s="235">
        <v>3</v>
      </c>
      <c r="O36" s="248">
        <v>42048</v>
      </c>
      <c r="P36">
        <v>4.8499999999999996</v>
      </c>
      <c r="Q36" s="264">
        <v>42204</v>
      </c>
      <c r="R36"/>
      <c r="S36"/>
      <c r="T36"/>
      <c r="V36" s="219">
        <f t="shared" si="15"/>
        <v>12.823939249034831</v>
      </c>
      <c r="W36" s="219"/>
      <c r="X36">
        <v>15.55</v>
      </c>
      <c r="Y36"/>
      <c r="Z36"/>
      <c r="AA36"/>
      <c r="AB36" s="220">
        <f t="shared" si="16"/>
        <v>5.7258445236162423</v>
      </c>
      <c r="AC36" s="219"/>
      <c r="AD36" s="221">
        <f t="shared" si="17"/>
        <v>60733.421552046209</v>
      </c>
      <c r="AE36" s="219"/>
      <c r="AF36" s="220">
        <f t="shared" si="18"/>
        <v>28.301774443253535</v>
      </c>
      <c r="AG36" s="219"/>
      <c r="AH36" s="220">
        <f t="shared" si="19"/>
        <v>31.735562282186066</v>
      </c>
      <c r="AI36" s="219"/>
      <c r="AJ36">
        <v>4.66</v>
      </c>
      <c r="AK36" s="284" t="s">
        <v>8399</v>
      </c>
      <c r="AL36">
        <v>185</v>
      </c>
      <c r="AM36"/>
      <c r="AN36" s="241">
        <v>70</v>
      </c>
      <c r="AO36" s="242">
        <v>42074</v>
      </c>
      <c r="AP36" s="255">
        <v>110</v>
      </c>
      <c r="AQ36" s="242">
        <v>42114</v>
      </c>
      <c r="AR36" s="223">
        <v>133</v>
      </c>
      <c r="AS36" s="297">
        <f t="shared" si="20"/>
        <v>133</v>
      </c>
      <c r="AT36" s="290">
        <v>42137</v>
      </c>
      <c r="AU36" s="298"/>
      <c r="AV36"/>
      <c r="AW36"/>
      <c r="AX36"/>
      <c r="AY36"/>
      <c r="AZ36"/>
      <c r="BA36"/>
      <c r="BB36"/>
      <c r="BC36"/>
      <c r="BD36"/>
      <c r="BE36"/>
      <c r="BF36" s="277">
        <v>-3.0900149345397949</v>
      </c>
      <c r="BG36" s="283">
        <v>42233</v>
      </c>
      <c r="BH36"/>
      <c r="BI36"/>
      <c r="BJ36"/>
      <c r="BK36"/>
      <c r="BL36" s="277">
        <v>57.570526123046875</v>
      </c>
      <c r="BM36" s="283">
        <v>42233</v>
      </c>
      <c r="BN36"/>
      <c r="BO36"/>
      <c r="BP36" s="277">
        <v>3.9014990329742432</v>
      </c>
      <c r="BQ36" s="283">
        <v>42233</v>
      </c>
      <c r="BR36" s="277">
        <v>45.311431884765625</v>
      </c>
      <c r="BS36" s="283">
        <v>42233</v>
      </c>
      <c r="BT36" s="277">
        <v>20.23139762878418</v>
      </c>
      <c r="BU36" s="283">
        <v>42233</v>
      </c>
      <c r="BV36" s="277">
        <v>19.243297576904297</v>
      </c>
      <c r="BW36" s="283">
        <v>42233</v>
      </c>
      <c r="BX36" s="277">
        <v>5.5424652099609375</v>
      </c>
      <c r="BY36" s="283">
        <v>42233</v>
      </c>
      <c r="BZ36"/>
      <c r="CB36" s="266">
        <v>1.27</v>
      </c>
      <c r="CC36"/>
      <c r="CD36" s="277">
        <v>7.4074074074074137</v>
      </c>
      <c r="CE36" s="291" t="s">
        <v>8399</v>
      </c>
      <c r="CF36"/>
      <c r="CG36"/>
      <c r="CH36">
        <v>4</v>
      </c>
      <c r="CI36">
        <v>2</v>
      </c>
      <c r="CK36"/>
      <c r="CL36" s="223">
        <v>4</v>
      </c>
      <c r="CM36" s="259">
        <v>42161</v>
      </c>
      <c r="CN36" s="345" t="s">
        <v>8634</v>
      </c>
    </row>
    <row r="37" spans="1:93">
      <c r="A37" s="258">
        <v>70</v>
      </c>
      <c r="B37" s="235">
        <v>70</v>
      </c>
      <c r="C37" s="346" t="s">
        <v>7708</v>
      </c>
      <c r="D37" s="235" t="s">
        <v>7534</v>
      </c>
      <c r="E37" s="235" t="s">
        <v>7708</v>
      </c>
      <c r="F37" s="235" t="s">
        <v>8433</v>
      </c>
      <c r="G37" s="235" t="str">
        <f t="shared" si="14"/>
        <v>Rapsodyn</v>
      </c>
      <c r="H37" s="235" t="s">
        <v>265</v>
      </c>
      <c r="I37" s="235">
        <v>1</v>
      </c>
      <c r="J37" s="235">
        <v>9090</v>
      </c>
      <c r="K37" s="235">
        <v>70</v>
      </c>
      <c r="L37" s="235">
        <f t="shared" si="21"/>
        <v>70</v>
      </c>
      <c r="M37" s="235">
        <v>1</v>
      </c>
      <c r="N37" s="235">
        <v>5</v>
      </c>
      <c r="O37" s="248">
        <v>42048</v>
      </c>
      <c r="P37" s="223">
        <v>7.35</v>
      </c>
      <c r="Q37" s="264">
        <v>42204</v>
      </c>
      <c r="R37" s="223"/>
      <c r="S37" s="223"/>
      <c r="T37" s="223"/>
      <c r="U37" s="225"/>
      <c r="V37" s="219">
        <f t="shared" si="15"/>
        <v>20.767981086791636</v>
      </c>
      <c r="W37" s="224"/>
      <c r="X37">
        <v>15.55</v>
      </c>
      <c r="Y37" s="223"/>
      <c r="Z37" s="223"/>
      <c r="AA37" s="223"/>
      <c r="AB37" s="220">
        <f t="shared" si="16"/>
        <v>7.8992540273054681</v>
      </c>
      <c r="AC37" s="224"/>
      <c r="AD37" s="221">
        <f t="shared" si="17"/>
        <v>93227.075288337743</v>
      </c>
      <c r="AE37" s="224"/>
      <c r="AF37" s="220">
        <f t="shared" si="18"/>
        <v>43.07090878321204</v>
      </c>
      <c r="AG37" s="224"/>
      <c r="AH37" s="220">
        <f t="shared" si="19"/>
        <v>48.296601012796643</v>
      </c>
      <c r="AI37" s="224"/>
      <c r="AJ37">
        <v>4.62</v>
      </c>
      <c r="AK37" s="290" t="s">
        <v>8399</v>
      </c>
      <c r="AL37" s="223">
        <v>170</v>
      </c>
      <c r="AM37" s="223"/>
      <c r="AN37" s="241">
        <v>70</v>
      </c>
      <c r="AO37" s="242">
        <v>42074</v>
      </c>
      <c r="AP37" s="255">
        <v>106</v>
      </c>
      <c r="AQ37" s="242">
        <v>42110</v>
      </c>
      <c r="AR37" s="223">
        <v>131</v>
      </c>
      <c r="AS37" s="297">
        <f t="shared" si="20"/>
        <v>131</v>
      </c>
      <c r="AT37" s="290">
        <v>42135</v>
      </c>
      <c r="AU37" s="298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81">
        <v>-4.6378669738769531</v>
      </c>
      <c r="BG37" s="283">
        <v>42233</v>
      </c>
      <c r="BH37" s="223"/>
      <c r="BI37" s="223"/>
      <c r="BJ37" s="223"/>
      <c r="BK37" s="223"/>
      <c r="BL37" s="281">
        <v>61.483840942382813</v>
      </c>
      <c r="BM37" s="283">
        <v>42233</v>
      </c>
      <c r="BN37" s="223"/>
      <c r="BO37" s="223"/>
      <c r="BP37" s="281">
        <v>3.8941950798034668</v>
      </c>
      <c r="BQ37" s="283">
        <v>42233</v>
      </c>
      <c r="BR37" s="281">
        <v>48.218116760253906</v>
      </c>
      <c r="BS37" s="283">
        <v>42233</v>
      </c>
      <c r="BT37" s="281">
        <v>18.340114593505859</v>
      </c>
      <c r="BU37" s="283">
        <v>42233</v>
      </c>
      <c r="BV37" s="281">
        <v>11.677852630615234</v>
      </c>
      <c r="BW37" s="283">
        <v>42233</v>
      </c>
      <c r="BX37" s="281">
        <v>5.7215499877929687</v>
      </c>
      <c r="BY37" s="283">
        <v>42233</v>
      </c>
      <c r="BZ37" s="223"/>
      <c r="CA37" s="226"/>
      <c r="CB37" s="266">
        <v>1.43</v>
      </c>
      <c r="CC37" s="223"/>
      <c r="CD37" s="281">
        <v>7.0175438596491295</v>
      </c>
      <c r="CE37" s="291" t="s">
        <v>8399</v>
      </c>
      <c r="CF37" s="223"/>
      <c r="CG37" s="223"/>
      <c r="CH37" s="223">
        <v>2</v>
      </c>
      <c r="CI37" s="223">
        <v>2</v>
      </c>
      <c r="CK37" s="223"/>
      <c r="CL37" s="223">
        <v>2</v>
      </c>
      <c r="CM37" s="259">
        <v>42161</v>
      </c>
      <c r="CN37" s="345" t="s">
        <v>8634</v>
      </c>
    </row>
    <row r="38" spans="1:93">
      <c r="A38" s="258">
        <v>71</v>
      </c>
      <c r="B38" s="235">
        <v>71</v>
      </c>
      <c r="C38" s="346" t="s">
        <v>7576</v>
      </c>
      <c r="D38" s="235"/>
      <c r="E38" s="235"/>
      <c r="F38" s="235"/>
      <c r="G38" s="235"/>
      <c r="H38" s="235" t="s">
        <v>265</v>
      </c>
      <c r="I38" s="235">
        <v>1</v>
      </c>
      <c r="K38" s="235">
        <v>71</v>
      </c>
      <c r="L38" s="235">
        <f t="shared" si="21"/>
        <v>71</v>
      </c>
      <c r="M38" s="235">
        <v>1</v>
      </c>
      <c r="O38" s="248">
        <v>42048</v>
      </c>
      <c r="P38"/>
      <c r="Q38" s="219"/>
      <c r="R38"/>
      <c r="S38"/>
      <c r="T38"/>
      <c r="V38" s="219"/>
      <c r="W38" s="219"/>
      <c r="X38">
        <v>15.55</v>
      </c>
      <c r="Y38"/>
      <c r="Z38"/>
      <c r="AA38"/>
      <c r="AB38" s="220"/>
      <c r="AC38" s="219"/>
      <c r="AD38" s="221"/>
      <c r="AE38" s="219"/>
      <c r="AF38" s="220"/>
      <c r="AG38" s="219"/>
      <c r="AH38" s="220"/>
      <c r="AI38" s="219"/>
      <c r="AJ38" s="286"/>
      <c r="AK38" s="284"/>
      <c r="AL38"/>
      <c r="AM38"/>
      <c r="AN38" s="241">
        <v>70</v>
      </c>
      <c r="AO38" s="242">
        <v>42074</v>
      </c>
      <c r="AP38" s="255">
        <v>104</v>
      </c>
      <c r="AQ38" s="242">
        <v>42108</v>
      </c>
      <c r="AR38" s="223"/>
      <c r="AS38" s="297"/>
      <c r="AT38" s="290"/>
      <c r="AU38" s="298"/>
      <c r="AV38"/>
      <c r="AW38"/>
      <c r="AX38"/>
      <c r="AY38"/>
      <c r="AZ38"/>
      <c r="BA38"/>
      <c r="BB38"/>
      <c r="BC38"/>
      <c r="BD38"/>
      <c r="BE38"/>
      <c r="BF38" s="277"/>
      <c r="BG38" s="235"/>
      <c r="BH38"/>
      <c r="BI38"/>
      <c r="BJ38"/>
      <c r="BK38"/>
      <c r="BL38" s="277"/>
      <c r="BM38" s="235"/>
      <c r="BN38"/>
      <c r="BO38"/>
      <c r="BP38" s="277"/>
      <c r="BQ38" s="235"/>
      <c r="BR38" s="277"/>
      <c r="BS38" s="235"/>
      <c r="BT38" s="277"/>
      <c r="BU38" s="235"/>
      <c r="BV38" s="277"/>
      <c r="BW38" s="235"/>
      <c r="BX38" s="277"/>
      <c r="BY38" s="235"/>
      <c r="BZ38"/>
      <c r="CB38" s="266"/>
      <c r="CC38"/>
      <c r="CD38" s="277"/>
      <c r="CE38" s="291"/>
      <c r="CF38"/>
      <c r="CG38"/>
      <c r="CH38"/>
      <c r="CI38"/>
      <c r="CK38"/>
      <c r="CL38" s="223">
        <v>2</v>
      </c>
      <c r="CM38" s="259">
        <v>42161</v>
      </c>
      <c r="CN38" s="345" t="s">
        <v>8634</v>
      </c>
    </row>
    <row r="39" spans="1:93">
      <c r="A39" s="258">
        <v>72</v>
      </c>
      <c r="B39" s="235">
        <v>72</v>
      </c>
      <c r="C39" s="346" t="s">
        <v>7576</v>
      </c>
      <c r="D39" s="235"/>
      <c r="E39" s="235"/>
      <c r="F39" s="235"/>
      <c r="G39" s="235"/>
      <c r="H39" s="235" t="s">
        <v>265</v>
      </c>
      <c r="I39" s="235">
        <v>1</v>
      </c>
      <c r="K39" s="235">
        <v>72</v>
      </c>
      <c r="L39" s="235">
        <f t="shared" si="21"/>
        <v>72</v>
      </c>
      <c r="M39" s="235">
        <v>1</v>
      </c>
      <c r="O39" s="248">
        <v>42048</v>
      </c>
      <c r="P39"/>
      <c r="Q39" s="219"/>
      <c r="R39"/>
      <c r="S39"/>
      <c r="T39"/>
      <c r="V39" s="219"/>
      <c r="W39" s="219"/>
      <c r="X39">
        <v>15.55</v>
      </c>
      <c r="Y39"/>
      <c r="Z39"/>
      <c r="AA39"/>
      <c r="AB39" s="220"/>
      <c r="AC39" s="219"/>
      <c r="AD39" s="221"/>
      <c r="AE39" s="219"/>
      <c r="AF39" s="220"/>
      <c r="AG39" s="219"/>
      <c r="AH39" s="220"/>
      <c r="AI39" s="219"/>
      <c r="AJ39" s="286"/>
      <c r="AK39" s="284"/>
      <c r="AL39"/>
      <c r="AM39"/>
      <c r="AN39" s="241">
        <v>70</v>
      </c>
      <c r="AO39" s="242">
        <v>42074</v>
      </c>
      <c r="AP39" s="255">
        <v>104</v>
      </c>
      <c r="AQ39" s="242">
        <v>42108</v>
      </c>
      <c r="AR39" s="223"/>
      <c r="AS39" s="297"/>
      <c r="AT39" s="290"/>
      <c r="AU39" s="298"/>
      <c r="AV39"/>
      <c r="AW39"/>
      <c r="AX39"/>
      <c r="AY39"/>
      <c r="AZ39"/>
      <c r="BA39"/>
      <c r="BB39"/>
      <c r="BC39"/>
      <c r="BD39"/>
      <c r="BE39"/>
      <c r="BF39" s="277"/>
      <c r="BG39" s="235"/>
      <c r="BH39"/>
      <c r="BI39"/>
      <c r="BJ39"/>
      <c r="BK39"/>
      <c r="BL39" s="277"/>
      <c r="BM39" s="235"/>
      <c r="BN39"/>
      <c r="BO39"/>
      <c r="BP39" s="277"/>
      <c r="BQ39" s="235"/>
      <c r="BR39" s="277"/>
      <c r="BS39" s="235"/>
      <c r="BT39" s="277"/>
      <c r="BU39" s="235"/>
      <c r="BV39" s="277"/>
      <c r="BW39" s="235"/>
      <c r="BX39" s="277"/>
      <c r="BY39" s="235"/>
      <c r="BZ39"/>
      <c r="CB39" s="266"/>
      <c r="CC39"/>
      <c r="CD39" s="277"/>
      <c r="CE39" s="291"/>
      <c r="CF39"/>
      <c r="CG39"/>
      <c r="CH39"/>
      <c r="CI39"/>
      <c r="CK39"/>
      <c r="CL39" s="223">
        <v>2</v>
      </c>
      <c r="CM39" s="259">
        <v>42161</v>
      </c>
      <c r="CN39" s="345" t="s">
        <v>8634</v>
      </c>
    </row>
    <row r="40" spans="1:93">
      <c r="A40" s="258">
        <v>73</v>
      </c>
      <c r="B40" s="235">
        <v>73</v>
      </c>
      <c r="C40" s="346" t="s">
        <v>7576</v>
      </c>
      <c r="D40" s="235"/>
      <c r="E40" s="235"/>
      <c r="F40" s="235"/>
      <c r="G40" s="235"/>
      <c r="H40" s="235" t="s">
        <v>265</v>
      </c>
      <c r="I40" s="235">
        <v>1</v>
      </c>
      <c r="K40" s="235">
        <v>73</v>
      </c>
      <c r="L40" s="235">
        <f t="shared" si="21"/>
        <v>73</v>
      </c>
      <c r="M40" s="235">
        <v>1</v>
      </c>
      <c r="O40" s="248">
        <v>42048</v>
      </c>
      <c r="P40"/>
      <c r="Q40" s="219"/>
      <c r="R40"/>
      <c r="S40"/>
      <c r="T40"/>
      <c r="V40" s="219"/>
      <c r="W40" s="219"/>
      <c r="X40">
        <v>15.55</v>
      </c>
      <c r="Y40"/>
      <c r="Z40"/>
      <c r="AA40"/>
      <c r="AB40" s="220"/>
      <c r="AC40" s="219"/>
      <c r="AD40" s="221"/>
      <c r="AE40" s="219"/>
      <c r="AF40" s="220"/>
      <c r="AG40" s="219"/>
      <c r="AH40" s="220"/>
      <c r="AI40" s="219"/>
      <c r="AJ40" s="286"/>
      <c r="AK40" s="284"/>
      <c r="AL40"/>
      <c r="AM40"/>
      <c r="AN40" s="241">
        <v>70</v>
      </c>
      <c r="AO40" s="242">
        <v>42074</v>
      </c>
      <c r="AP40" s="255">
        <v>104</v>
      </c>
      <c r="AQ40" s="242">
        <v>42108</v>
      </c>
      <c r="AR40"/>
      <c r="AS40" s="297"/>
      <c r="AT40" s="290"/>
      <c r="AU40" s="298"/>
      <c r="AV40"/>
      <c r="AW40"/>
      <c r="AX40"/>
      <c r="AY40"/>
      <c r="AZ40"/>
      <c r="BA40"/>
      <c r="BB40"/>
      <c r="BC40"/>
      <c r="BD40"/>
      <c r="BE40"/>
      <c r="BF40" s="277"/>
      <c r="BG40" s="235"/>
      <c r="BH40"/>
      <c r="BI40"/>
      <c r="BJ40"/>
      <c r="BK40"/>
      <c r="BL40" s="277"/>
      <c r="BM40" s="235"/>
      <c r="BN40"/>
      <c r="BO40"/>
      <c r="BP40" s="277"/>
      <c r="BQ40" s="235"/>
      <c r="BR40" s="277"/>
      <c r="BS40" s="235"/>
      <c r="BT40" s="277"/>
      <c r="BU40" s="235"/>
      <c r="BV40" s="277"/>
      <c r="BW40" s="235"/>
      <c r="BX40" s="277"/>
      <c r="BY40" s="235"/>
      <c r="BZ40"/>
      <c r="CB40" s="266"/>
      <c r="CC40"/>
      <c r="CD40" s="277"/>
      <c r="CE40" s="291"/>
      <c r="CF40"/>
      <c r="CG40"/>
      <c r="CH40"/>
      <c r="CI40"/>
      <c r="CK40"/>
      <c r="CL40" s="223">
        <v>2</v>
      </c>
      <c r="CM40" s="259">
        <v>42161</v>
      </c>
      <c r="CN40" s="345" t="s">
        <v>8634</v>
      </c>
    </row>
    <row r="41" spans="1:93">
      <c r="A41" s="258">
        <v>74</v>
      </c>
      <c r="B41" s="235">
        <v>74</v>
      </c>
      <c r="C41" s="235" t="s">
        <v>7576</v>
      </c>
      <c r="D41" s="235"/>
      <c r="E41" s="235"/>
      <c r="F41" s="235"/>
      <c r="G41" s="235"/>
      <c r="H41" s="235" t="s">
        <v>265</v>
      </c>
      <c r="I41" s="235">
        <v>1</v>
      </c>
      <c r="K41" s="235">
        <v>73</v>
      </c>
      <c r="L41" s="235">
        <f t="shared" si="21"/>
        <v>73</v>
      </c>
      <c r="M41" s="235">
        <v>2</v>
      </c>
      <c r="O41" s="248">
        <v>42048</v>
      </c>
      <c r="P41"/>
      <c r="Q41" s="219"/>
      <c r="R41"/>
      <c r="S41"/>
      <c r="T41"/>
      <c r="V41" s="219"/>
      <c r="W41" s="219"/>
      <c r="X41">
        <v>15.55</v>
      </c>
      <c r="Y41"/>
      <c r="Z41"/>
      <c r="AA41"/>
      <c r="AB41" s="220"/>
      <c r="AC41" s="219"/>
      <c r="AD41" s="221"/>
      <c r="AE41" s="219"/>
      <c r="AF41" s="220"/>
      <c r="AG41" s="219"/>
      <c r="AH41" s="220"/>
      <c r="AI41" s="219"/>
      <c r="AJ41" s="286"/>
      <c r="AK41" s="284"/>
      <c r="AL41"/>
      <c r="AM41"/>
      <c r="AN41" s="241">
        <v>70</v>
      </c>
      <c r="AO41" s="242">
        <v>42074</v>
      </c>
      <c r="AP41" s="255">
        <v>104</v>
      </c>
      <c r="AQ41" s="242">
        <v>42108</v>
      </c>
      <c r="AR41"/>
      <c r="AS41" s="297"/>
      <c r="AT41" s="290"/>
      <c r="AU41" s="298"/>
      <c r="AV41"/>
      <c r="AW41"/>
      <c r="AX41"/>
      <c r="AY41"/>
      <c r="AZ41"/>
      <c r="BA41"/>
      <c r="BB41"/>
      <c r="BC41"/>
      <c r="BD41"/>
      <c r="BE41"/>
      <c r="BF41" s="277"/>
      <c r="BG41" s="235"/>
      <c r="BH41"/>
      <c r="BI41"/>
      <c r="BJ41"/>
      <c r="BK41"/>
      <c r="BL41" s="277"/>
      <c r="BM41" s="235"/>
      <c r="BN41"/>
      <c r="BO41"/>
      <c r="BP41" s="277"/>
      <c r="BQ41" s="235"/>
      <c r="BR41" s="277"/>
      <c r="BS41" s="235"/>
      <c r="BT41" s="277"/>
      <c r="BU41" s="235"/>
      <c r="BV41" s="277"/>
      <c r="BW41" s="235"/>
      <c r="BX41" s="277"/>
      <c r="BY41" s="235"/>
      <c r="BZ41"/>
      <c r="CB41" s="266"/>
      <c r="CC41"/>
      <c r="CD41" s="277"/>
      <c r="CE41" s="291"/>
      <c r="CF41"/>
      <c r="CG41"/>
      <c r="CH41"/>
      <c r="CI41"/>
      <c r="CK41"/>
      <c r="CL41" s="223">
        <v>1</v>
      </c>
      <c r="CM41" s="259">
        <v>42161</v>
      </c>
    </row>
    <row r="42" spans="1:93">
      <c r="A42" s="258">
        <v>75</v>
      </c>
      <c r="B42" s="235">
        <v>75</v>
      </c>
      <c r="C42" s="235" t="s">
        <v>7576</v>
      </c>
      <c r="D42" s="235"/>
      <c r="E42" s="235"/>
      <c r="F42" s="235"/>
      <c r="G42" s="235"/>
      <c r="H42" s="235" t="s">
        <v>265</v>
      </c>
      <c r="I42" s="235">
        <v>1</v>
      </c>
      <c r="K42" s="235">
        <v>72</v>
      </c>
      <c r="L42" s="235">
        <f t="shared" si="21"/>
        <v>72</v>
      </c>
      <c r="M42" s="235">
        <v>2</v>
      </c>
      <c r="O42" s="248">
        <v>42048</v>
      </c>
      <c r="P42"/>
      <c r="Q42" s="219"/>
      <c r="R42"/>
      <c r="S42"/>
      <c r="T42"/>
      <c r="V42" s="219"/>
      <c r="W42" s="219"/>
      <c r="X42">
        <v>15.55</v>
      </c>
      <c r="Y42"/>
      <c r="Z42"/>
      <c r="AA42"/>
      <c r="AB42" s="220"/>
      <c r="AC42" s="219"/>
      <c r="AD42" s="221"/>
      <c r="AE42" s="219"/>
      <c r="AF42" s="220"/>
      <c r="AG42" s="219"/>
      <c r="AH42" s="220"/>
      <c r="AI42" s="219"/>
      <c r="AJ42" s="286"/>
      <c r="AK42" s="284"/>
      <c r="AL42"/>
      <c r="AM42"/>
      <c r="AN42" s="241">
        <v>70</v>
      </c>
      <c r="AO42" s="242">
        <v>42074</v>
      </c>
      <c r="AP42" s="255">
        <v>104</v>
      </c>
      <c r="AQ42" s="242">
        <v>42108</v>
      </c>
      <c r="AR42"/>
      <c r="AS42" s="297"/>
      <c r="AT42" s="290"/>
      <c r="AU42" s="298"/>
      <c r="AV42"/>
      <c r="AW42"/>
      <c r="AX42"/>
      <c r="AY42"/>
      <c r="AZ42"/>
      <c r="BA42"/>
      <c r="BB42"/>
      <c r="BC42"/>
      <c r="BD42"/>
      <c r="BE42"/>
      <c r="BF42" s="277"/>
      <c r="BG42" s="235"/>
      <c r="BH42"/>
      <c r="BI42"/>
      <c r="BJ42"/>
      <c r="BK42"/>
      <c r="BL42" s="277"/>
      <c r="BM42" s="235"/>
      <c r="BN42"/>
      <c r="BO42"/>
      <c r="BP42" s="277"/>
      <c r="BQ42" s="235"/>
      <c r="BR42" s="277"/>
      <c r="BS42" s="235"/>
      <c r="BT42" s="277"/>
      <c r="BU42" s="235"/>
      <c r="BV42" s="277"/>
      <c r="BW42" s="235"/>
      <c r="BX42" s="277"/>
      <c r="BY42" s="235"/>
      <c r="BZ42"/>
      <c r="CB42" s="266"/>
      <c r="CC42"/>
      <c r="CD42" s="277"/>
      <c r="CE42" s="291"/>
      <c r="CF42"/>
      <c r="CG42"/>
      <c r="CH42"/>
      <c r="CI42"/>
      <c r="CK42"/>
      <c r="CL42" s="223">
        <v>1</v>
      </c>
      <c r="CM42" s="259">
        <v>42161</v>
      </c>
    </row>
    <row r="43" spans="1:93">
      <c r="A43" s="258">
        <v>76</v>
      </c>
      <c r="B43" s="235">
        <v>76</v>
      </c>
      <c r="C43" s="235" t="s">
        <v>7576</v>
      </c>
      <c r="D43" s="235"/>
      <c r="E43" s="235"/>
      <c r="F43" s="235"/>
      <c r="G43" s="235"/>
      <c r="H43" s="235" t="s">
        <v>265</v>
      </c>
      <c r="I43" s="235">
        <v>1</v>
      </c>
      <c r="K43" s="235">
        <v>71</v>
      </c>
      <c r="L43" s="235">
        <f t="shared" si="21"/>
        <v>71</v>
      </c>
      <c r="M43" s="235">
        <v>2</v>
      </c>
      <c r="O43" s="248">
        <v>42048</v>
      </c>
      <c r="P43"/>
      <c r="Q43" s="219"/>
      <c r="R43"/>
      <c r="S43"/>
      <c r="T43"/>
      <c r="V43" s="219"/>
      <c r="W43" s="219"/>
      <c r="X43">
        <v>15.55</v>
      </c>
      <c r="Y43"/>
      <c r="Z43"/>
      <c r="AA43"/>
      <c r="AB43" s="220"/>
      <c r="AC43" s="219"/>
      <c r="AD43" s="221"/>
      <c r="AE43" s="219"/>
      <c r="AF43" s="220"/>
      <c r="AG43" s="219"/>
      <c r="AH43" s="220"/>
      <c r="AI43" s="219"/>
      <c r="AJ43" s="286"/>
      <c r="AK43" s="284"/>
      <c r="AL43"/>
      <c r="AM43"/>
      <c r="AN43" s="241">
        <v>70</v>
      </c>
      <c r="AO43" s="242">
        <v>42074</v>
      </c>
      <c r="AP43" s="255">
        <v>104</v>
      </c>
      <c r="AQ43" s="242">
        <v>42108</v>
      </c>
      <c r="AR43"/>
      <c r="AS43" s="297"/>
      <c r="AT43" s="290"/>
      <c r="AU43" s="298"/>
      <c r="AV43"/>
      <c r="AW43"/>
      <c r="AX43"/>
      <c r="AY43"/>
      <c r="AZ43"/>
      <c r="BA43"/>
      <c r="BB43"/>
      <c r="BC43"/>
      <c r="BD43"/>
      <c r="BE43"/>
      <c r="BF43" s="277"/>
      <c r="BG43" s="235"/>
      <c r="BH43"/>
      <c r="BI43"/>
      <c r="BJ43"/>
      <c r="BK43"/>
      <c r="BL43" s="277"/>
      <c r="BM43" s="235"/>
      <c r="BN43"/>
      <c r="BO43"/>
      <c r="BP43" s="277"/>
      <c r="BQ43" s="235"/>
      <c r="BR43" s="277"/>
      <c r="BS43" s="235"/>
      <c r="BT43" s="277"/>
      <c r="BU43" s="235"/>
      <c r="BV43" s="277"/>
      <c r="BW43" s="235"/>
      <c r="BX43" s="277"/>
      <c r="BY43" s="235"/>
      <c r="BZ43"/>
      <c r="CB43" s="266"/>
      <c r="CC43"/>
      <c r="CD43" s="277"/>
      <c r="CE43" s="291"/>
      <c r="CF43"/>
      <c r="CG43"/>
      <c r="CH43"/>
      <c r="CI43"/>
      <c r="CK43"/>
      <c r="CL43" s="223">
        <v>1</v>
      </c>
      <c r="CM43" s="259">
        <v>42161</v>
      </c>
    </row>
    <row r="44" spans="1:93">
      <c r="A44" s="258">
        <v>79</v>
      </c>
      <c r="B44" s="235">
        <v>79</v>
      </c>
      <c r="C44" s="235" t="s">
        <v>7652</v>
      </c>
      <c r="D44" s="235" t="s">
        <v>7483</v>
      </c>
      <c r="E44" s="235" t="s">
        <v>7652</v>
      </c>
      <c r="F44" s="235" t="s">
        <v>8621</v>
      </c>
      <c r="G44" s="235" t="str">
        <f t="shared" ref="G44:G52" si="22">IF(MID(C44,1,3)="BGA","Complement","Rapsodyn")</f>
        <v>Rapsodyn</v>
      </c>
      <c r="H44" s="235" t="s">
        <v>265</v>
      </c>
      <c r="I44" s="235">
        <v>1</v>
      </c>
      <c r="J44" s="235">
        <v>9036</v>
      </c>
      <c r="K44" s="235">
        <v>68</v>
      </c>
      <c r="L44" s="235">
        <f t="shared" si="21"/>
        <v>68</v>
      </c>
      <c r="M44" s="235">
        <v>2</v>
      </c>
      <c r="N44" s="235">
        <v>7</v>
      </c>
      <c r="O44" s="248">
        <v>42048</v>
      </c>
      <c r="P44">
        <v>4.2</v>
      </c>
      <c r="Q44" s="264">
        <v>42204</v>
      </c>
      <c r="R44"/>
      <c r="S44"/>
      <c r="T44"/>
      <c r="V44" s="219">
        <f t="shared" ref="V44:V52" si="23">+BR44*AF44/100</f>
        <v>11.792867626965522</v>
      </c>
      <c r="W44" s="219"/>
      <c r="X44">
        <v>15.55</v>
      </c>
      <c r="Y44"/>
      <c r="Z44"/>
      <c r="AA44"/>
      <c r="AB44" s="220">
        <f t="shared" ref="AB44:AB52" si="24">+AF44*BT44/100</f>
        <v>4.3323976848484156</v>
      </c>
      <c r="AC44" s="219"/>
      <c r="AD44" s="221">
        <f t="shared" ref="AD44:AD52" si="25">+(AF44/AJ44)*10000</f>
        <v>49421.5820805646</v>
      </c>
      <c r="AE44" s="219"/>
      <c r="AF44" s="220">
        <f t="shared" ref="AF44:AF52" si="26">($P44/$X44)*(((100-$CD44)/100*(100-2)/100))*100</f>
        <v>24.611947876121175</v>
      </c>
      <c r="AG44" s="219"/>
      <c r="AH44" s="220">
        <f t="shared" ref="AH44:AH52" si="27">($P44/$X44)*(((100-$CD44)/(100-9)*(100-2)/(100-2))*100)</f>
        <v>27.598057721598085</v>
      </c>
      <c r="AI44" s="219"/>
      <c r="AJ44">
        <v>4.9800000000000004</v>
      </c>
      <c r="AK44" s="284" t="s">
        <v>8399</v>
      </c>
      <c r="AL44">
        <v>170</v>
      </c>
      <c r="AM44"/>
      <c r="AN44" s="241">
        <v>70</v>
      </c>
      <c r="AO44" s="242">
        <v>42074</v>
      </c>
      <c r="AP44" s="255">
        <v>106</v>
      </c>
      <c r="AQ44" s="242">
        <v>42110</v>
      </c>
      <c r="AR44">
        <v>131</v>
      </c>
      <c r="AS44" s="297">
        <f t="shared" ref="AS44:AS52" si="28">IF(AR44=0,,AR44)</f>
        <v>131</v>
      </c>
      <c r="AT44" s="290">
        <v>42135</v>
      </c>
      <c r="AU44" s="298"/>
      <c r="AV44"/>
      <c r="AW44"/>
      <c r="AX44"/>
      <c r="AY44"/>
      <c r="AZ44"/>
      <c r="BA44"/>
      <c r="BB44"/>
      <c r="BC44"/>
      <c r="BD44"/>
      <c r="BE44"/>
      <c r="BF44" s="277">
        <v>-2.711090087890625</v>
      </c>
      <c r="BG44" s="283">
        <v>42233</v>
      </c>
      <c r="BH44"/>
      <c r="BI44"/>
      <c r="BJ44"/>
      <c r="BK44"/>
      <c r="BL44" s="277">
        <v>63.029525756835938</v>
      </c>
      <c r="BM44" s="283">
        <v>42233</v>
      </c>
      <c r="BN44"/>
      <c r="BO44"/>
      <c r="BP44" s="277">
        <v>3.3134720325469971</v>
      </c>
      <c r="BQ44" s="283">
        <v>42233</v>
      </c>
      <c r="BR44" s="277">
        <v>47.915214538574219</v>
      </c>
      <c r="BS44" s="283">
        <v>42233</v>
      </c>
      <c r="BT44" s="277">
        <v>17.602823257446289</v>
      </c>
      <c r="BU44" s="283">
        <v>42233</v>
      </c>
      <c r="BV44" s="277">
        <v>52.95587158203125</v>
      </c>
      <c r="BW44" s="283">
        <v>42233</v>
      </c>
      <c r="BX44" s="277">
        <v>5.6844711303710938</v>
      </c>
      <c r="BY44" s="283">
        <v>42233</v>
      </c>
      <c r="BZ44"/>
      <c r="CB44" s="266">
        <v>2.4300000000000002</v>
      </c>
      <c r="CC44"/>
      <c r="CD44" s="277">
        <v>7.0175438596491295</v>
      </c>
      <c r="CE44" s="291" t="s">
        <v>8399</v>
      </c>
      <c r="CF44"/>
      <c r="CG44"/>
      <c r="CH44">
        <v>3</v>
      </c>
      <c r="CI44">
        <v>4</v>
      </c>
      <c r="CK44"/>
      <c r="CL44" s="223">
        <v>1</v>
      </c>
      <c r="CM44" s="259">
        <v>42161</v>
      </c>
      <c r="CN44" s="137" t="s">
        <v>8406</v>
      </c>
    </row>
    <row r="45" spans="1:93">
      <c r="A45" s="258">
        <v>80</v>
      </c>
      <c r="B45" s="235">
        <v>80</v>
      </c>
      <c r="C45" s="235" t="s">
        <v>7654</v>
      </c>
      <c r="D45" s="235" t="s">
        <v>7485</v>
      </c>
      <c r="E45" s="235" t="s">
        <v>7654</v>
      </c>
      <c r="F45" s="235" t="s">
        <v>8470</v>
      </c>
      <c r="G45" s="235" t="str">
        <f t="shared" si="22"/>
        <v>Rapsodyn</v>
      </c>
      <c r="H45" s="235" t="s">
        <v>265</v>
      </c>
      <c r="I45" s="235">
        <v>1</v>
      </c>
      <c r="J45" s="235">
        <v>9038</v>
      </c>
      <c r="K45" s="235">
        <v>67</v>
      </c>
      <c r="L45" s="235">
        <f t="shared" si="21"/>
        <v>67</v>
      </c>
      <c r="M45" s="235">
        <v>2</v>
      </c>
      <c r="N45" s="236">
        <v>5</v>
      </c>
      <c r="O45" s="248">
        <v>42048</v>
      </c>
      <c r="P45">
        <v>4.5999999999999996</v>
      </c>
      <c r="Q45" s="264">
        <v>42204</v>
      </c>
      <c r="R45"/>
      <c r="S45"/>
      <c r="T45"/>
      <c r="V45" s="219">
        <f t="shared" si="23"/>
        <v>13.949796145883465</v>
      </c>
      <c r="W45" s="219"/>
      <c r="X45">
        <v>15.55</v>
      </c>
      <c r="Y45"/>
      <c r="Z45"/>
      <c r="AA45"/>
      <c r="AB45" s="220">
        <f t="shared" si="24"/>
        <v>4.3769697053566823</v>
      </c>
      <c r="AC45" s="219"/>
      <c r="AD45" s="221">
        <f t="shared" si="25"/>
        <v>57098.847418698497</v>
      </c>
      <c r="AE45" s="219"/>
      <c r="AF45" s="220">
        <f t="shared" si="26"/>
        <v>27.464545608393976</v>
      </c>
      <c r="AG45" s="219"/>
      <c r="AH45" s="220">
        <f t="shared" si="27"/>
        <v>30.796754438656624</v>
      </c>
      <c r="AI45" s="219"/>
      <c r="AJ45">
        <v>4.8099999999999996</v>
      </c>
      <c r="AK45" s="284" t="s">
        <v>8399</v>
      </c>
      <c r="AL45">
        <v>160</v>
      </c>
      <c r="AM45"/>
      <c r="AN45" s="241">
        <v>72</v>
      </c>
      <c r="AO45" s="242">
        <v>42076</v>
      </c>
      <c r="AP45" s="255">
        <v>104</v>
      </c>
      <c r="AQ45" s="242">
        <v>42108</v>
      </c>
      <c r="AR45">
        <v>133</v>
      </c>
      <c r="AS45" s="297">
        <f t="shared" si="28"/>
        <v>133</v>
      </c>
      <c r="AT45" s="290">
        <v>42137</v>
      </c>
      <c r="AU45" s="298"/>
      <c r="AV45"/>
      <c r="AW45"/>
      <c r="AX45"/>
      <c r="AY45"/>
      <c r="AZ45"/>
      <c r="BA45"/>
      <c r="BB45"/>
      <c r="BC45"/>
      <c r="BD45"/>
      <c r="BE45"/>
      <c r="BF45" s="277">
        <v>-2.3128399848937988</v>
      </c>
      <c r="BG45" s="283">
        <v>42233</v>
      </c>
      <c r="BH45"/>
      <c r="BI45"/>
      <c r="BJ45"/>
      <c r="BK45"/>
      <c r="BL45" s="277">
        <v>63.973842620849609</v>
      </c>
      <c r="BM45" s="283">
        <v>42233</v>
      </c>
      <c r="BN45"/>
      <c r="BO45"/>
      <c r="BP45" s="277">
        <v>3.1027700901031494</v>
      </c>
      <c r="BQ45" s="283">
        <v>42233</v>
      </c>
      <c r="BR45" s="277">
        <v>50.792015075683594</v>
      </c>
      <c r="BS45" s="283">
        <v>42233</v>
      </c>
      <c r="BT45" s="277">
        <v>15.936800003051758</v>
      </c>
      <c r="BU45" s="283">
        <v>42233</v>
      </c>
      <c r="BV45" s="277">
        <v>53.281181335449219</v>
      </c>
      <c r="BW45" s="283">
        <v>42233</v>
      </c>
      <c r="BX45" s="277">
        <v>5.6167144775390625</v>
      </c>
      <c r="BY45" s="283">
        <v>42233</v>
      </c>
      <c r="BZ45"/>
      <c r="CB45" s="266">
        <v>2.1</v>
      </c>
      <c r="CC45"/>
      <c r="CD45" s="277">
        <v>5.2631578947368389</v>
      </c>
      <c r="CE45" s="291" t="s">
        <v>8399</v>
      </c>
      <c r="CF45"/>
      <c r="CG45"/>
      <c r="CH45">
        <v>3</v>
      </c>
      <c r="CI45">
        <v>5</v>
      </c>
      <c r="CK45"/>
      <c r="CL45" s="223">
        <v>1</v>
      </c>
      <c r="CM45" s="259">
        <v>42161</v>
      </c>
      <c r="CN45" s="137" t="s">
        <v>8406</v>
      </c>
    </row>
    <row r="46" spans="1:93">
      <c r="A46" s="258">
        <v>83</v>
      </c>
      <c r="B46" s="235">
        <v>83</v>
      </c>
      <c r="C46" s="235" t="s">
        <v>7751</v>
      </c>
      <c r="D46" s="235" t="s">
        <v>7559</v>
      </c>
      <c r="E46" s="235" t="s">
        <v>7751</v>
      </c>
      <c r="F46" s="235" t="s">
        <v>8552</v>
      </c>
      <c r="G46" s="235" t="str">
        <f t="shared" si="22"/>
        <v>Rapsodyn</v>
      </c>
      <c r="H46" s="235" t="s">
        <v>265</v>
      </c>
      <c r="I46" s="235">
        <v>1</v>
      </c>
      <c r="J46" s="235">
        <v>9123</v>
      </c>
      <c r="K46" s="235">
        <v>64</v>
      </c>
      <c r="L46" s="235">
        <f t="shared" si="21"/>
        <v>64</v>
      </c>
      <c r="M46" s="235">
        <v>2</v>
      </c>
      <c r="N46" s="235">
        <v>5</v>
      </c>
      <c r="O46" s="248">
        <v>42048</v>
      </c>
      <c r="P46">
        <v>4.1500000000000004</v>
      </c>
      <c r="Q46" s="264">
        <v>42204</v>
      </c>
      <c r="R46"/>
      <c r="S46"/>
      <c r="T46"/>
      <c r="V46" s="219">
        <f t="shared" si="23"/>
        <v>13.109401370415549</v>
      </c>
      <c r="W46" s="219"/>
      <c r="X46">
        <v>15.55</v>
      </c>
      <c r="Y46"/>
      <c r="Z46"/>
      <c r="AA46"/>
      <c r="AB46" s="220">
        <f t="shared" si="24"/>
        <v>4.1636448020609373</v>
      </c>
      <c r="AC46" s="219"/>
      <c r="AD46" s="221">
        <f t="shared" si="25"/>
        <v>63768.856096165109</v>
      </c>
      <c r="AE46" s="219"/>
      <c r="AF46" s="220">
        <f t="shared" si="26"/>
        <v>25.252467014081383</v>
      </c>
      <c r="AG46" s="219"/>
      <c r="AH46" s="220">
        <f t="shared" si="27"/>
        <v>28.316289542589573</v>
      </c>
      <c r="AI46" s="219"/>
      <c r="AJ46">
        <v>3.96</v>
      </c>
      <c r="AK46" s="284" t="s">
        <v>8398</v>
      </c>
      <c r="AL46">
        <v>165</v>
      </c>
      <c r="AM46"/>
      <c r="AN46" s="241">
        <v>70</v>
      </c>
      <c r="AO46" s="242">
        <v>42074</v>
      </c>
      <c r="AP46" s="255">
        <v>104</v>
      </c>
      <c r="AQ46" s="242">
        <v>42108</v>
      </c>
      <c r="AR46" s="136">
        <v>132</v>
      </c>
      <c r="AS46" s="297">
        <f t="shared" si="28"/>
        <v>132</v>
      </c>
      <c r="AT46" s="290">
        <v>42136</v>
      </c>
      <c r="AU46" s="298"/>
      <c r="AV46"/>
      <c r="AW46"/>
      <c r="AX46"/>
      <c r="AY46"/>
      <c r="AZ46"/>
      <c r="BA46"/>
      <c r="BB46"/>
      <c r="BC46"/>
      <c r="BD46"/>
      <c r="BE46"/>
      <c r="BF46" s="277">
        <v>40.906467437744141</v>
      </c>
      <c r="BG46" s="283">
        <v>42234</v>
      </c>
      <c r="BH46"/>
      <c r="BI46"/>
      <c r="BJ46"/>
      <c r="BK46"/>
      <c r="BL46" s="277">
        <v>62.910629272460938</v>
      </c>
      <c r="BM46" s="283">
        <v>42234</v>
      </c>
      <c r="BN46"/>
      <c r="BO46"/>
      <c r="BP46" s="277">
        <v>3.2198290824890137</v>
      </c>
      <c r="BQ46" s="283">
        <v>42234</v>
      </c>
      <c r="BR46" s="277">
        <v>51.913349151611328</v>
      </c>
      <c r="BS46" s="283">
        <v>42234</v>
      </c>
      <c r="BT46" s="277">
        <v>16.488071441650391</v>
      </c>
      <c r="BU46" s="283">
        <v>42234</v>
      </c>
      <c r="BV46" s="277">
        <v>40.120048522949219</v>
      </c>
      <c r="BW46" s="283">
        <v>42234</v>
      </c>
      <c r="BX46" s="277">
        <v>5.1165542602539062</v>
      </c>
      <c r="BY46" s="283">
        <v>42234</v>
      </c>
      <c r="BZ46"/>
      <c r="CB46" s="266">
        <v>2.81</v>
      </c>
      <c r="CC46"/>
      <c r="CD46" s="277">
        <v>3.4482758620689689</v>
      </c>
      <c r="CE46" s="291" t="s">
        <v>8398</v>
      </c>
      <c r="CF46"/>
      <c r="CG46"/>
      <c r="CH46">
        <v>2</v>
      </c>
      <c r="CI46">
        <v>4</v>
      </c>
      <c r="CK46"/>
      <c r="CL46" s="223">
        <v>2</v>
      </c>
      <c r="CM46" s="259">
        <v>42161</v>
      </c>
      <c r="CN46" s="137" t="s">
        <v>8406</v>
      </c>
    </row>
    <row r="47" spans="1:93" s="227" customFormat="1">
      <c r="A47" s="258">
        <v>85</v>
      </c>
      <c r="B47" s="235">
        <v>85</v>
      </c>
      <c r="C47" s="235" t="s">
        <v>7604</v>
      </c>
      <c r="D47" s="235" t="s">
        <v>7810</v>
      </c>
      <c r="E47" s="235" t="s">
        <v>7604</v>
      </c>
      <c r="F47" s="235" t="s">
        <v>8609</v>
      </c>
      <c r="G47" s="235" t="str">
        <f t="shared" si="22"/>
        <v>Rapsodyn</v>
      </c>
      <c r="H47" s="235" t="s">
        <v>265</v>
      </c>
      <c r="I47" s="235">
        <v>1</v>
      </c>
      <c r="J47" s="235">
        <v>9001</v>
      </c>
      <c r="K47" s="235">
        <v>62</v>
      </c>
      <c r="L47" s="235">
        <f t="shared" si="21"/>
        <v>62</v>
      </c>
      <c r="M47" s="235">
        <v>2</v>
      </c>
      <c r="N47" s="235">
        <v>7</v>
      </c>
      <c r="O47" s="248">
        <v>42048</v>
      </c>
      <c r="P47">
        <v>3.6</v>
      </c>
      <c r="Q47" s="264">
        <v>42204</v>
      </c>
      <c r="R47"/>
      <c r="S47"/>
      <c r="T47"/>
      <c r="U47" s="153"/>
      <c r="V47" s="219">
        <f t="shared" si="23"/>
        <v>11.054148038187465</v>
      </c>
      <c r="W47" s="219"/>
      <c r="X47">
        <v>15.55</v>
      </c>
      <c r="Y47"/>
      <c r="Z47"/>
      <c r="AA47"/>
      <c r="AB47" s="220">
        <f t="shared" si="24"/>
        <v>3.9026752613390623</v>
      </c>
      <c r="AC47" s="219"/>
      <c r="AD47" s="221">
        <f t="shared" si="25"/>
        <v>56232.204142171984</v>
      </c>
      <c r="AE47" s="219"/>
      <c r="AF47" s="220">
        <f t="shared" si="26"/>
        <v>22.267952840300104</v>
      </c>
      <c r="AG47" s="219"/>
      <c r="AH47" s="220">
        <f t="shared" si="27"/>
        <v>24.969671271922071</v>
      </c>
      <c r="AI47" s="219"/>
      <c r="AJ47">
        <v>3.96</v>
      </c>
      <c r="AK47" s="284" t="s">
        <v>8398</v>
      </c>
      <c r="AL47">
        <v>155</v>
      </c>
      <c r="AM47"/>
      <c r="AN47" s="241">
        <v>72</v>
      </c>
      <c r="AO47" s="242">
        <v>42076</v>
      </c>
      <c r="AP47" s="255">
        <v>110</v>
      </c>
      <c r="AQ47" s="242">
        <v>42114</v>
      </c>
      <c r="AR47" s="227">
        <v>131</v>
      </c>
      <c r="AS47" s="297">
        <f t="shared" si="28"/>
        <v>131</v>
      </c>
      <c r="AT47" s="290">
        <v>42135</v>
      </c>
      <c r="AU47" s="298"/>
      <c r="AV47"/>
      <c r="AW47"/>
      <c r="AX47"/>
      <c r="AY47"/>
      <c r="AZ47"/>
      <c r="BA47"/>
      <c r="BB47"/>
      <c r="BC47"/>
      <c r="BD47"/>
      <c r="BE47"/>
      <c r="BF47" s="277">
        <v>41.4188232421875</v>
      </c>
      <c r="BG47" s="283">
        <v>42230</v>
      </c>
      <c r="BH47"/>
      <c r="BI47"/>
      <c r="BJ47"/>
      <c r="BK47"/>
      <c r="BL47" s="277">
        <v>62.000507354736328</v>
      </c>
      <c r="BM47" s="283">
        <v>42230</v>
      </c>
      <c r="BN47"/>
      <c r="BO47"/>
      <c r="BP47" s="277">
        <v>2.8266251087188721</v>
      </c>
      <c r="BQ47" s="283">
        <v>42230</v>
      </c>
      <c r="BR47" s="277">
        <v>49.641510009765625</v>
      </c>
      <c r="BS47" s="283">
        <v>42230</v>
      </c>
      <c r="BT47" s="277">
        <v>17.525972366333008</v>
      </c>
      <c r="BU47" s="283">
        <v>42230</v>
      </c>
      <c r="BV47" s="277">
        <v>55.978042602539063</v>
      </c>
      <c r="BW47" s="283">
        <v>42230</v>
      </c>
      <c r="BX47" s="277">
        <v>5.1528549194335938</v>
      </c>
      <c r="BY47" s="283">
        <v>42230</v>
      </c>
      <c r="BZ47"/>
      <c r="CA47" s="136"/>
      <c r="CB47" s="266">
        <v>2.91</v>
      </c>
      <c r="CC47"/>
      <c r="CD47" s="277">
        <v>1.8518518518518614</v>
      </c>
      <c r="CE47" s="291" t="s">
        <v>8398</v>
      </c>
      <c r="CF47"/>
      <c r="CG47"/>
      <c r="CH47">
        <v>1</v>
      </c>
      <c r="CI47">
        <v>7</v>
      </c>
      <c r="CK47"/>
      <c r="CL47" s="223">
        <v>3</v>
      </c>
      <c r="CM47" s="259">
        <v>42161</v>
      </c>
      <c r="CN47" s="137"/>
      <c r="CO47" s="137" t="s">
        <v>8405</v>
      </c>
    </row>
    <row r="48" spans="1:93" s="227" customFormat="1">
      <c r="A48" s="258">
        <v>87</v>
      </c>
      <c r="B48" s="235">
        <v>87</v>
      </c>
      <c r="C48" s="235" t="s">
        <v>7647</v>
      </c>
      <c r="D48" s="235" t="s">
        <v>7479</v>
      </c>
      <c r="E48" s="235" t="s">
        <v>7647</v>
      </c>
      <c r="F48" s="235" t="s">
        <v>8527</v>
      </c>
      <c r="G48" s="235" t="str">
        <f t="shared" si="22"/>
        <v>Rapsodyn</v>
      </c>
      <c r="H48" s="235" t="s">
        <v>265</v>
      </c>
      <c r="I48" s="235">
        <v>1</v>
      </c>
      <c r="J48" s="235">
        <v>9033</v>
      </c>
      <c r="K48" s="235">
        <v>60</v>
      </c>
      <c r="L48" s="235">
        <f t="shared" si="21"/>
        <v>60</v>
      </c>
      <c r="M48" s="235">
        <v>2</v>
      </c>
      <c r="N48" s="235">
        <v>7</v>
      </c>
      <c r="O48" s="248">
        <v>42048</v>
      </c>
      <c r="P48">
        <v>4.25</v>
      </c>
      <c r="Q48" s="264">
        <v>42204</v>
      </c>
      <c r="R48"/>
      <c r="S48"/>
      <c r="T48"/>
      <c r="U48" s="153"/>
      <c r="V48" s="219">
        <f t="shared" si="23"/>
        <v>12.877692111435429</v>
      </c>
      <c r="W48" s="219"/>
      <c r="X48">
        <v>15.55</v>
      </c>
      <c r="Y48"/>
      <c r="Z48"/>
      <c r="AA48"/>
      <c r="AB48" s="220">
        <f t="shared" si="24"/>
        <v>4.5368943183751735</v>
      </c>
      <c r="AC48" s="219"/>
      <c r="AD48" s="221">
        <f t="shared" si="25"/>
        <v>64318.508793308123</v>
      </c>
      <c r="AE48" s="219"/>
      <c r="AF48" s="220">
        <f t="shared" si="26"/>
        <v>26.306270096463024</v>
      </c>
      <c r="AG48" s="219"/>
      <c r="AH48" s="220">
        <f t="shared" si="27"/>
        <v>29.49794807856361</v>
      </c>
      <c r="AI48" s="219"/>
      <c r="AJ48">
        <v>4.09</v>
      </c>
      <c r="AK48" s="284" t="s">
        <v>8398</v>
      </c>
      <c r="AL48">
        <v>180</v>
      </c>
      <c r="AM48"/>
      <c r="AN48" s="241">
        <v>72</v>
      </c>
      <c r="AO48" s="242">
        <v>42076</v>
      </c>
      <c r="AP48" s="255">
        <v>110</v>
      </c>
      <c r="AQ48" s="242">
        <v>42114</v>
      </c>
      <c r="AR48">
        <v>133</v>
      </c>
      <c r="AS48" s="297">
        <f t="shared" si="28"/>
        <v>133</v>
      </c>
      <c r="AT48" s="290">
        <v>42137</v>
      </c>
      <c r="AU48" s="298"/>
      <c r="AV48"/>
      <c r="AW48"/>
      <c r="AX48"/>
      <c r="AY48"/>
      <c r="AZ48"/>
      <c r="BA48"/>
      <c r="BB48"/>
      <c r="BC48"/>
      <c r="BD48"/>
      <c r="BE48"/>
      <c r="BF48" s="277">
        <v>-2.7242410182952881</v>
      </c>
      <c r="BG48" s="283">
        <v>42230</v>
      </c>
      <c r="BH48"/>
      <c r="BI48"/>
      <c r="BJ48"/>
      <c r="BK48"/>
      <c r="BL48" s="277">
        <v>62.040546417236328</v>
      </c>
      <c r="BM48" s="283">
        <v>42230</v>
      </c>
      <c r="BN48"/>
      <c r="BO48"/>
      <c r="BP48" s="277">
        <v>3.486732006072998</v>
      </c>
      <c r="BQ48" s="283">
        <v>42230</v>
      </c>
      <c r="BR48" s="277">
        <v>48.952938079833984</v>
      </c>
      <c r="BS48" s="283">
        <v>42230</v>
      </c>
      <c r="BT48" s="277">
        <v>17.246437072753906</v>
      </c>
      <c r="BU48" s="283">
        <v>42230</v>
      </c>
      <c r="BV48" s="277">
        <v>55.150093078613281</v>
      </c>
      <c r="BW48" s="283">
        <v>42230</v>
      </c>
      <c r="BX48" s="277">
        <v>5.2611236572265625</v>
      </c>
      <c r="BY48" s="283">
        <v>42230</v>
      </c>
      <c r="BZ48"/>
      <c r="CA48" s="136"/>
      <c r="CB48" s="266">
        <v>1.43</v>
      </c>
      <c r="CC48"/>
      <c r="CD48" s="277">
        <v>1.7857142857142794</v>
      </c>
      <c r="CE48" s="291" t="s">
        <v>8398</v>
      </c>
      <c r="CF48"/>
      <c r="CG48"/>
      <c r="CH48">
        <v>1</v>
      </c>
      <c r="CI48">
        <v>7</v>
      </c>
      <c r="CK48"/>
      <c r="CL48" s="223">
        <v>4</v>
      </c>
      <c r="CM48" s="259">
        <v>42161</v>
      </c>
      <c r="CN48" s="137"/>
      <c r="CO48" s="137" t="s">
        <v>8405</v>
      </c>
    </row>
    <row r="49" spans="1:94" s="227" customFormat="1">
      <c r="A49" s="258">
        <v>90</v>
      </c>
      <c r="B49" s="235">
        <v>90</v>
      </c>
      <c r="C49" s="236" t="s">
        <v>7663</v>
      </c>
      <c r="D49" s="236" t="s">
        <v>7493</v>
      </c>
      <c r="E49" s="236" t="s">
        <v>7663</v>
      </c>
      <c r="F49" s="236" t="s">
        <v>8600</v>
      </c>
      <c r="G49" s="235" t="str">
        <f t="shared" si="22"/>
        <v>Rapsodyn</v>
      </c>
      <c r="H49" s="235" t="s">
        <v>265</v>
      </c>
      <c r="I49" s="235">
        <v>1</v>
      </c>
      <c r="J49" s="236">
        <v>9046</v>
      </c>
      <c r="K49" s="236">
        <v>57</v>
      </c>
      <c r="L49" s="235">
        <f t="shared" si="21"/>
        <v>57</v>
      </c>
      <c r="M49" s="236">
        <v>2</v>
      </c>
      <c r="N49" s="235">
        <v>7</v>
      </c>
      <c r="O49" s="248">
        <v>42048</v>
      </c>
      <c r="P49" s="223">
        <v>3.8</v>
      </c>
      <c r="Q49" s="264">
        <v>42204</v>
      </c>
      <c r="R49" s="223"/>
      <c r="S49" s="223"/>
      <c r="T49" s="223"/>
      <c r="U49" s="225"/>
      <c r="V49" s="219">
        <f t="shared" si="23"/>
        <v>11.322613888216171</v>
      </c>
      <c r="W49" s="224"/>
      <c r="X49">
        <v>15.55</v>
      </c>
      <c r="Y49" s="223"/>
      <c r="Z49" s="223"/>
      <c r="AA49" s="223"/>
      <c r="AB49" s="220">
        <f t="shared" si="24"/>
        <v>3.8183054882307141</v>
      </c>
      <c r="AC49" s="224"/>
      <c r="AD49" s="221">
        <f t="shared" si="25"/>
        <v>53456.591639871374</v>
      </c>
      <c r="AE49" s="224"/>
      <c r="AF49" s="220">
        <f t="shared" si="26"/>
        <v>22.665594855305464</v>
      </c>
      <c r="AG49" s="224"/>
      <c r="AH49" s="220">
        <f t="shared" si="27"/>
        <v>25.415558258920679</v>
      </c>
      <c r="AI49" s="224"/>
      <c r="AJ49">
        <v>4.24</v>
      </c>
      <c r="AK49" s="290" t="s">
        <v>8401</v>
      </c>
      <c r="AL49" s="223">
        <v>175</v>
      </c>
      <c r="AM49" s="223"/>
      <c r="AN49" s="241">
        <v>63</v>
      </c>
      <c r="AO49" s="243">
        <v>42067</v>
      </c>
      <c r="AP49" s="255">
        <v>106</v>
      </c>
      <c r="AQ49" s="242">
        <v>42110</v>
      </c>
      <c r="AR49">
        <v>130</v>
      </c>
      <c r="AS49" s="297">
        <f t="shared" si="28"/>
        <v>130</v>
      </c>
      <c r="AT49" s="290">
        <v>42134</v>
      </c>
      <c r="AU49" s="298"/>
      <c r="AV49" s="223"/>
      <c r="AW49" s="223"/>
      <c r="AX49" s="223"/>
      <c r="AY49" s="223"/>
      <c r="AZ49" s="223"/>
      <c r="BA49" s="223"/>
      <c r="BB49" s="223"/>
      <c r="BC49" s="223"/>
      <c r="BD49" s="223"/>
      <c r="BE49" s="223"/>
      <c r="BF49" s="281">
        <v>2.5826999917626381E-2</v>
      </c>
      <c r="BG49" s="283">
        <v>42233</v>
      </c>
      <c r="BH49" s="223"/>
      <c r="BI49" s="223"/>
      <c r="BJ49" s="223"/>
      <c r="BK49" s="223"/>
      <c r="BL49" s="281">
        <v>66.1353759765625</v>
      </c>
      <c r="BM49" s="283">
        <v>42233</v>
      </c>
      <c r="BN49" s="223"/>
      <c r="BO49" s="223"/>
      <c r="BP49" s="281">
        <v>3.5849850177764893</v>
      </c>
      <c r="BQ49" s="283">
        <v>42233</v>
      </c>
      <c r="BR49" s="281">
        <v>49.955070495605469</v>
      </c>
      <c r="BS49" s="283">
        <v>42233</v>
      </c>
      <c r="BT49" s="281">
        <v>16.846261978149414</v>
      </c>
      <c r="BU49" s="283">
        <v>42233</v>
      </c>
      <c r="BV49" s="281">
        <v>17.699844360351563</v>
      </c>
      <c r="BW49" s="283">
        <v>42233</v>
      </c>
      <c r="BX49" s="281">
        <v>5.3992767333984375</v>
      </c>
      <c r="BY49" s="283">
        <v>42233</v>
      </c>
      <c r="BZ49" s="223"/>
      <c r="CA49" s="226"/>
      <c r="CB49" s="266">
        <v>1.74</v>
      </c>
      <c r="CC49" s="223"/>
      <c r="CD49" s="281">
        <v>5.3571428571428541</v>
      </c>
      <c r="CE49" s="291" t="s">
        <v>8401</v>
      </c>
      <c r="CF49" s="223"/>
      <c r="CG49" s="223"/>
      <c r="CH49" s="223">
        <v>1</v>
      </c>
      <c r="CI49" s="223">
        <v>3</v>
      </c>
      <c r="CK49" s="223"/>
      <c r="CL49" s="223">
        <v>1</v>
      </c>
      <c r="CM49" s="259">
        <v>42161</v>
      </c>
      <c r="CN49" s="137" t="s">
        <v>8406</v>
      </c>
    </row>
    <row r="50" spans="1:94" s="227" customFormat="1">
      <c r="A50" s="258">
        <v>93</v>
      </c>
      <c r="B50" s="235">
        <v>93</v>
      </c>
      <c r="C50" s="235" t="s">
        <v>7630</v>
      </c>
      <c r="D50" s="235" t="s">
        <v>7464</v>
      </c>
      <c r="E50" s="235" t="s">
        <v>7630</v>
      </c>
      <c r="F50" s="235" t="s">
        <v>8567</v>
      </c>
      <c r="G50" s="235" t="str">
        <f t="shared" si="22"/>
        <v>Rapsodyn</v>
      </c>
      <c r="H50" s="235" t="s">
        <v>265</v>
      </c>
      <c r="I50" s="235">
        <v>1</v>
      </c>
      <c r="J50" s="235">
        <v>9020</v>
      </c>
      <c r="K50" s="235">
        <v>54</v>
      </c>
      <c r="L50" s="235">
        <f t="shared" si="21"/>
        <v>54</v>
      </c>
      <c r="M50" s="235">
        <v>2</v>
      </c>
      <c r="N50" s="235">
        <v>7</v>
      </c>
      <c r="O50" s="248">
        <v>42048</v>
      </c>
      <c r="P50">
        <v>3.9</v>
      </c>
      <c r="Q50" s="264">
        <v>42204</v>
      </c>
      <c r="R50"/>
      <c r="S50"/>
      <c r="T50"/>
      <c r="U50" s="153"/>
      <c r="V50" s="219">
        <f t="shared" si="23"/>
        <v>11.307445832887158</v>
      </c>
      <c r="W50" s="219"/>
      <c r="X50">
        <v>15.55</v>
      </c>
      <c r="Y50"/>
      <c r="Z50"/>
      <c r="AA50"/>
      <c r="AB50" s="220">
        <f t="shared" si="24"/>
        <v>4.3928556338832117</v>
      </c>
      <c r="AC50" s="219"/>
      <c r="AD50" s="221">
        <f t="shared" si="25"/>
        <v>47903.510791170454</v>
      </c>
      <c r="AE50" s="219"/>
      <c r="AF50" s="220">
        <f t="shared" si="26"/>
        <v>23.329009755300014</v>
      </c>
      <c r="AG50" s="219"/>
      <c r="AH50" s="220">
        <f t="shared" si="27"/>
        <v>26.159463730993512</v>
      </c>
      <c r="AI50" s="219"/>
      <c r="AJ50">
        <v>4.87</v>
      </c>
      <c r="AK50" s="284" t="s">
        <v>8399</v>
      </c>
      <c r="AL50">
        <v>170</v>
      </c>
      <c r="AM50"/>
      <c r="AN50" s="241">
        <v>72</v>
      </c>
      <c r="AO50" s="242">
        <v>42076</v>
      </c>
      <c r="AP50" s="255">
        <v>106</v>
      </c>
      <c r="AQ50" s="242">
        <v>42110</v>
      </c>
      <c r="AR50" s="223">
        <v>128</v>
      </c>
      <c r="AS50" s="297">
        <f t="shared" si="28"/>
        <v>128</v>
      </c>
      <c r="AT50" s="290">
        <v>42132</v>
      </c>
      <c r="AU50" s="298"/>
      <c r="AV50"/>
      <c r="AW50"/>
      <c r="AX50"/>
      <c r="AY50"/>
      <c r="AZ50"/>
      <c r="BA50"/>
      <c r="BB50"/>
      <c r="BC50"/>
      <c r="BD50"/>
      <c r="BE50"/>
      <c r="BF50" s="277">
        <v>12.519954681396484</v>
      </c>
      <c r="BG50" s="283">
        <v>42233</v>
      </c>
      <c r="BH50"/>
      <c r="BI50"/>
      <c r="BJ50"/>
      <c r="BK50"/>
      <c r="BL50" s="277">
        <v>61.577953338623047</v>
      </c>
      <c r="BM50" s="283">
        <v>42233</v>
      </c>
      <c r="BN50"/>
      <c r="BO50"/>
      <c r="BP50" s="277">
        <v>3.2908439636230469</v>
      </c>
      <c r="BQ50" s="283">
        <v>42233</v>
      </c>
      <c r="BR50" s="277">
        <v>48.469463348388672</v>
      </c>
      <c r="BS50" s="283">
        <v>42233</v>
      </c>
      <c r="BT50" s="277">
        <v>18.830013275146484</v>
      </c>
      <c r="BU50" s="283">
        <v>42233</v>
      </c>
      <c r="BV50" s="277">
        <v>54.911048889160156</v>
      </c>
      <c r="BW50" s="283">
        <v>42233</v>
      </c>
      <c r="BX50" s="277">
        <v>5.6905059814453125</v>
      </c>
      <c r="BY50" s="283">
        <v>42233</v>
      </c>
      <c r="BZ50"/>
      <c r="CA50" s="136"/>
      <c r="CB50" s="266">
        <v>1.34</v>
      </c>
      <c r="CC50"/>
      <c r="CD50" s="277">
        <v>5.0847457627118757</v>
      </c>
      <c r="CE50" s="291" t="s">
        <v>8399</v>
      </c>
      <c r="CF50"/>
      <c r="CG50"/>
      <c r="CH50">
        <v>1</v>
      </c>
      <c r="CI50">
        <v>4</v>
      </c>
      <c r="CK50"/>
      <c r="CL50" s="223">
        <v>1</v>
      </c>
      <c r="CM50" s="259">
        <v>42161</v>
      </c>
      <c r="CN50" s="137" t="s">
        <v>8406</v>
      </c>
    </row>
    <row r="51" spans="1:94" s="227" customFormat="1">
      <c r="A51" s="258">
        <v>94</v>
      </c>
      <c r="B51" s="235">
        <v>94</v>
      </c>
      <c r="C51" s="235" t="s">
        <v>7668</v>
      </c>
      <c r="D51" s="235" t="s">
        <v>7497</v>
      </c>
      <c r="E51" s="235" t="s">
        <v>7668</v>
      </c>
      <c r="F51" s="235" t="s">
        <v>8455</v>
      </c>
      <c r="G51" s="235" t="str">
        <f t="shared" si="22"/>
        <v>Rapsodyn</v>
      </c>
      <c r="H51" s="235" t="s">
        <v>265</v>
      </c>
      <c r="I51" s="235">
        <v>1</v>
      </c>
      <c r="J51" s="235">
        <v>9050</v>
      </c>
      <c r="K51" s="235">
        <v>53</v>
      </c>
      <c r="L51" s="235">
        <f t="shared" si="21"/>
        <v>53</v>
      </c>
      <c r="M51" s="235">
        <v>2</v>
      </c>
      <c r="N51" s="235">
        <v>7</v>
      </c>
      <c r="O51" s="248">
        <v>42048</v>
      </c>
      <c r="P51">
        <v>5.4</v>
      </c>
      <c r="Q51" s="264">
        <v>42204</v>
      </c>
      <c r="R51"/>
      <c r="S51"/>
      <c r="T51"/>
      <c r="U51" s="153"/>
      <c r="V51" s="219">
        <f t="shared" si="23"/>
        <v>16.22864959851514</v>
      </c>
      <c r="W51" s="219"/>
      <c r="X51">
        <v>15.55</v>
      </c>
      <c r="Y51"/>
      <c r="Z51"/>
      <c r="AA51"/>
      <c r="AB51" s="220">
        <f t="shared" si="24"/>
        <v>4.6381918277664598</v>
      </c>
      <c r="AC51" s="219"/>
      <c r="AD51" s="221">
        <f t="shared" si="25"/>
        <v>70311.678249422082</v>
      </c>
      <c r="AE51" s="219"/>
      <c r="AF51" s="220">
        <f t="shared" si="26"/>
        <v>31.148073464493979</v>
      </c>
      <c r="AG51" s="219"/>
      <c r="AH51" s="220">
        <f t="shared" si="27"/>
        <v>34.927196080392449</v>
      </c>
      <c r="AI51" s="219"/>
      <c r="AJ51">
        <v>4.43</v>
      </c>
      <c r="AK51" s="284" t="s">
        <v>8399</v>
      </c>
      <c r="AL51">
        <v>160</v>
      </c>
      <c r="AM51"/>
      <c r="AN51" s="241">
        <v>70</v>
      </c>
      <c r="AO51" s="242">
        <v>42074</v>
      </c>
      <c r="AP51" s="255">
        <v>104</v>
      </c>
      <c r="AQ51" s="242">
        <v>42108</v>
      </c>
      <c r="AR51">
        <v>134</v>
      </c>
      <c r="AS51" s="297">
        <f t="shared" si="28"/>
        <v>134</v>
      </c>
      <c r="AT51" s="290">
        <v>42138</v>
      </c>
      <c r="AU51" s="298"/>
      <c r="AV51"/>
      <c r="AW51"/>
      <c r="AX51"/>
      <c r="AY51"/>
      <c r="AZ51"/>
      <c r="BA51"/>
      <c r="BB51"/>
      <c r="BC51"/>
      <c r="BD51"/>
      <c r="BE51"/>
      <c r="BF51" s="277">
        <v>-5.0081329345703125</v>
      </c>
      <c r="BG51" s="283">
        <v>42233</v>
      </c>
      <c r="BH51"/>
      <c r="BI51"/>
      <c r="BJ51"/>
      <c r="BK51"/>
      <c r="BL51" s="277">
        <v>65.004425048828125</v>
      </c>
      <c r="BM51" s="283">
        <v>42233</v>
      </c>
      <c r="BN51"/>
      <c r="BO51"/>
      <c r="BP51" s="277">
        <v>3.1539430618286133</v>
      </c>
      <c r="BQ51" s="283">
        <v>42233</v>
      </c>
      <c r="BR51" s="277">
        <v>52.101615905761719</v>
      </c>
      <c r="BS51" s="283">
        <v>42233</v>
      </c>
      <c r="BT51" s="277">
        <v>14.890782356262207</v>
      </c>
      <c r="BU51" s="283">
        <v>42233</v>
      </c>
      <c r="BV51" s="277">
        <v>13.252142906188965</v>
      </c>
      <c r="BW51" s="283">
        <v>42233</v>
      </c>
      <c r="BX51" s="277">
        <v>5.2564926147460937</v>
      </c>
      <c r="BY51" s="283">
        <v>42233</v>
      </c>
      <c r="BZ51"/>
      <c r="CA51" s="136"/>
      <c r="CB51" s="266">
        <v>2.11</v>
      </c>
      <c r="CC51"/>
      <c r="CD51" s="277">
        <v>8.4745762711864394</v>
      </c>
      <c r="CE51" s="291" t="s">
        <v>8399</v>
      </c>
      <c r="CF51"/>
      <c r="CG51"/>
      <c r="CH51">
        <v>1</v>
      </c>
      <c r="CI51">
        <v>2</v>
      </c>
      <c r="CK51"/>
      <c r="CL51" s="223">
        <v>1</v>
      </c>
      <c r="CM51" s="259">
        <v>42161</v>
      </c>
      <c r="CN51" s="137" t="s">
        <v>8406</v>
      </c>
    </row>
    <row r="52" spans="1:94" s="227" customFormat="1">
      <c r="A52" s="258">
        <v>96</v>
      </c>
      <c r="B52" s="235">
        <v>96</v>
      </c>
      <c r="C52" s="235" t="s">
        <v>7721</v>
      </c>
      <c r="D52" s="235" t="s">
        <v>7545</v>
      </c>
      <c r="E52" s="235" t="s">
        <v>7721</v>
      </c>
      <c r="F52" s="235" t="s">
        <v>8475</v>
      </c>
      <c r="G52" s="235" t="str">
        <f t="shared" si="22"/>
        <v>Rapsodyn</v>
      </c>
      <c r="H52" s="235" t="s">
        <v>265</v>
      </c>
      <c r="I52" s="235">
        <v>1</v>
      </c>
      <c r="J52" s="235">
        <v>9103</v>
      </c>
      <c r="K52" s="235">
        <v>51</v>
      </c>
      <c r="L52" s="235">
        <f t="shared" si="21"/>
        <v>51</v>
      </c>
      <c r="M52" s="235">
        <v>2</v>
      </c>
      <c r="N52" s="235">
        <v>7</v>
      </c>
      <c r="O52" s="248">
        <v>42048</v>
      </c>
      <c r="P52">
        <v>5.15</v>
      </c>
      <c r="Q52" s="264">
        <v>42204</v>
      </c>
      <c r="R52"/>
      <c r="S52"/>
      <c r="T52"/>
      <c r="U52" s="153"/>
      <c r="V52" s="219">
        <f t="shared" si="23"/>
        <v>16.410544285827633</v>
      </c>
      <c r="W52" s="219"/>
      <c r="X52">
        <v>15.55</v>
      </c>
      <c r="Y52"/>
      <c r="Z52"/>
      <c r="AA52"/>
      <c r="AB52" s="220">
        <f t="shared" si="24"/>
        <v>4.5381008017413409</v>
      </c>
      <c r="AC52" s="219"/>
      <c r="AD52" s="221">
        <f t="shared" si="25"/>
        <v>64347.841529165104</v>
      </c>
      <c r="AE52" s="219"/>
      <c r="AF52" s="220">
        <f t="shared" si="26"/>
        <v>31.337398824703406</v>
      </c>
      <c r="AG52" s="219"/>
      <c r="AH52" s="220">
        <f t="shared" si="27"/>
        <v>35.139491842008752</v>
      </c>
      <c r="AI52" s="219"/>
      <c r="AJ52">
        <v>4.87</v>
      </c>
      <c r="AK52" s="284" t="s">
        <v>8401</v>
      </c>
      <c r="AL52">
        <v>160</v>
      </c>
      <c r="AM52"/>
      <c r="AN52" s="241">
        <v>65</v>
      </c>
      <c r="AO52" s="242">
        <v>42069</v>
      </c>
      <c r="AP52" s="255">
        <v>104</v>
      </c>
      <c r="AQ52" s="242">
        <v>42108</v>
      </c>
      <c r="AR52">
        <v>134</v>
      </c>
      <c r="AS52" s="297">
        <f t="shared" si="28"/>
        <v>134</v>
      </c>
      <c r="AT52" s="290">
        <v>42138</v>
      </c>
      <c r="AU52" s="298"/>
      <c r="AV52"/>
      <c r="AW52"/>
      <c r="AX52"/>
      <c r="AY52"/>
      <c r="AZ52"/>
      <c r="BA52"/>
      <c r="BB52"/>
      <c r="BC52"/>
      <c r="BD52"/>
      <c r="BE52"/>
      <c r="BF52" s="277">
        <v>-5.5617580413818359</v>
      </c>
      <c r="BG52" s="283">
        <v>42233</v>
      </c>
      <c r="BH52"/>
      <c r="BI52"/>
      <c r="BJ52"/>
      <c r="BK52"/>
      <c r="BL52" s="277">
        <v>66.428459167480469</v>
      </c>
      <c r="BM52" s="283">
        <v>42233</v>
      </c>
      <c r="BN52"/>
      <c r="BO52"/>
      <c r="BP52" s="277">
        <v>4.5380229949951172</v>
      </c>
      <c r="BQ52" s="283">
        <v>42233</v>
      </c>
      <c r="BR52" s="277">
        <v>52.367282867431641</v>
      </c>
      <c r="BS52" s="283">
        <v>42233</v>
      </c>
      <c r="BT52" s="277">
        <v>14.48142147064209</v>
      </c>
      <c r="BU52" s="283">
        <v>42233</v>
      </c>
      <c r="BV52" s="277">
        <v>8.9325857162475586</v>
      </c>
      <c r="BW52" s="283">
        <v>42233</v>
      </c>
      <c r="BX52" s="277">
        <v>5.1440811157226563</v>
      </c>
      <c r="BY52" s="283">
        <v>42233</v>
      </c>
      <c r="BZ52"/>
      <c r="CA52" s="136"/>
      <c r="CB52" s="266">
        <v>2.15</v>
      </c>
      <c r="CC52"/>
      <c r="CD52" s="277">
        <v>3.4482758620689689</v>
      </c>
      <c r="CE52" s="291" t="s">
        <v>8401</v>
      </c>
      <c r="CF52"/>
      <c r="CG52"/>
      <c r="CH52">
        <v>1</v>
      </c>
      <c r="CI52">
        <v>3</v>
      </c>
      <c r="CK52"/>
      <c r="CL52" s="223">
        <v>1</v>
      </c>
      <c r="CM52" s="259">
        <v>42161</v>
      </c>
      <c r="CN52" s="137" t="s">
        <v>8406</v>
      </c>
    </row>
    <row r="53" spans="1:94" s="227" customFormat="1">
      <c r="A53" s="258">
        <v>97</v>
      </c>
      <c r="B53" s="235">
        <v>97</v>
      </c>
      <c r="C53" s="235" t="s">
        <v>7576</v>
      </c>
      <c r="D53" s="235"/>
      <c r="E53" s="235"/>
      <c r="F53" s="235"/>
      <c r="G53" s="235"/>
      <c r="H53" s="235" t="s">
        <v>265</v>
      </c>
      <c r="I53" s="235">
        <v>1</v>
      </c>
      <c r="J53" s="235"/>
      <c r="K53" s="235">
        <v>50</v>
      </c>
      <c r="L53" s="235">
        <f t="shared" si="21"/>
        <v>50</v>
      </c>
      <c r="M53" s="235">
        <v>2</v>
      </c>
      <c r="N53" s="235"/>
      <c r="O53" s="248">
        <v>42048</v>
      </c>
      <c r="P53"/>
      <c r="Q53" s="219"/>
      <c r="R53"/>
      <c r="S53"/>
      <c r="T53"/>
      <c r="U53" s="153"/>
      <c r="V53" s="219"/>
      <c r="W53" s="219"/>
      <c r="X53">
        <v>15.55</v>
      </c>
      <c r="Y53"/>
      <c r="Z53"/>
      <c r="AA53"/>
      <c r="AB53" s="220"/>
      <c r="AC53" s="219"/>
      <c r="AD53" s="221"/>
      <c r="AE53" s="219"/>
      <c r="AF53" s="220"/>
      <c r="AG53" s="219"/>
      <c r="AH53" s="220"/>
      <c r="AI53" s="219"/>
      <c r="AJ53" s="286"/>
      <c r="AK53" s="284"/>
      <c r="AL53"/>
      <c r="AM53"/>
      <c r="AN53" s="241">
        <v>70</v>
      </c>
      <c r="AO53" s="242">
        <v>42074</v>
      </c>
      <c r="AP53" s="255">
        <v>104</v>
      </c>
      <c r="AQ53" s="242">
        <v>42108</v>
      </c>
      <c r="AR53"/>
      <c r="AS53" s="297"/>
      <c r="AT53" s="290"/>
      <c r="AU53" s="298"/>
      <c r="AV53"/>
      <c r="AW53"/>
      <c r="AX53"/>
      <c r="AY53"/>
      <c r="AZ53"/>
      <c r="BA53"/>
      <c r="BB53"/>
      <c r="BC53"/>
      <c r="BD53"/>
      <c r="BE53"/>
      <c r="BF53" s="277"/>
      <c r="BG53" s="235"/>
      <c r="BH53"/>
      <c r="BI53"/>
      <c r="BJ53"/>
      <c r="BK53"/>
      <c r="BL53" s="277"/>
      <c r="BM53" s="235"/>
      <c r="BN53"/>
      <c r="BO53"/>
      <c r="BP53" s="277"/>
      <c r="BQ53" s="235"/>
      <c r="BR53" s="277"/>
      <c r="BS53" s="235"/>
      <c r="BT53" s="277"/>
      <c r="BU53" s="235"/>
      <c r="BV53" s="277"/>
      <c r="BW53" s="235"/>
      <c r="BX53" s="277"/>
      <c r="BY53" s="235"/>
      <c r="BZ53"/>
      <c r="CA53" s="136"/>
      <c r="CB53" s="266"/>
      <c r="CC53"/>
      <c r="CD53" s="277"/>
      <c r="CE53" s="291"/>
      <c r="CF53"/>
      <c r="CG53"/>
      <c r="CH53"/>
      <c r="CI53"/>
      <c r="CK53"/>
      <c r="CL53" s="223">
        <v>1</v>
      </c>
      <c r="CM53" s="259">
        <v>42161</v>
      </c>
    </row>
    <row r="54" spans="1:94" s="227" customFormat="1">
      <c r="A54" s="258">
        <v>98</v>
      </c>
      <c r="B54" s="235">
        <v>98</v>
      </c>
      <c r="C54" s="235" t="s">
        <v>7576</v>
      </c>
      <c r="D54" s="235"/>
      <c r="E54" s="235"/>
      <c r="F54" s="235"/>
      <c r="G54" s="235"/>
      <c r="H54" s="235" t="s">
        <v>265</v>
      </c>
      <c r="I54" s="235">
        <v>1</v>
      </c>
      <c r="J54" s="235"/>
      <c r="K54" s="235">
        <v>49</v>
      </c>
      <c r="L54" s="235">
        <f t="shared" si="21"/>
        <v>49</v>
      </c>
      <c r="M54" s="235">
        <v>2</v>
      </c>
      <c r="N54" s="235"/>
      <c r="O54" s="248">
        <v>42048</v>
      </c>
      <c r="P54"/>
      <c r="Q54" s="219"/>
      <c r="R54"/>
      <c r="S54"/>
      <c r="T54"/>
      <c r="U54" s="153"/>
      <c r="V54" s="219"/>
      <c r="W54" s="219"/>
      <c r="X54">
        <v>15.55</v>
      </c>
      <c r="Y54"/>
      <c r="Z54"/>
      <c r="AA54"/>
      <c r="AB54" s="220"/>
      <c r="AC54" s="219"/>
      <c r="AD54" s="221"/>
      <c r="AE54" s="219"/>
      <c r="AF54" s="220"/>
      <c r="AG54" s="219"/>
      <c r="AH54" s="220"/>
      <c r="AI54" s="219"/>
      <c r="AJ54" s="286"/>
      <c r="AK54" s="284"/>
      <c r="AL54"/>
      <c r="AM54"/>
      <c r="AN54" s="241">
        <v>70</v>
      </c>
      <c r="AO54" s="242">
        <v>42074</v>
      </c>
      <c r="AP54" s="255">
        <v>104</v>
      </c>
      <c r="AQ54" s="242">
        <v>42108</v>
      </c>
      <c r="AR54"/>
      <c r="AS54" s="297"/>
      <c r="AT54" s="290"/>
      <c r="AU54" s="298"/>
      <c r="AV54"/>
      <c r="AW54"/>
      <c r="AX54"/>
      <c r="AY54"/>
      <c r="AZ54"/>
      <c r="BA54"/>
      <c r="BB54"/>
      <c r="BC54"/>
      <c r="BD54"/>
      <c r="BE54"/>
      <c r="BF54" s="277"/>
      <c r="BG54" s="235"/>
      <c r="BH54"/>
      <c r="BI54"/>
      <c r="BJ54"/>
      <c r="BK54"/>
      <c r="BL54" s="277"/>
      <c r="BM54" s="235"/>
      <c r="BN54"/>
      <c r="BO54"/>
      <c r="BP54" s="277"/>
      <c r="BQ54" s="235"/>
      <c r="BR54" s="277"/>
      <c r="BS54" s="235"/>
      <c r="BT54" s="277"/>
      <c r="BU54" s="235"/>
      <c r="BV54" s="277"/>
      <c r="BW54" s="235"/>
      <c r="BX54" s="277"/>
      <c r="BY54" s="235"/>
      <c r="BZ54"/>
      <c r="CA54" s="136"/>
      <c r="CB54" s="266"/>
      <c r="CC54"/>
      <c r="CD54" s="277"/>
      <c r="CE54" s="291"/>
      <c r="CF54"/>
      <c r="CG54"/>
      <c r="CH54"/>
      <c r="CI54"/>
      <c r="CK54"/>
      <c r="CL54" s="223">
        <v>1</v>
      </c>
      <c r="CM54" s="259">
        <v>42161</v>
      </c>
    </row>
    <row r="55" spans="1:94" s="227" customFormat="1">
      <c r="A55" s="258">
        <v>99</v>
      </c>
      <c r="B55" s="235">
        <v>99</v>
      </c>
      <c r="C55" s="235" t="s">
        <v>7773</v>
      </c>
      <c r="D55" s="235" t="s">
        <v>7571</v>
      </c>
      <c r="E55" s="235" t="s">
        <v>7773</v>
      </c>
      <c r="F55" s="235" t="s">
        <v>8575</v>
      </c>
      <c r="G55" s="235" t="str">
        <f t="shared" ref="G55:G67" si="29">IF(MID(C55,1,3)="BGA","Complement","Rapsodyn")</f>
        <v>Rapsodyn</v>
      </c>
      <c r="H55" s="235" t="s">
        <v>265</v>
      </c>
      <c r="I55" s="235">
        <v>1</v>
      </c>
      <c r="J55" s="235">
        <v>9144</v>
      </c>
      <c r="K55" s="235">
        <v>48</v>
      </c>
      <c r="L55" s="235">
        <f t="shared" si="21"/>
        <v>48</v>
      </c>
      <c r="M55" s="235">
        <v>2</v>
      </c>
      <c r="N55" s="235">
        <v>7</v>
      </c>
      <c r="O55" s="248">
        <v>42048</v>
      </c>
      <c r="P55">
        <v>5.6</v>
      </c>
      <c r="Q55" s="264">
        <v>42204</v>
      </c>
      <c r="R55"/>
      <c r="S55"/>
      <c r="T55"/>
      <c r="U55" s="153"/>
      <c r="V55" s="219">
        <f t="shared" ref="V55:V59" si="30">+BR55*AF55/100</f>
        <v>17.718357918059652</v>
      </c>
      <c r="W55" s="219"/>
      <c r="X55">
        <v>15.55</v>
      </c>
      <c r="Y55"/>
      <c r="Z55"/>
      <c r="AA55"/>
      <c r="AB55" s="220">
        <f t="shared" ref="AB55:AB59" si="31">+AF55*BT55/100</f>
        <v>5.5534320059378226</v>
      </c>
      <c r="AC55" s="219"/>
      <c r="AD55" s="221">
        <f t="shared" ref="AD55:AD59" si="32">+(AF55/AJ55)*10000</f>
        <v>71534.896421221303</v>
      </c>
      <c r="AE55" s="219"/>
      <c r="AF55" s="220">
        <f t="shared" ref="AF55:AF59" si="33">($P55/$X55)*(((100-$CD55)/100*(100-2)/100))*100</f>
        <v>34.694424764292329</v>
      </c>
      <c r="AG55" s="219"/>
      <c r="AH55" s="220">
        <f t="shared" ref="AH55:AH59" si="34">($P55/$X55)*(((100-$CD55)/(100-9)*(100-2)/(100-2))*100)</f>
        <v>38.90381785634932</v>
      </c>
      <c r="AI55" s="219"/>
      <c r="AJ55">
        <v>4.8499999999999996</v>
      </c>
      <c r="AK55" s="284" t="s">
        <v>8401</v>
      </c>
      <c r="AL55">
        <v>165</v>
      </c>
      <c r="AM55"/>
      <c r="AN55" s="241">
        <v>72</v>
      </c>
      <c r="AO55" s="242">
        <v>42076</v>
      </c>
      <c r="AP55" s="255">
        <v>104</v>
      </c>
      <c r="AQ55" s="242">
        <v>42108</v>
      </c>
      <c r="AR55">
        <v>129</v>
      </c>
      <c r="AS55" s="297">
        <f t="shared" ref="AS55:AS67" si="35">IF(AR55=0,,AR55)</f>
        <v>129</v>
      </c>
      <c r="AT55" s="290">
        <v>42133</v>
      </c>
      <c r="AU55" s="298"/>
      <c r="AV55"/>
      <c r="AW55"/>
      <c r="AX55"/>
      <c r="AY55"/>
      <c r="AZ55"/>
      <c r="BA55"/>
      <c r="BB55"/>
      <c r="BC55"/>
      <c r="BD55"/>
      <c r="BE55"/>
      <c r="BF55" s="277">
        <v>-2.1686630249023437</v>
      </c>
      <c r="BG55" s="283">
        <v>42230</v>
      </c>
      <c r="BH55"/>
      <c r="BI55"/>
      <c r="BJ55"/>
      <c r="BK55"/>
      <c r="BL55" s="277">
        <v>64.644783020019531</v>
      </c>
      <c r="BM55" s="283">
        <v>42230</v>
      </c>
      <c r="BN55"/>
      <c r="BO55"/>
      <c r="BP55" s="277">
        <v>4.0556230545043945</v>
      </c>
      <c r="BQ55" s="283">
        <v>42230</v>
      </c>
      <c r="BR55" s="277">
        <v>51.069755554199219</v>
      </c>
      <c r="BS55" s="283">
        <v>42230</v>
      </c>
      <c r="BT55" s="277">
        <v>16.006698608398438</v>
      </c>
      <c r="BU55" s="283">
        <v>42230</v>
      </c>
      <c r="BV55" s="277">
        <v>10.878486633300781</v>
      </c>
      <c r="BW55" s="283">
        <v>42230</v>
      </c>
      <c r="BX55" s="277">
        <v>5.487884521484375</v>
      </c>
      <c r="BY55" s="283">
        <v>42230</v>
      </c>
      <c r="BZ55"/>
      <c r="CA55" s="136"/>
      <c r="CB55" s="266">
        <v>1.5</v>
      </c>
      <c r="CC55"/>
      <c r="CD55" s="277">
        <v>1.6949152542372972</v>
      </c>
      <c r="CE55" s="291" t="s">
        <v>8401</v>
      </c>
      <c r="CF55"/>
      <c r="CG55"/>
      <c r="CH55">
        <v>1</v>
      </c>
      <c r="CI55">
        <v>2</v>
      </c>
      <c r="CK55"/>
      <c r="CL55" s="223">
        <v>5</v>
      </c>
      <c r="CM55" s="259">
        <v>42161</v>
      </c>
      <c r="CN55" s="137" t="s">
        <v>8406</v>
      </c>
    </row>
    <row r="56" spans="1:94" s="227" customFormat="1">
      <c r="A56" s="258">
        <v>100</v>
      </c>
      <c r="B56" s="235">
        <v>100</v>
      </c>
      <c r="C56" s="235" t="s">
        <v>7690</v>
      </c>
      <c r="D56" s="235" t="s">
        <v>7516</v>
      </c>
      <c r="E56" s="235" t="s">
        <v>7690</v>
      </c>
      <c r="F56" s="235" t="s">
        <v>8491</v>
      </c>
      <c r="G56" s="235" t="str">
        <f t="shared" si="29"/>
        <v>Rapsodyn</v>
      </c>
      <c r="H56" s="235" t="s">
        <v>265</v>
      </c>
      <c r="I56" s="235">
        <v>1</v>
      </c>
      <c r="J56" s="235">
        <v>9072</v>
      </c>
      <c r="K56" s="235">
        <v>47</v>
      </c>
      <c r="L56" s="235">
        <f t="shared" si="21"/>
        <v>47</v>
      </c>
      <c r="M56" s="235">
        <v>2</v>
      </c>
      <c r="N56" s="235">
        <v>7</v>
      </c>
      <c r="O56" s="248">
        <v>42048</v>
      </c>
      <c r="P56">
        <v>4.45</v>
      </c>
      <c r="Q56" s="264">
        <v>42204</v>
      </c>
      <c r="R56"/>
      <c r="S56"/>
      <c r="T56"/>
      <c r="U56" s="153"/>
      <c r="V56" s="219">
        <f t="shared" si="30"/>
        <v>13.5997539940848</v>
      </c>
      <c r="W56" s="219"/>
      <c r="X56">
        <v>15.55</v>
      </c>
      <c r="Y56"/>
      <c r="Z56"/>
      <c r="AA56"/>
      <c r="AB56" s="220">
        <f t="shared" si="31"/>
        <v>4.4943761258944726</v>
      </c>
      <c r="AC56" s="219"/>
      <c r="AD56" s="221">
        <f t="shared" si="32"/>
        <v>68797.297736204477</v>
      </c>
      <c r="AE56" s="219"/>
      <c r="AF56" s="220">
        <f t="shared" si="33"/>
        <v>26.486959628438722</v>
      </c>
      <c r="AG56" s="219"/>
      <c r="AH56" s="220">
        <f t="shared" si="34"/>
        <v>29.700560247184036</v>
      </c>
      <c r="AI56" s="219"/>
      <c r="AJ56">
        <v>3.85</v>
      </c>
      <c r="AK56" s="284" t="s">
        <v>8401</v>
      </c>
      <c r="AL56">
        <v>160</v>
      </c>
      <c r="AM56"/>
      <c r="AN56" s="241">
        <v>75</v>
      </c>
      <c r="AO56" s="242">
        <v>42079</v>
      </c>
      <c r="AP56" s="255">
        <v>104</v>
      </c>
      <c r="AQ56" s="242">
        <v>42108</v>
      </c>
      <c r="AR56">
        <v>125</v>
      </c>
      <c r="AS56" s="297">
        <f t="shared" si="35"/>
        <v>125</v>
      </c>
      <c r="AT56" s="290">
        <v>42129</v>
      </c>
      <c r="AU56" s="298"/>
      <c r="AV56"/>
      <c r="AW56"/>
      <c r="AX56"/>
      <c r="AY56"/>
      <c r="AZ56"/>
      <c r="BA56"/>
      <c r="BB56"/>
      <c r="BC56"/>
      <c r="BD56"/>
      <c r="BE56"/>
      <c r="BF56" s="277">
        <v>-2.9391078948974609</v>
      </c>
      <c r="BG56" s="283">
        <v>42230</v>
      </c>
      <c r="BH56"/>
      <c r="BI56"/>
      <c r="BJ56"/>
      <c r="BK56"/>
      <c r="BL56" s="277">
        <v>65.231559753417969</v>
      </c>
      <c r="BM56" s="283">
        <v>42230</v>
      </c>
      <c r="BN56"/>
      <c r="BO56"/>
      <c r="BP56" s="277">
        <v>3.3926670551300049</v>
      </c>
      <c r="BQ56" s="283">
        <v>42230</v>
      </c>
      <c r="BR56" s="277">
        <v>51.3450927734375</v>
      </c>
      <c r="BS56" s="283">
        <v>42230</v>
      </c>
      <c r="BT56" s="277">
        <v>16.968259811401367</v>
      </c>
      <c r="BU56" s="283">
        <v>42230</v>
      </c>
      <c r="BV56" s="277">
        <v>14.246143341064453</v>
      </c>
      <c r="BW56" s="283">
        <v>42230</v>
      </c>
      <c r="BX56" s="277">
        <v>5.3888702392578125</v>
      </c>
      <c r="BY56" s="283">
        <v>42230</v>
      </c>
      <c r="BZ56"/>
      <c r="CA56" s="136"/>
      <c r="CB56" s="266">
        <v>1.6</v>
      </c>
      <c r="CC56"/>
      <c r="CD56" s="277">
        <v>5.5555555555555687</v>
      </c>
      <c r="CE56" s="291" t="s">
        <v>8401</v>
      </c>
      <c r="CF56"/>
      <c r="CG56"/>
      <c r="CH56">
        <v>1</v>
      </c>
      <c r="CI56">
        <v>2</v>
      </c>
      <c r="CK56"/>
      <c r="CL56" s="223">
        <v>3</v>
      </c>
      <c r="CM56" s="259">
        <v>42161</v>
      </c>
      <c r="CN56" s="137" t="s">
        <v>8406</v>
      </c>
    </row>
    <row r="57" spans="1:94" s="227" customFormat="1">
      <c r="A57" s="258">
        <v>102</v>
      </c>
      <c r="B57" s="235">
        <v>102</v>
      </c>
      <c r="C57" s="235" t="s">
        <v>7617</v>
      </c>
      <c r="D57" s="235" t="s">
        <v>7454</v>
      </c>
      <c r="E57" s="235" t="s">
        <v>7617</v>
      </c>
      <c r="F57" s="235" t="s">
        <v>8506</v>
      </c>
      <c r="G57" s="235" t="str">
        <f t="shared" si="29"/>
        <v>Rapsodyn</v>
      </c>
      <c r="H57" s="235" t="s">
        <v>265</v>
      </c>
      <c r="I57" s="235">
        <v>1</v>
      </c>
      <c r="J57" s="235">
        <v>9010</v>
      </c>
      <c r="K57" s="235">
        <v>45</v>
      </c>
      <c r="L57" s="235">
        <f t="shared" si="21"/>
        <v>45</v>
      </c>
      <c r="M57" s="235">
        <v>2</v>
      </c>
      <c r="N57" s="235">
        <v>7</v>
      </c>
      <c r="O57" s="248">
        <v>42048</v>
      </c>
      <c r="P57">
        <v>3.75</v>
      </c>
      <c r="Q57" s="264">
        <v>42204</v>
      </c>
      <c r="R57"/>
      <c r="S57"/>
      <c r="T57"/>
      <c r="U57" s="153"/>
      <c r="V57" s="219">
        <f t="shared" si="30"/>
        <v>11.534173687631291</v>
      </c>
      <c r="W57" s="219"/>
      <c r="X57">
        <v>15.55</v>
      </c>
      <c r="Y57"/>
      <c r="Z57"/>
      <c r="AA57"/>
      <c r="AB57" s="220">
        <f t="shared" si="31"/>
        <v>4.3401240310178304</v>
      </c>
      <c r="AC57" s="219"/>
      <c r="AD57" s="221">
        <f t="shared" si="32"/>
        <v>63628.493692802367</v>
      </c>
      <c r="AE57" s="219"/>
      <c r="AF57" s="220">
        <f t="shared" si="33"/>
        <v>23.16077170418006</v>
      </c>
      <c r="AG57" s="219"/>
      <c r="AH57" s="220">
        <f t="shared" si="34"/>
        <v>25.970813752164233</v>
      </c>
      <c r="AI57" s="219"/>
      <c r="AJ57" s="287">
        <v>3.64</v>
      </c>
      <c r="AK57" s="284" t="s">
        <v>8400</v>
      </c>
      <c r="AL57">
        <v>170</v>
      </c>
      <c r="AM57"/>
      <c r="AN57" s="241">
        <v>70</v>
      </c>
      <c r="AO57" s="242">
        <v>42074</v>
      </c>
      <c r="AP57" s="255">
        <v>104</v>
      </c>
      <c r="AQ57" s="242">
        <v>42108</v>
      </c>
      <c r="AR57">
        <v>127</v>
      </c>
      <c r="AS57" s="297">
        <f t="shared" si="35"/>
        <v>127</v>
      </c>
      <c r="AT57" s="290">
        <v>42131</v>
      </c>
      <c r="AU57" s="298"/>
      <c r="AV57"/>
      <c r="AW57"/>
      <c r="AX57"/>
      <c r="AY57"/>
      <c r="AZ57"/>
      <c r="BA57"/>
      <c r="BB57"/>
      <c r="BC57"/>
      <c r="BD57"/>
      <c r="BE57"/>
      <c r="BF57" s="277">
        <v>43.540935516357422</v>
      </c>
      <c r="BG57" s="283">
        <v>42234</v>
      </c>
      <c r="BH57"/>
      <c r="BI57"/>
      <c r="BJ57"/>
      <c r="BK57"/>
      <c r="BL57" s="277">
        <v>57.993598937988281</v>
      </c>
      <c r="BM57" s="283">
        <v>42234</v>
      </c>
      <c r="BN57"/>
      <c r="BO57"/>
      <c r="BP57" s="277">
        <v>2.3769650459289551</v>
      </c>
      <c r="BQ57" s="283">
        <v>42234</v>
      </c>
      <c r="BR57" s="277">
        <v>49.800472259521484</v>
      </c>
      <c r="BS57" s="283">
        <v>42234</v>
      </c>
      <c r="BT57" s="277">
        <v>18.739116668701172</v>
      </c>
      <c r="BU57" s="283">
        <v>42234</v>
      </c>
      <c r="BV57" s="277">
        <v>61.948081970214844</v>
      </c>
      <c r="BW57" s="283">
        <v>42234</v>
      </c>
      <c r="BX57" s="277">
        <v>5.3116607666015625</v>
      </c>
      <c r="BY57" s="283">
        <v>42234</v>
      </c>
      <c r="BZ57"/>
      <c r="CA57" s="136"/>
      <c r="CB57" s="266">
        <v>2.13</v>
      </c>
      <c r="CC57"/>
      <c r="CD57" s="277">
        <v>2</v>
      </c>
      <c r="CE57" s="291" t="s">
        <v>8400</v>
      </c>
      <c r="CF57"/>
      <c r="CG57"/>
      <c r="CH57">
        <v>3</v>
      </c>
      <c r="CI57">
        <v>5</v>
      </c>
      <c r="CK57"/>
      <c r="CL57" s="223">
        <v>3</v>
      </c>
      <c r="CM57" s="259">
        <v>42161</v>
      </c>
      <c r="CN57" s="137" t="s">
        <v>8406</v>
      </c>
    </row>
    <row r="58" spans="1:94" s="227" customFormat="1">
      <c r="A58" s="258">
        <v>103</v>
      </c>
      <c r="B58" s="235">
        <v>103</v>
      </c>
      <c r="C58" s="235" t="s">
        <v>7737</v>
      </c>
      <c r="D58" s="235" t="s">
        <v>7883</v>
      </c>
      <c r="E58" s="235" t="s">
        <v>7737</v>
      </c>
      <c r="F58" s="235" t="s">
        <v>8545</v>
      </c>
      <c r="G58" s="235" t="str">
        <f t="shared" si="29"/>
        <v>Rapsodyn</v>
      </c>
      <c r="H58" s="235" t="s">
        <v>265</v>
      </c>
      <c r="I58" s="235">
        <v>1</v>
      </c>
      <c r="J58" s="235">
        <v>9117</v>
      </c>
      <c r="K58" s="235">
        <v>44</v>
      </c>
      <c r="L58" s="235">
        <f t="shared" si="21"/>
        <v>44</v>
      </c>
      <c r="M58" s="235">
        <v>2</v>
      </c>
      <c r="N58" s="235">
        <v>7</v>
      </c>
      <c r="O58" s="248">
        <v>42048</v>
      </c>
      <c r="P58">
        <v>2.65</v>
      </c>
      <c r="Q58" s="264">
        <v>42204</v>
      </c>
      <c r="R58"/>
      <c r="S58"/>
      <c r="T58"/>
      <c r="U58" s="153"/>
      <c r="V58" s="219">
        <f t="shared" si="30"/>
        <v>8.3463706735441079</v>
      </c>
      <c r="W58" s="219"/>
      <c r="X58">
        <v>15.55</v>
      </c>
      <c r="Y58"/>
      <c r="Z58"/>
      <c r="AA58"/>
      <c r="AB58" s="220">
        <f t="shared" si="31"/>
        <v>2.9721502898543286</v>
      </c>
      <c r="AC58" s="219"/>
      <c r="AD58" s="221">
        <f t="shared" si="32"/>
        <v>38925.038336400525</v>
      </c>
      <c r="AE58" s="219"/>
      <c r="AF58" s="220">
        <f t="shared" si="33"/>
        <v>16.114965871269817</v>
      </c>
      <c r="AG58" s="219"/>
      <c r="AH58" s="220">
        <f t="shared" si="34"/>
        <v>18.070156841522557</v>
      </c>
      <c r="AI58" s="219"/>
      <c r="AJ58">
        <v>4.1399999999999997</v>
      </c>
      <c r="AK58" s="284" t="s">
        <v>8402</v>
      </c>
      <c r="AL58">
        <v>165</v>
      </c>
      <c r="AM58"/>
      <c r="AN58" s="241">
        <v>72</v>
      </c>
      <c r="AO58" s="242">
        <v>42076</v>
      </c>
      <c r="AP58" s="255">
        <v>113</v>
      </c>
      <c r="AQ58" s="242">
        <v>42117</v>
      </c>
      <c r="AR58">
        <v>138</v>
      </c>
      <c r="AS58" s="297">
        <f t="shared" si="35"/>
        <v>138</v>
      </c>
      <c r="AT58" s="290">
        <v>42142</v>
      </c>
      <c r="AU58" s="298"/>
      <c r="AV58"/>
      <c r="AW58"/>
      <c r="AX58"/>
      <c r="AY58"/>
      <c r="AZ58"/>
      <c r="BA58"/>
      <c r="BB58"/>
      <c r="BC58"/>
      <c r="BD58"/>
      <c r="BE58"/>
      <c r="BF58" s="277">
        <v>30.749099731445313</v>
      </c>
      <c r="BG58" s="283">
        <v>42233</v>
      </c>
      <c r="BH58"/>
      <c r="BI58"/>
      <c r="BJ58"/>
      <c r="BK58"/>
      <c r="BL58" s="277">
        <v>61.153194427490234</v>
      </c>
      <c r="BM58" s="283">
        <v>42233</v>
      </c>
      <c r="BN58"/>
      <c r="BO58"/>
      <c r="BP58" s="277">
        <v>3.8575420379638672</v>
      </c>
      <c r="BQ58" s="283">
        <v>42233</v>
      </c>
      <c r="BR58" s="277">
        <v>51.792667388916016</v>
      </c>
      <c r="BS58" s="283">
        <v>42233</v>
      </c>
      <c r="BT58" s="277">
        <v>18.443416595458984</v>
      </c>
      <c r="BU58" s="283">
        <v>42233</v>
      </c>
      <c r="BV58" s="277">
        <v>51.686874389648437</v>
      </c>
      <c r="BW58" s="283">
        <v>42233</v>
      </c>
      <c r="BX58" s="277">
        <v>4.9579620361328125</v>
      </c>
      <c r="BY58" s="283">
        <v>42233</v>
      </c>
      <c r="BZ58"/>
      <c r="CA58" s="136"/>
      <c r="CB58" s="266">
        <v>2.59</v>
      </c>
      <c r="CC58"/>
      <c r="CD58" s="277">
        <v>3.5087719298245648</v>
      </c>
      <c r="CE58" s="291" t="s">
        <v>8402</v>
      </c>
      <c r="CF58"/>
      <c r="CG58"/>
      <c r="CH58">
        <v>6</v>
      </c>
      <c r="CI58">
        <v>7</v>
      </c>
      <c r="CK58"/>
      <c r="CL58" s="223">
        <v>3</v>
      </c>
      <c r="CM58" s="259">
        <v>42161</v>
      </c>
      <c r="CN58" s="137"/>
      <c r="CO58" s="137" t="s">
        <v>8405</v>
      </c>
    </row>
    <row r="59" spans="1:94" s="227" customFormat="1">
      <c r="A59" s="258">
        <v>104</v>
      </c>
      <c r="B59" s="235">
        <v>104</v>
      </c>
      <c r="C59" s="235" t="s">
        <v>7688</v>
      </c>
      <c r="D59" s="235" t="s">
        <v>7514</v>
      </c>
      <c r="E59" s="235" t="s">
        <v>7688</v>
      </c>
      <c r="F59" s="235" t="s">
        <v>8435</v>
      </c>
      <c r="G59" s="235" t="str">
        <f t="shared" si="29"/>
        <v>Rapsodyn</v>
      </c>
      <c r="H59" s="235" t="s">
        <v>265</v>
      </c>
      <c r="I59" s="235">
        <v>1</v>
      </c>
      <c r="J59" s="235">
        <v>9070</v>
      </c>
      <c r="K59" s="235">
        <v>43</v>
      </c>
      <c r="L59" s="235">
        <f t="shared" si="21"/>
        <v>43</v>
      </c>
      <c r="M59" s="235">
        <v>2</v>
      </c>
      <c r="N59" s="235">
        <v>7</v>
      </c>
      <c r="O59" s="248">
        <v>42048</v>
      </c>
      <c r="P59">
        <v>4.45</v>
      </c>
      <c r="Q59" s="264">
        <v>42204</v>
      </c>
      <c r="R59"/>
      <c r="S59"/>
      <c r="T59"/>
      <c r="U59" s="153"/>
      <c r="V59" s="219">
        <f t="shared" si="30"/>
        <v>13.087020710759976</v>
      </c>
      <c r="W59" s="219"/>
      <c r="X59">
        <v>15.55</v>
      </c>
      <c r="Y59"/>
      <c r="Z59"/>
      <c r="AA59"/>
      <c r="AB59" s="220">
        <f t="shared" si="31"/>
        <v>3.7298903442494469</v>
      </c>
      <c r="AC59" s="219"/>
      <c r="AD59" s="221">
        <f t="shared" si="32"/>
        <v>61476.301998687362</v>
      </c>
      <c r="AE59" s="219"/>
      <c r="AF59" s="220">
        <f t="shared" si="33"/>
        <v>25.143807517463131</v>
      </c>
      <c r="AG59" s="219"/>
      <c r="AH59" s="220">
        <f t="shared" si="34"/>
        <v>28.194446644385664</v>
      </c>
      <c r="AI59" s="219"/>
      <c r="AJ59">
        <v>4.09</v>
      </c>
      <c r="AK59" s="284" t="s">
        <v>8402</v>
      </c>
      <c r="AL59">
        <v>170</v>
      </c>
      <c r="AM59"/>
      <c r="AN59" s="241">
        <v>65</v>
      </c>
      <c r="AO59" s="242">
        <v>42069</v>
      </c>
      <c r="AP59" s="255">
        <v>110</v>
      </c>
      <c r="AQ59" s="242">
        <v>42114</v>
      </c>
      <c r="AR59">
        <v>141</v>
      </c>
      <c r="AS59" s="297">
        <f t="shared" si="35"/>
        <v>141</v>
      </c>
      <c r="AT59" s="290">
        <v>42145</v>
      </c>
      <c r="AU59" s="298"/>
      <c r="AV59"/>
      <c r="AW59"/>
      <c r="AX59"/>
      <c r="AY59"/>
      <c r="AZ59"/>
      <c r="BA59"/>
      <c r="BB59"/>
      <c r="BC59"/>
      <c r="BD59"/>
      <c r="BE59"/>
      <c r="BF59" s="277">
        <v>-2.6538999080657959</v>
      </c>
      <c r="BG59" s="283">
        <v>42233</v>
      </c>
      <c r="BH59"/>
      <c r="BI59"/>
      <c r="BJ59"/>
      <c r="BK59"/>
      <c r="BL59" s="277">
        <v>62.586765289306641</v>
      </c>
      <c r="BM59" s="283">
        <v>42233</v>
      </c>
      <c r="BN59"/>
      <c r="BO59"/>
      <c r="BP59" s="277">
        <v>4.18719482421875</v>
      </c>
      <c r="BQ59" s="283">
        <v>42233</v>
      </c>
      <c r="BR59" s="277">
        <v>52.048683166503906</v>
      </c>
      <c r="BS59" s="283">
        <v>42233</v>
      </c>
      <c r="BT59" s="277">
        <v>14.834230422973633</v>
      </c>
      <c r="BU59" s="283">
        <v>42233</v>
      </c>
      <c r="BV59" s="277">
        <v>18.2125244140625</v>
      </c>
      <c r="BW59" s="283">
        <v>42233</v>
      </c>
      <c r="BX59" s="277">
        <v>5.0943069458007812</v>
      </c>
      <c r="BY59" s="283">
        <v>42233</v>
      </c>
      <c r="BZ59"/>
      <c r="CA59" s="136"/>
      <c r="CB59" s="266">
        <v>1.66</v>
      </c>
      <c r="CC59"/>
      <c r="CD59" s="277">
        <v>10.344827586206891</v>
      </c>
      <c r="CE59" s="291" t="s">
        <v>8402</v>
      </c>
      <c r="CF59"/>
      <c r="CG59"/>
      <c r="CH59">
        <v>2</v>
      </c>
      <c r="CI59">
        <v>3</v>
      </c>
      <c r="CK59"/>
      <c r="CL59" s="223">
        <v>2</v>
      </c>
      <c r="CM59" s="259">
        <v>42161</v>
      </c>
      <c r="CN59" s="137" t="s">
        <v>8406</v>
      </c>
    </row>
    <row r="60" spans="1:94" s="227" customFormat="1">
      <c r="A60" s="258">
        <v>105</v>
      </c>
      <c r="B60" s="235">
        <v>105</v>
      </c>
      <c r="C60" s="346" t="s">
        <v>8238</v>
      </c>
      <c r="D60" s="235" t="s">
        <v>7562</v>
      </c>
      <c r="E60" s="235" t="s">
        <v>8461</v>
      </c>
      <c r="F60" s="235" t="s">
        <v>8469</v>
      </c>
      <c r="G60" s="235" t="str">
        <f t="shared" si="29"/>
        <v>Rapsodyn</v>
      </c>
      <c r="H60" s="235" t="s">
        <v>265</v>
      </c>
      <c r="I60" s="235">
        <v>1</v>
      </c>
      <c r="J60" s="235">
        <v>9358</v>
      </c>
      <c r="K60" s="235">
        <v>42</v>
      </c>
      <c r="L60" s="235">
        <f t="shared" si="21"/>
        <v>42</v>
      </c>
      <c r="M60" s="235">
        <v>2</v>
      </c>
      <c r="N60" s="236">
        <v>5</v>
      </c>
      <c r="O60" s="248">
        <v>42048</v>
      </c>
      <c r="P60" t="s">
        <v>8379</v>
      </c>
      <c r="Q60" s="264">
        <v>42204</v>
      </c>
      <c r="R60" s="278">
        <v>11.493860845839018</v>
      </c>
      <c r="S60" s="190">
        <v>42185</v>
      </c>
      <c r="T60" s="277">
        <v>18.52157302208343</v>
      </c>
      <c r="U60" s="190">
        <v>42185</v>
      </c>
      <c r="V60" t="s">
        <v>8379</v>
      </c>
      <c r="W60" s="219"/>
      <c r="X60">
        <v>15.55</v>
      </c>
      <c r="Y60"/>
      <c r="Z60"/>
      <c r="AA60"/>
      <c r="AB60" t="s">
        <v>8379</v>
      </c>
      <c r="AC60" s="219"/>
      <c r="AD60" t="s">
        <v>8379</v>
      </c>
      <c r="AE60" s="219"/>
      <c r="AF60" t="s">
        <v>8379</v>
      </c>
      <c r="AG60" s="219"/>
      <c r="AH60" t="s">
        <v>8379</v>
      </c>
      <c r="AI60" s="219"/>
      <c r="AJ60">
        <v>4.75</v>
      </c>
      <c r="AK60" s="284" t="s">
        <v>8402</v>
      </c>
      <c r="AL60">
        <v>155</v>
      </c>
      <c r="AM60"/>
      <c r="AN60" s="241">
        <v>75</v>
      </c>
      <c r="AO60" s="242">
        <v>42079</v>
      </c>
      <c r="AP60" s="255">
        <v>104</v>
      </c>
      <c r="AQ60" s="242">
        <v>42108</v>
      </c>
      <c r="AR60">
        <v>131</v>
      </c>
      <c r="AS60" s="297">
        <f t="shared" si="35"/>
        <v>131</v>
      </c>
      <c r="AT60" s="290">
        <v>42135</v>
      </c>
      <c r="AU60" s="298"/>
      <c r="AV60"/>
      <c r="AW60"/>
      <c r="AX60"/>
      <c r="AY60"/>
      <c r="AZ60"/>
      <c r="BA60"/>
      <c r="BB60"/>
      <c r="BC60"/>
      <c r="BD60"/>
      <c r="BE60"/>
      <c r="BF60" s="277">
        <v>-0.91702502965927124</v>
      </c>
      <c r="BG60" s="283">
        <v>42233</v>
      </c>
      <c r="BH60"/>
      <c r="BI60"/>
      <c r="BJ60"/>
      <c r="BK60"/>
      <c r="BL60" s="277">
        <v>63.448585510253906</v>
      </c>
      <c r="BM60" s="283">
        <v>42233</v>
      </c>
      <c r="BN60"/>
      <c r="BO60"/>
      <c r="BP60" s="277">
        <v>3.631619930267334</v>
      </c>
      <c r="BQ60" s="283">
        <v>42233</v>
      </c>
      <c r="BR60" s="277">
        <v>50.829433441162109</v>
      </c>
      <c r="BS60" s="283">
        <v>42233</v>
      </c>
      <c r="BT60" s="277">
        <v>16.202571868896484</v>
      </c>
      <c r="BU60" s="283">
        <v>42233</v>
      </c>
      <c r="BV60" s="277">
        <v>15.56477165222168</v>
      </c>
      <c r="BW60" s="283">
        <v>42233</v>
      </c>
      <c r="BX60" s="277">
        <v>5.0571975708007812</v>
      </c>
      <c r="BY60" s="283">
        <v>42233</v>
      </c>
      <c r="BZ60"/>
      <c r="CA60" s="136"/>
      <c r="CB60" s="266">
        <v>1.64</v>
      </c>
      <c r="CC60"/>
      <c r="CD60" s="277">
        <v>3.5087719298245648</v>
      </c>
      <c r="CE60" s="291" t="s">
        <v>8402</v>
      </c>
      <c r="CF60"/>
      <c r="CG60"/>
      <c r="CH60">
        <v>1</v>
      </c>
      <c r="CI60">
        <v>3</v>
      </c>
      <c r="CK60"/>
      <c r="CL60" s="223">
        <v>1</v>
      </c>
      <c r="CM60" s="259">
        <v>42161</v>
      </c>
      <c r="CP60" s="345" t="s">
        <v>8412</v>
      </c>
    </row>
    <row r="61" spans="1:94" s="227" customFormat="1">
      <c r="A61" s="258">
        <v>107</v>
      </c>
      <c r="B61" s="235">
        <v>107</v>
      </c>
      <c r="C61" s="235" t="s">
        <v>7685</v>
      </c>
      <c r="D61" s="235" t="s">
        <v>7512</v>
      </c>
      <c r="E61" s="235" t="s">
        <v>7685</v>
      </c>
      <c r="F61" s="235" t="s">
        <v>8599</v>
      </c>
      <c r="G61" s="235" t="str">
        <f t="shared" si="29"/>
        <v>Rapsodyn</v>
      </c>
      <c r="H61" s="235" t="s">
        <v>265</v>
      </c>
      <c r="I61" s="235">
        <v>1</v>
      </c>
      <c r="J61" s="235">
        <v>9067</v>
      </c>
      <c r="K61" s="235">
        <v>40</v>
      </c>
      <c r="L61" s="235">
        <f t="shared" si="21"/>
        <v>40</v>
      </c>
      <c r="M61" s="235">
        <v>2</v>
      </c>
      <c r="N61" s="235">
        <v>7</v>
      </c>
      <c r="O61" s="248">
        <v>42048</v>
      </c>
      <c r="P61">
        <v>4.2</v>
      </c>
      <c r="Q61" s="264">
        <v>42204</v>
      </c>
      <c r="R61"/>
      <c r="S61"/>
      <c r="T61"/>
      <c r="U61" s="153"/>
      <c r="V61" s="219">
        <f t="shared" ref="V61:V67" si="36">+BR61*AF61/100</f>
        <v>12.163850785759241</v>
      </c>
      <c r="W61" s="219"/>
      <c r="X61">
        <v>15.55</v>
      </c>
      <c r="Y61"/>
      <c r="Z61"/>
      <c r="AA61"/>
      <c r="AB61" s="220">
        <f t="shared" ref="AB61:AB67" si="37">+AF61*BT61/100</f>
        <v>4.0627992783040137</v>
      </c>
      <c r="AC61" s="219"/>
      <c r="AD61" s="221">
        <f t="shared" ref="AD61:AD67" si="38">+(AF61/AJ61)*10000</f>
        <v>53848.604453173713</v>
      </c>
      <c r="AE61" s="219"/>
      <c r="AF61" s="220">
        <f t="shared" ref="AF61:AF67" si="39">($P61/$X61)*(((100-$CD61)/100*(100-2)/100))*100</f>
        <v>24.393417817287695</v>
      </c>
      <c r="AG61" s="219"/>
      <c r="AH61" s="220">
        <f t="shared" ref="AH61:AH67" si="40">($P61/$X61)*(((100-$CD61)/(100-9)*(100-2)/(100-2))*100)</f>
        <v>27.353013923848053</v>
      </c>
      <c r="AI61" s="219"/>
      <c r="AJ61">
        <v>4.53</v>
      </c>
      <c r="AK61" s="284" t="s">
        <v>8400</v>
      </c>
      <c r="AL61">
        <v>170</v>
      </c>
      <c r="AM61"/>
      <c r="AN61" s="241">
        <v>70</v>
      </c>
      <c r="AO61" s="242">
        <v>42074</v>
      </c>
      <c r="AP61" s="255">
        <v>104</v>
      </c>
      <c r="AQ61" s="242">
        <v>42108</v>
      </c>
      <c r="AR61">
        <v>127</v>
      </c>
      <c r="AS61" s="297">
        <f t="shared" si="35"/>
        <v>127</v>
      </c>
      <c r="AT61" s="290">
        <v>42131</v>
      </c>
      <c r="AU61" s="298"/>
      <c r="AV61"/>
      <c r="AW61"/>
      <c r="AX61"/>
      <c r="AY61"/>
      <c r="AZ61"/>
      <c r="BA61"/>
      <c r="BB61"/>
      <c r="BC61"/>
      <c r="BD61"/>
      <c r="BE61"/>
      <c r="BF61" s="277">
        <v>-1.2047230005264282</v>
      </c>
      <c r="BG61" s="283">
        <v>42233</v>
      </c>
      <c r="BH61"/>
      <c r="BI61"/>
      <c r="BJ61"/>
      <c r="BK61"/>
      <c r="BL61" s="277">
        <v>64.696525573730469</v>
      </c>
      <c r="BM61" s="283">
        <v>42233</v>
      </c>
      <c r="BN61"/>
      <c r="BO61"/>
      <c r="BP61" s="277">
        <v>3.6758549213409424</v>
      </c>
      <c r="BQ61" s="283">
        <v>42233</v>
      </c>
      <c r="BR61" s="277">
        <v>49.865299224853516</v>
      </c>
      <c r="BS61" s="283">
        <v>42233</v>
      </c>
      <c r="BT61" s="277">
        <v>16.655309677124023</v>
      </c>
      <c r="BU61" s="283">
        <v>42233</v>
      </c>
      <c r="BV61" s="277">
        <v>17.095352172851562</v>
      </c>
      <c r="BW61" s="283">
        <v>42233</v>
      </c>
      <c r="BX61" s="277">
        <v>5.4785842895507812</v>
      </c>
      <c r="BY61" s="283">
        <v>42233</v>
      </c>
      <c r="BZ61"/>
      <c r="CA61" s="136"/>
      <c r="CB61" s="266">
        <v>2.0499999999999998</v>
      </c>
      <c r="CC61"/>
      <c r="CD61" s="277">
        <v>7.8431372549019507</v>
      </c>
      <c r="CE61" s="291" t="s">
        <v>8400</v>
      </c>
      <c r="CF61"/>
      <c r="CG61"/>
      <c r="CH61">
        <v>3</v>
      </c>
      <c r="CI61">
        <v>3</v>
      </c>
      <c r="CK61"/>
      <c r="CL61" s="223">
        <v>1</v>
      </c>
      <c r="CM61" s="259">
        <v>42161</v>
      </c>
      <c r="CN61" s="137" t="s">
        <v>8406</v>
      </c>
    </row>
    <row r="62" spans="1:94" s="227" customFormat="1">
      <c r="A62" s="258">
        <v>109</v>
      </c>
      <c r="B62" s="235">
        <v>109</v>
      </c>
      <c r="C62" s="238" t="s">
        <v>7767</v>
      </c>
      <c r="D62" s="238" t="s">
        <v>7843</v>
      </c>
      <c r="E62" s="238" t="s">
        <v>7767</v>
      </c>
      <c r="F62" s="238" t="s">
        <v>8624</v>
      </c>
      <c r="G62" s="235" t="str">
        <f t="shared" si="29"/>
        <v>Rapsodyn</v>
      </c>
      <c r="H62" s="235" t="s">
        <v>265</v>
      </c>
      <c r="I62" s="235">
        <v>1</v>
      </c>
      <c r="J62" s="238">
        <v>9138</v>
      </c>
      <c r="K62" s="238">
        <v>38</v>
      </c>
      <c r="L62" s="235">
        <f t="shared" si="21"/>
        <v>38</v>
      </c>
      <c r="M62" s="238">
        <v>2</v>
      </c>
      <c r="N62" s="235">
        <v>7</v>
      </c>
      <c r="O62" s="248">
        <v>42048</v>
      </c>
      <c r="P62">
        <v>4.8499999999999996</v>
      </c>
      <c r="Q62" s="264">
        <v>42204</v>
      </c>
      <c r="R62"/>
      <c r="S62"/>
      <c r="T62"/>
      <c r="U62" s="153"/>
      <c r="V62" s="219">
        <f t="shared" si="36"/>
        <v>14.390235081074705</v>
      </c>
      <c r="W62" s="219"/>
      <c r="X62">
        <v>15.55</v>
      </c>
      <c r="Y62"/>
      <c r="Z62"/>
      <c r="AA62"/>
      <c r="AB62" s="220">
        <f t="shared" si="37"/>
        <v>4.8036974724594241</v>
      </c>
      <c r="AC62" s="219"/>
      <c r="AD62" s="221">
        <f t="shared" si="38"/>
        <v>76904.513132296823</v>
      </c>
      <c r="AE62" s="219"/>
      <c r="AF62" s="220">
        <f t="shared" si="39"/>
        <v>29.454428529669684</v>
      </c>
      <c r="AG62" s="219"/>
      <c r="AH62" s="220">
        <f t="shared" si="40"/>
        <v>33.028065182406003</v>
      </c>
      <c r="AI62" s="219"/>
      <c r="AJ62">
        <v>3.83</v>
      </c>
      <c r="AK62" s="284" t="s">
        <v>8400</v>
      </c>
      <c r="AL62">
        <v>155</v>
      </c>
      <c r="AM62"/>
      <c r="AN62" s="241">
        <v>63</v>
      </c>
      <c r="AO62" s="246">
        <v>42067</v>
      </c>
      <c r="AP62" s="255">
        <v>104</v>
      </c>
      <c r="AQ62" s="242">
        <v>42108</v>
      </c>
      <c r="AR62">
        <v>130</v>
      </c>
      <c r="AS62" s="297">
        <f t="shared" si="35"/>
        <v>130</v>
      </c>
      <c r="AT62" s="290">
        <v>42134</v>
      </c>
      <c r="AU62" s="298"/>
      <c r="AV62"/>
      <c r="AW62"/>
      <c r="AX62"/>
      <c r="AY62"/>
      <c r="AZ62"/>
      <c r="BA62"/>
      <c r="BB62"/>
      <c r="BC62"/>
      <c r="BD62"/>
      <c r="BE62"/>
      <c r="BF62" s="277">
        <v>-1.0042710304260254</v>
      </c>
      <c r="BG62" s="283">
        <v>42233</v>
      </c>
      <c r="BH62"/>
      <c r="BI62"/>
      <c r="BJ62"/>
      <c r="BK62"/>
      <c r="BL62" s="277">
        <v>69.513862609863281</v>
      </c>
      <c r="BM62" s="283">
        <v>42233</v>
      </c>
      <c r="BN62"/>
      <c r="BO62"/>
      <c r="BP62" s="277">
        <v>2.0243620872497559</v>
      </c>
      <c r="BQ62" s="283">
        <v>42233</v>
      </c>
      <c r="BR62" s="277">
        <v>48.855930328369141</v>
      </c>
      <c r="BS62" s="283">
        <v>42233</v>
      </c>
      <c r="BT62" s="277">
        <v>16.308914184570312</v>
      </c>
      <c r="BU62" s="283">
        <v>42233</v>
      </c>
      <c r="BV62" s="277">
        <v>12.228960990905762</v>
      </c>
      <c r="BW62" s="283">
        <v>42233</v>
      </c>
      <c r="BX62" s="277">
        <v>5.2062835693359375</v>
      </c>
      <c r="BY62" s="283">
        <v>42233</v>
      </c>
      <c r="BZ62"/>
      <c r="CA62" s="136"/>
      <c r="CB62" s="266">
        <v>1.99</v>
      </c>
      <c r="CC62"/>
      <c r="CD62" s="277">
        <v>3.6363636363636398</v>
      </c>
      <c r="CE62" s="291" t="s">
        <v>8400</v>
      </c>
      <c r="CF62"/>
      <c r="CG62"/>
      <c r="CH62">
        <v>1</v>
      </c>
      <c r="CI62">
        <v>2</v>
      </c>
      <c r="CK62"/>
      <c r="CL62" s="223">
        <v>1</v>
      </c>
      <c r="CM62" s="259">
        <v>42161</v>
      </c>
      <c r="CN62" s="137" t="s">
        <v>8406</v>
      </c>
    </row>
    <row r="63" spans="1:94">
      <c r="A63" s="258">
        <v>112</v>
      </c>
      <c r="B63" s="235">
        <v>112</v>
      </c>
      <c r="C63" s="235" t="s">
        <v>7741</v>
      </c>
      <c r="D63" s="235" t="s">
        <v>8416</v>
      </c>
      <c r="E63" s="235" t="s">
        <v>7741</v>
      </c>
      <c r="F63" s="235" t="s">
        <v>8623</v>
      </c>
      <c r="G63" s="235" t="str">
        <f t="shared" si="29"/>
        <v>Rapsodyn</v>
      </c>
      <c r="H63" s="235" t="s">
        <v>265</v>
      </c>
      <c r="I63" s="235">
        <v>1</v>
      </c>
      <c r="J63" s="235">
        <v>9120</v>
      </c>
      <c r="K63" s="235">
        <v>35</v>
      </c>
      <c r="L63" s="235">
        <f t="shared" si="21"/>
        <v>35</v>
      </c>
      <c r="M63" s="235">
        <v>2</v>
      </c>
      <c r="N63" s="236">
        <v>9</v>
      </c>
      <c r="O63" s="248">
        <v>42048</v>
      </c>
      <c r="P63">
        <v>3.35</v>
      </c>
      <c r="Q63" s="264">
        <v>42204</v>
      </c>
      <c r="R63"/>
      <c r="S63"/>
      <c r="T63"/>
      <c r="V63" s="219">
        <f t="shared" si="36"/>
        <v>9.3609397381474722</v>
      </c>
      <c r="W63" s="219"/>
      <c r="X63">
        <v>15.55</v>
      </c>
      <c r="Y63"/>
      <c r="Z63"/>
      <c r="AA63"/>
      <c r="AB63" s="220">
        <f t="shared" si="37"/>
        <v>4.1398681529068684</v>
      </c>
      <c r="AC63" s="219"/>
      <c r="AD63" s="221">
        <f t="shared" si="38"/>
        <v>42326.664380364957</v>
      </c>
      <c r="AE63" s="219"/>
      <c r="AF63" s="220">
        <f t="shared" si="39"/>
        <v>20.020512251912628</v>
      </c>
      <c r="AG63" s="219"/>
      <c r="AH63" s="220">
        <f t="shared" si="40"/>
        <v>22.449553994071128</v>
      </c>
      <c r="AI63" s="219"/>
      <c r="AJ63">
        <v>4.7300000000000004</v>
      </c>
      <c r="AK63" s="284" t="s">
        <v>8402</v>
      </c>
      <c r="AL63">
        <v>150</v>
      </c>
      <c r="AM63"/>
      <c r="AN63" s="241">
        <v>72</v>
      </c>
      <c r="AO63" s="242">
        <v>42076</v>
      </c>
      <c r="AP63" s="255">
        <v>104</v>
      </c>
      <c r="AQ63" s="242">
        <v>42108</v>
      </c>
      <c r="AR63">
        <v>125</v>
      </c>
      <c r="AS63" s="297">
        <f t="shared" si="35"/>
        <v>125</v>
      </c>
      <c r="AT63" s="290">
        <v>42129</v>
      </c>
      <c r="AU63" s="298"/>
      <c r="AV63"/>
      <c r="AW63"/>
      <c r="AX63"/>
      <c r="AY63"/>
      <c r="AZ63"/>
      <c r="BA63"/>
      <c r="BB63"/>
      <c r="BC63"/>
      <c r="BD63"/>
      <c r="BE63"/>
      <c r="BF63" s="277">
        <v>35.462963104248047</v>
      </c>
      <c r="BG63" s="283">
        <v>42233</v>
      </c>
      <c r="BH63"/>
      <c r="BI63"/>
      <c r="BJ63"/>
      <c r="BK63"/>
      <c r="BL63" s="277">
        <v>60.456394195556641</v>
      </c>
      <c r="BM63" s="283">
        <v>42233</v>
      </c>
      <c r="BN63"/>
      <c r="BO63"/>
      <c r="BP63" s="277">
        <v>3.3442120552062988</v>
      </c>
      <c r="BQ63" s="283">
        <v>42233</v>
      </c>
      <c r="BR63" s="277">
        <v>46.756744384765625</v>
      </c>
      <c r="BS63" s="283">
        <v>42233</v>
      </c>
      <c r="BT63" s="277">
        <v>20.678133010864258</v>
      </c>
      <c r="BU63" s="283">
        <v>42233</v>
      </c>
      <c r="BV63" s="277">
        <v>74.614509582519531</v>
      </c>
      <c r="BW63" s="283">
        <v>42233</v>
      </c>
      <c r="BX63" s="277">
        <v>5.551727294921875</v>
      </c>
      <c r="BY63" s="283">
        <v>42233</v>
      </c>
      <c r="BZ63"/>
      <c r="CB63" s="266">
        <v>1.66</v>
      </c>
      <c r="CC63"/>
      <c r="CD63" s="277">
        <v>5.1724137931034457</v>
      </c>
      <c r="CE63" s="291" t="s">
        <v>8402</v>
      </c>
      <c r="CF63"/>
      <c r="CG63"/>
      <c r="CH63">
        <v>2</v>
      </c>
      <c r="CI63">
        <v>2</v>
      </c>
      <c r="CK63"/>
      <c r="CL63" s="223">
        <v>1</v>
      </c>
      <c r="CM63" s="259">
        <v>42161</v>
      </c>
      <c r="CN63" s="137" t="s">
        <v>8406</v>
      </c>
    </row>
    <row r="64" spans="1:94">
      <c r="A64" s="258">
        <v>113</v>
      </c>
      <c r="B64" s="235">
        <v>113</v>
      </c>
      <c r="C64" s="235" t="s">
        <v>7712</v>
      </c>
      <c r="D64" s="235" t="s">
        <v>259</v>
      </c>
      <c r="E64" s="235" t="s">
        <v>7712</v>
      </c>
      <c r="F64" s="235" t="s">
        <v>8510</v>
      </c>
      <c r="G64" s="235" t="str">
        <f t="shared" si="29"/>
        <v>Rapsodyn</v>
      </c>
      <c r="H64" s="235" t="s">
        <v>265</v>
      </c>
      <c r="I64" s="235">
        <v>1</v>
      </c>
      <c r="J64" s="235">
        <v>9094</v>
      </c>
      <c r="K64" s="235">
        <v>34</v>
      </c>
      <c r="L64" s="235">
        <f t="shared" si="21"/>
        <v>34</v>
      </c>
      <c r="M64" s="235">
        <v>2</v>
      </c>
      <c r="N64" s="235">
        <v>7</v>
      </c>
      <c r="O64" s="248">
        <v>42048</v>
      </c>
      <c r="P64">
        <v>5.05</v>
      </c>
      <c r="Q64" s="264">
        <v>42204</v>
      </c>
      <c r="R64"/>
      <c r="S64"/>
      <c r="T64"/>
      <c r="V64" s="219">
        <f t="shared" si="36"/>
        <v>16.023316716742492</v>
      </c>
      <c r="W64" s="219"/>
      <c r="X64">
        <v>15.55</v>
      </c>
      <c r="Y64"/>
      <c r="Z64"/>
      <c r="AA64"/>
      <c r="AB64" s="220">
        <f t="shared" si="37"/>
        <v>4.8291068314722629</v>
      </c>
      <c r="AC64" s="219"/>
      <c r="AD64" s="221">
        <f t="shared" si="38"/>
        <v>69386.977690363346</v>
      </c>
      <c r="AE64" s="219"/>
      <c r="AF64" s="220">
        <f t="shared" si="39"/>
        <v>30.669044139140599</v>
      </c>
      <c r="AG64" s="219"/>
      <c r="AH64" s="220">
        <f t="shared" si="40"/>
        <v>34.390047251783578</v>
      </c>
      <c r="AI64" s="219"/>
      <c r="AJ64">
        <v>4.42</v>
      </c>
      <c r="AK64" s="284" t="s">
        <v>8401</v>
      </c>
      <c r="AL64">
        <v>145</v>
      </c>
      <c r="AM64"/>
      <c r="AN64" s="241">
        <v>63</v>
      </c>
      <c r="AO64" s="242">
        <v>42067</v>
      </c>
      <c r="AP64" s="255">
        <v>97</v>
      </c>
      <c r="AQ64" s="242">
        <v>42101</v>
      </c>
      <c r="AR64">
        <v>123</v>
      </c>
      <c r="AS64" s="297">
        <f t="shared" si="35"/>
        <v>123</v>
      </c>
      <c r="AT64" s="290">
        <v>42127</v>
      </c>
      <c r="AU64" s="298"/>
      <c r="AV64"/>
      <c r="AW64"/>
      <c r="AX64"/>
      <c r="AY64"/>
      <c r="AZ64"/>
      <c r="BA64"/>
      <c r="BB64"/>
      <c r="BC64"/>
      <c r="BD64"/>
      <c r="BE64"/>
      <c r="BF64" s="277">
        <v>-1.4602240324020386</v>
      </c>
      <c r="BG64" s="283">
        <v>42230</v>
      </c>
      <c r="BH64"/>
      <c r="BI64"/>
      <c r="BJ64"/>
      <c r="BK64"/>
      <c r="BL64" s="277">
        <v>65.438255310058594</v>
      </c>
      <c r="BM64" s="283">
        <v>42230</v>
      </c>
      <c r="BN64"/>
      <c r="BO64"/>
      <c r="BP64" s="277">
        <v>3.9634079933166504</v>
      </c>
      <c r="BQ64" s="283">
        <v>42230</v>
      </c>
      <c r="BR64" s="277">
        <v>52.245895385742188</v>
      </c>
      <c r="BS64" s="283">
        <v>42230</v>
      </c>
      <c r="BT64" s="277">
        <v>15.745866775512695</v>
      </c>
      <c r="BU64" s="283">
        <v>42230</v>
      </c>
      <c r="BV64" s="277">
        <v>11.674142837524414</v>
      </c>
      <c r="BW64" s="283">
        <v>42230</v>
      </c>
      <c r="BX64" s="277">
        <v>4.8827133178710937</v>
      </c>
      <c r="BY64" s="283">
        <v>42230</v>
      </c>
      <c r="BZ64"/>
      <c r="CB64" s="266">
        <v>2.4700000000000002</v>
      </c>
      <c r="CC64"/>
      <c r="CD64" s="277">
        <v>3.6363636363636398</v>
      </c>
      <c r="CE64" s="291" t="s">
        <v>8401</v>
      </c>
      <c r="CF64"/>
      <c r="CG64"/>
      <c r="CH64">
        <v>1</v>
      </c>
      <c r="CI64">
        <v>2</v>
      </c>
      <c r="CK64"/>
      <c r="CL64" s="223">
        <v>1</v>
      </c>
      <c r="CM64" s="259">
        <v>42161</v>
      </c>
      <c r="CN64" s="137" t="s">
        <v>8406</v>
      </c>
    </row>
    <row r="65" spans="1:92">
      <c r="A65" s="258">
        <v>114</v>
      </c>
      <c r="B65" s="235">
        <v>114</v>
      </c>
      <c r="C65" s="235" t="s">
        <v>7760</v>
      </c>
      <c r="D65" s="235" t="s">
        <v>7837</v>
      </c>
      <c r="E65" s="235" t="s">
        <v>7760</v>
      </c>
      <c r="F65" s="235" t="s">
        <v>8542</v>
      </c>
      <c r="G65" s="235" t="str">
        <f t="shared" si="29"/>
        <v>Rapsodyn</v>
      </c>
      <c r="H65" s="235" t="s">
        <v>265</v>
      </c>
      <c r="I65" s="235">
        <v>1</v>
      </c>
      <c r="J65" s="235">
        <v>9131</v>
      </c>
      <c r="K65" s="235">
        <v>33</v>
      </c>
      <c r="L65" s="235">
        <f t="shared" si="21"/>
        <v>33</v>
      </c>
      <c r="M65" s="235">
        <v>2</v>
      </c>
      <c r="N65" s="235">
        <v>5</v>
      </c>
      <c r="O65" s="248">
        <v>42048</v>
      </c>
      <c r="P65" s="223">
        <v>6.25</v>
      </c>
      <c r="Q65" s="264">
        <v>42204</v>
      </c>
      <c r="R65" s="223"/>
      <c r="S65" s="223"/>
      <c r="T65" s="223"/>
      <c r="U65" s="225"/>
      <c r="V65" s="219">
        <f t="shared" si="36"/>
        <v>19.016720479359162</v>
      </c>
      <c r="W65" s="224"/>
      <c r="X65">
        <v>15.55</v>
      </c>
      <c r="Y65" s="223"/>
      <c r="Z65" s="223"/>
      <c r="AA65" s="223"/>
      <c r="AB65" s="220">
        <f t="shared" si="37"/>
        <v>5.411902899632012</v>
      </c>
      <c r="AC65" s="224"/>
      <c r="AD65" s="221">
        <f t="shared" si="38"/>
        <v>87010.684420306672</v>
      </c>
      <c r="AE65" s="224"/>
      <c r="AF65" s="220">
        <f t="shared" si="39"/>
        <v>37.240572931891258</v>
      </c>
      <c r="AG65" s="224"/>
      <c r="AH65" s="220">
        <f t="shared" si="40"/>
        <v>41.758884202614112</v>
      </c>
      <c r="AI65" s="224"/>
      <c r="AJ65">
        <v>4.28</v>
      </c>
      <c r="AK65" s="290" t="s">
        <v>8401</v>
      </c>
      <c r="AL65" s="223">
        <v>150</v>
      </c>
      <c r="AM65" s="223"/>
      <c r="AN65" s="241">
        <v>70</v>
      </c>
      <c r="AO65" s="242">
        <v>42074</v>
      </c>
      <c r="AP65" s="255">
        <v>104</v>
      </c>
      <c r="AQ65" s="242">
        <v>42108</v>
      </c>
      <c r="AR65" s="223">
        <v>132</v>
      </c>
      <c r="AS65" s="297">
        <f t="shared" si="35"/>
        <v>132</v>
      </c>
      <c r="AT65" s="290">
        <v>42136</v>
      </c>
      <c r="AU65" s="298"/>
      <c r="AV65" s="223"/>
      <c r="AW65" s="223"/>
      <c r="AX65" s="223"/>
      <c r="AY65" s="223"/>
      <c r="AZ65" s="223"/>
      <c r="BA65" s="223"/>
      <c r="BB65" s="223"/>
      <c r="BC65" s="223"/>
      <c r="BD65" s="223"/>
      <c r="BE65" s="223"/>
      <c r="BF65" s="281">
        <v>-4.7157778739929199</v>
      </c>
      <c r="BG65" s="283">
        <v>42230</v>
      </c>
      <c r="BH65" s="223"/>
      <c r="BI65" s="223"/>
      <c r="BJ65" s="223"/>
      <c r="BK65" s="223"/>
      <c r="BL65" s="281">
        <v>69.14892578125</v>
      </c>
      <c r="BM65" s="283">
        <v>42230</v>
      </c>
      <c r="BN65" s="223"/>
      <c r="BO65" s="223"/>
      <c r="BP65" s="281">
        <v>2.590919017791748</v>
      </c>
      <c r="BQ65" s="283">
        <v>42230</v>
      </c>
      <c r="BR65" s="281">
        <v>51.064521789550781</v>
      </c>
      <c r="BS65" s="283">
        <v>42230</v>
      </c>
      <c r="BT65" s="281">
        <v>14.532276153564453</v>
      </c>
      <c r="BU65" s="283">
        <v>42230</v>
      </c>
      <c r="BV65" s="281">
        <v>15.291816711425781</v>
      </c>
      <c r="BW65" s="283">
        <v>42230</v>
      </c>
      <c r="BX65" s="281">
        <v>5.1007766723632812</v>
      </c>
      <c r="BY65" s="283">
        <v>42230</v>
      </c>
      <c r="BZ65" s="223"/>
      <c r="CA65" s="226"/>
      <c r="CB65" s="266">
        <v>2.76</v>
      </c>
      <c r="CC65" s="223"/>
      <c r="CD65" s="281">
        <v>5.4545454545454515</v>
      </c>
      <c r="CE65" s="291" t="s">
        <v>8401</v>
      </c>
      <c r="CF65" s="223"/>
      <c r="CG65" s="223"/>
      <c r="CH65" s="223">
        <v>2</v>
      </c>
      <c r="CI65" s="223">
        <v>4</v>
      </c>
      <c r="CK65" s="223"/>
      <c r="CL65" s="223">
        <v>1</v>
      </c>
      <c r="CM65" s="259">
        <v>42161</v>
      </c>
      <c r="CN65" s="137" t="s">
        <v>8406</v>
      </c>
    </row>
    <row r="66" spans="1:92">
      <c r="A66" s="258">
        <v>115</v>
      </c>
      <c r="B66" s="235">
        <v>115</v>
      </c>
      <c r="C66" s="235" t="s">
        <v>7658</v>
      </c>
      <c r="D66" s="235" t="s">
        <v>7488</v>
      </c>
      <c r="E66" s="235" t="s">
        <v>7658</v>
      </c>
      <c r="F66" s="235" t="s">
        <v>8566</v>
      </c>
      <c r="G66" s="235" t="str">
        <f t="shared" si="29"/>
        <v>Rapsodyn</v>
      </c>
      <c r="H66" s="235" t="s">
        <v>265</v>
      </c>
      <c r="I66" s="235">
        <v>1</v>
      </c>
      <c r="J66" s="235">
        <v>9041</v>
      </c>
      <c r="K66" s="235">
        <v>32</v>
      </c>
      <c r="L66" s="235">
        <f t="shared" si="21"/>
        <v>32</v>
      </c>
      <c r="M66" s="235">
        <v>2</v>
      </c>
      <c r="N66" s="236">
        <v>5</v>
      </c>
      <c r="O66" s="248">
        <v>42048</v>
      </c>
      <c r="P66">
        <v>5.5</v>
      </c>
      <c r="Q66" s="264">
        <v>42204</v>
      </c>
      <c r="R66"/>
      <c r="S66"/>
      <c r="T66"/>
      <c r="V66" s="219">
        <f t="shared" si="36"/>
        <v>15.768418880867834</v>
      </c>
      <c r="W66" s="219"/>
      <c r="X66">
        <v>15.55</v>
      </c>
      <c r="Y66"/>
      <c r="Z66"/>
      <c r="AA66"/>
      <c r="AB66" s="220">
        <f t="shared" si="37"/>
        <v>4.9724054378854836</v>
      </c>
      <c r="AC66" s="219"/>
      <c r="AD66" s="221">
        <f t="shared" si="38"/>
        <v>75535.451523243755</v>
      </c>
      <c r="AE66" s="219"/>
      <c r="AF66" s="220">
        <f t="shared" si="39"/>
        <v>31.724889639762381</v>
      </c>
      <c r="AG66" s="219"/>
      <c r="AH66" s="220">
        <f t="shared" si="40"/>
        <v>35.573996007807118</v>
      </c>
      <c r="AI66" s="219"/>
      <c r="AJ66">
        <v>4.2</v>
      </c>
      <c r="AK66" s="284" t="s">
        <v>8401</v>
      </c>
      <c r="AL66">
        <v>160</v>
      </c>
      <c r="AM66"/>
      <c r="AN66" s="241">
        <v>72</v>
      </c>
      <c r="AO66" s="242">
        <v>42076</v>
      </c>
      <c r="AP66" s="255">
        <v>106</v>
      </c>
      <c r="AQ66" s="242">
        <v>42110</v>
      </c>
      <c r="AR66">
        <v>130</v>
      </c>
      <c r="AS66" s="297">
        <f t="shared" si="35"/>
        <v>130</v>
      </c>
      <c r="AT66" s="290">
        <v>42134</v>
      </c>
      <c r="AU66" s="298"/>
      <c r="AV66"/>
      <c r="AW66"/>
      <c r="AX66"/>
      <c r="AY66"/>
      <c r="AZ66"/>
      <c r="BA66"/>
      <c r="BB66"/>
      <c r="BC66"/>
      <c r="BD66"/>
      <c r="BE66"/>
      <c r="BF66" s="277">
        <v>-4.5965000987052917E-2</v>
      </c>
      <c r="BG66" s="283">
        <v>42233</v>
      </c>
      <c r="BH66"/>
      <c r="BI66"/>
      <c r="BJ66"/>
      <c r="BK66"/>
      <c r="BL66" s="277">
        <v>67.211524963378906</v>
      </c>
      <c r="BM66" s="283">
        <v>42233</v>
      </c>
      <c r="BN66"/>
      <c r="BO66"/>
      <c r="BP66" s="277">
        <v>4.4565348625183105</v>
      </c>
      <c r="BQ66" s="283">
        <v>42233</v>
      </c>
      <c r="BR66" s="277">
        <v>49.703620910644531</v>
      </c>
      <c r="BS66" s="283">
        <v>42233</v>
      </c>
      <c r="BT66" s="277">
        <v>15.673515319824219</v>
      </c>
      <c r="BU66" s="283">
        <v>42233</v>
      </c>
      <c r="BV66" s="277">
        <v>12.794032096862793</v>
      </c>
      <c r="BW66" s="283">
        <v>42233</v>
      </c>
      <c r="BX66" s="277">
        <v>5.2787094116210938</v>
      </c>
      <c r="BY66" s="283">
        <v>42233</v>
      </c>
      <c r="BZ66"/>
      <c r="CB66" s="266">
        <v>1.97</v>
      </c>
      <c r="CC66"/>
      <c r="CD66" s="277">
        <v>8.4745762711864394</v>
      </c>
      <c r="CE66" s="291" t="s">
        <v>8401</v>
      </c>
      <c r="CF66"/>
      <c r="CG66"/>
      <c r="CH66">
        <v>1</v>
      </c>
      <c r="CI66">
        <v>3</v>
      </c>
      <c r="CK66"/>
      <c r="CL66" s="223">
        <v>1</v>
      </c>
      <c r="CM66" s="259">
        <v>42161</v>
      </c>
      <c r="CN66" s="137" t="s">
        <v>8406</v>
      </c>
    </row>
    <row r="67" spans="1:92">
      <c r="A67" s="258">
        <v>116</v>
      </c>
      <c r="B67" s="235">
        <v>116</v>
      </c>
      <c r="C67" s="235" t="s">
        <v>7709</v>
      </c>
      <c r="D67" s="235" t="s">
        <v>7820</v>
      </c>
      <c r="E67" s="235" t="s">
        <v>7709</v>
      </c>
      <c r="F67" s="235" t="s">
        <v>8619</v>
      </c>
      <c r="G67" s="235" t="str">
        <f t="shared" si="29"/>
        <v>Rapsodyn</v>
      </c>
      <c r="H67" s="235" t="s">
        <v>265</v>
      </c>
      <c r="I67" s="235">
        <v>1</v>
      </c>
      <c r="J67" s="235">
        <v>9091</v>
      </c>
      <c r="K67" s="235">
        <v>31</v>
      </c>
      <c r="L67" s="235">
        <f t="shared" si="21"/>
        <v>31</v>
      </c>
      <c r="M67" s="235">
        <v>2</v>
      </c>
      <c r="N67" s="235">
        <v>7</v>
      </c>
      <c r="O67" s="248">
        <v>42048</v>
      </c>
      <c r="P67">
        <v>3.75</v>
      </c>
      <c r="Q67" s="264">
        <v>42204</v>
      </c>
      <c r="R67"/>
      <c r="S67"/>
      <c r="T67"/>
      <c r="V67" s="219">
        <f t="shared" si="36"/>
        <v>10.560400010381862</v>
      </c>
      <c r="W67" s="219"/>
      <c r="X67">
        <v>15.55</v>
      </c>
      <c r="Y67"/>
      <c r="Z67"/>
      <c r="AA67"/>
      <c r="AB67" s="220">
        <f t="shared" si="37"/>
        <v>3.615869999238531</v>
      </c>
      <c r="AC67" s="219"/>
      <c r="AD67" s="221">
        <f t="shared" si="38"/>
        <v>54870.342819663732</v>
      </c>
      <c r="AE67" s="219"/>
      <c r="AF67" s="220">
        <f t="shared" si="39"/>
        <v>22.057877813504817</v>
      </c>
      <c r="AG67" s="219"/>
      <c r="AH67" s="220">
        <f t="shared" si="40"/>
        <v>24.734108335394506</v>
      </c>
      <c r="AI67" s="219"/>
      <c r="AJ67">
        <v>4.0199999999999996</v>
      </c>
      <c r="AK67" s="284" t="s">
        <v>8401</v>
      </c>
      <c r="AL67">
        <v>155</v>
      </c>
      <c r="AM67"/>
      <c r="AN67" s="241">
        <v>65</v>
      </c>
      <c r="AO67" s="242">
        <v>42069</v>
      </c>
      <c r="AP67" s="255">
        <v>104</v>
      </c>
      <c r="AQ67" s="242">
        <v>42108</v>
      </c>
      <c r="AR67">
        <v>131</v>
      </c>
      <c r="AS67" s="297">
        <f t="shared" si="35"/>
        <v>131</v>
      </c>
      <c r="AT67" s="290">
        <v>42135</v>
      </c>
      <c r="AU67" s="298"/>
      <c r="AV67"/>
      <c r="AW67"/>
      <c r="AX67"/>
      <c r="AY67"/>
      <c r="AZ67"/>
      <c r="BA67"/>
      <c r="BB67"/>
      <c r="BC67"/>
      <c r="BD67"/>
      <c r="BE67"/>
      <c r="BF67" s="277">
        <v>-3.5264110565185547</v>
      </c>
      <c r="BG67" s="283">
        <v>42233</v>
      </c>
      <c r="BH67"/>
      <c r="BI67"/>
      <c r="BJ67"/>
      <c r="BK67"/>
      <c r="BL67" s="277">
        <v>62.331501007080078</v>
      </c>
      <c r="BM67" s="283">
        <v>42233</v>
      </c>
      <c r="BN67"/>
      <c r="BO67"/>
      <c r="BP67" s="277">
        <v>4.3141469955444336</v>
      </c>
      <c r="BQ67" s="283">
        <v>42233</v>
      </c>
      <c r="BR67" s="277">
        <v>47.875865936279297</v>
      </c>
      <c r="BS67" s="283">
        <v>42233</v>
      </c>
      <c r="BT67" s="277">
        <v>16.392646789550781</v>
      </c>
      <c r="BU67" s="283">
        <v>42233</v>
      </c>
      <c r="BV67" s="277">
        <v>18.156511306762695</v>
      </c>
      <c r="BW67" s="283">
        <v>42233</v>
      </c>
      <c r="BX67" s="277">
        <v>5.4034347534179687</v>
      </c>
      <c r="BY67" s="283">
        <v>42233</v>
      </c>
      <c r="BZ67"/>
      <c r="CB67" s="266">
        <v>1.48</v>
      </c>
      <c r="CC67"/>
      <c r="CD67" s="277">
        <v>6.6666666666666723</v>
      </c>
      <c r="CE67" s="291" t="s">
        <v>8401</v>
      </c>
      <c r="CF67"/>
      <c r="CG67"/>
      <c r="CH67">
        <v>1</v>
      </c>
      <c r="CI67">
        <v>4</v>
      </c>
      <c r="CK67"/>
      <c r="CL67" s="223">
        <v>1</v>
      </c>
      <c r="CM67" s="259">
        <v>42161</v>
      </c>
      <c r="CN67" s="137" t="s">
        <v>8406</v>
      </c>
    </row>
    <row r="68" spans="1:92">
      <c r="A68" s="258">
        <v>119</v>
      </c>
      <c r="B68" s="235">
        <v>119</v>
      </c>
      <c r="C68" s="235" t="s">
        <v>7576</v>
      </c>
      <c r="D68" s="235"/>
      <c r="E68" s="235"/>
      <c r="F68" s="235"/>
      <c r="G68" s="235"/>
      <c r="H68" s="235" t="s">
        <v>265</v>
      </c>
      <c r="I68" s="235">
        <v>1</v>
      </c>
      <c r="K68" s="235">
        <v>28</v>
      </c>
      <c r="L68" s="235">
        <f t="shared" si="21"/>
        <v>28</v>
      </c>
      <c r="M68" s="235">
        <v>2</v>
      </c>
      <c r="O68" s="248">
        <v>42048</v>
      </c>
      <c r="P68"/>
      <c r="Q68" s="219"/>
      <c r="R68"/>
      <c r="S68"/>
      <c r="T68"/>
      <c r="V68" s="219"/>
      <c r="W68" s="219"/>
      <c r="X68">
        <v>15.55</v>
      </c>
      <c r="Y68"/>
      <c r="Z68"/>
      <c r="AA68"/>
      <c r="AB68" s="220"/>
      <c r="AC68" s="219"/>
      <c r="AD68" s="221"/>
      <c r="AE68" s="219"/>
      <c r="AF68" s="220"/>
      <c r="AG68" s="219"/>
      <c r="AH68" s="220"/>
      <c r="AI68" s="219"/>
      <c r="AJ68" s="286"/>
      <c r="AK68" s="284"/>
      <c r="AL68"/>
      <c r="AM68"/>
      <c r="AN68" s="241">
        <v>70</v>
      </c>
      <c r="AO68" s="242">
        <v>42074</v>
      </c>
      <c r="AP68" s="255">
        <v>104</v>
      </c>
      <c r="AQ68" s="242">
        <v>42108</v>
      </c>
      <c r="AR68"/>
      <c r="AS68" s="297"/>
      <c r="AT68" s="290"/>
      <c r="AU68" s="298"/>
      <c r="AV68"/>
      <c r="AW68"/>
      <c r="AX68"/>
      <c r="AY68"/>
      <c r="AZ68"/>
      <c r="BA68"/>
      <c r="BB68"/>
      <c r="BC68"/>
      <c r="BD68"/>
      <c r="BE68"/>
      <c r="BF68" s="277"/>
      <c r="BG68" s="235"/>
      <c r="BH68"/>
      <c r="BI68"/>
      <c r="BJ68"/>
      <c r="BK68"/>
      <c r="BL68" s="277"/>
      <c r="BM68" s="235"/>
      <c r="BN68"/>
      <c r="BO68"/>
      <c r="BP68" s="277"/>
      <c r="BQ68" s="235"/>
      <c r="BR68" s="277"/>
      <c r="BS68" s="235"/>
      <c r="BT68" s="277"/>
      <c r="BU68" s="235"/>
      <c r="BV68" s="277"/>
      <c r="BW68" s="235"/>
      <c r="BX68" s="277"/>
      <c r="BY68" s="235"/>
      <c r="BZ68"/>
      <c r="CB68" s="266"/>
      <c r="CC68"/>
      <c r="CD68" s="277"/>
      <c r="CE68" s="291"/>
      <c r="CF68"/>
      <c r="CG68"/>
      <c r="CH68"/>
      <c r="CI68"/>
      <c r="CK68"/>
      <c r="CL68" s="223">
        <v>1</v>
      </c>
      <c r="CM68" s="259">
        <v>42161</v>
      </c>
    </row>
    <row r="69" spans="1:92">
      <c r="A69" s="258">
        <v>120</v>
      </c>
      <c r="B69" s="235">
        <v>120</v>
      </c>
      <c r="C69" s="235" t="s">
        <v>7576</v>
      </c>
      <c r="D69" s="235"/>
      <c r="E69" s="235"/>
      <c r="F69" s="235"/>
      <c r="G69" s="235"/>
      <c r="H69" s="235" t="s">
        <v>265</v>
      </c>
      <c r="I69" s="235">
        <v>1</v>
      </c>
      <c r="K69" s="235">
        <v>27</v>
      </c>
      <c r="L69" s="235">
        <f t="shared" si="21"/>
        <v>27</v>
      </c>
      <c r="M69" s="235">
        <v>2</v>
      </c>
      <c r="O69" s="248">
        <v>42048</v>
      </c>
      <c r="P69"/>
      <c r="Q69" s="219"/>
      <c r="R69"/>
      <c r="S69"/>
      <c r="T69"/>
      <c r="V69" s="219"/>
      <c r="W69" s="219"/>
      <c r="X69">
        <v>15.55</v>
      </c>
      <c r="Y69"/>
      <c r="Z69"/>
      <c r="AA69"/>
      <c r="AB69" s="220"/>
      <c r="AC69" s="219"/>
      <c r="AD69" s="221"/>
      <c r="AE69" s="219"/>
      <c r="AF69" s="220"/>
      <c r="AG69" s="219"/>
      <c r="AH69" s="220"/>
      <c r="AI69" s="219"/>
      <c r="AJ69" s="286"/>
      <c r="AK69" s="284"/>
      <c r="AL69"/>
      <c r="AM69"/>
      <c r="AN69" s="241">
        <v>70</v>
      </c>
      <c r="AO69" s="242">
        <v>42074</v>
      </c>
      <c r="AP69" s="255">
        <v>104</v>
      </c>
      <c r="AQ69" s="242">
        <v>42108</v>
      </c>
      <c r="AR69"/>
      <c r="AS69" s="297"/>
      <c r="AT69" s="290"/>
      <c r="AU69" s="298"/>
      <c r="AV69"/>
      <c r="AW69"/>
      <c r="AX69"/>
      <c r="AY69"/>
      <c r="AZ69"/>
      <c r="BA69"/>
      <c r="BB69"/>
      <c r="BC69"/>
      <c r="BD69"/>
      <c r="BE69"/>
      <c r="BF69" s="277"/>
      <c r="BG69" s="235"/>
      <c r="BH69"/>
      <c r="BI69"/>
      <c r="BJ69"/>
      <c r="BK69"/>
      <c r="BL69" s="277"/>
      <c r="BM69" s="235"/>
      <c r="BN69"/>
      <c r="BO69"/>
      <c r="BP69" s="277"/>
      <c r="BQ69" s="235"/>
      <c r="BR69" s="277"/>
      <c r="BS69" s="235"/>
      <c r="BT69" s="277"/>
      <c r="BU69" s="235"/>
      <c r="BV69" s="277"/>
      <c r="BW69" s="235"/>
      <c r="BX69" s="277"/>
      <c r="BY69" s="235"/>
      <c r="BZ69"/>
      <c r="CB69" s="266"/>
      <c r="CC69"/>
      <c r="CD69" s="277"/>
      <c r="CE69" s="291"/>
      <c r="CF69"/>
      <c r="CG69"/>
      <c r="CH69"/>
      <c r="CI69"/>
      <c r="CK69"/>
      <c r="CL69" s="223">
        <v>1</v>
      </c>
      <c r="CM69" s="259">
        <v>42161</v>
      </c>
    </row>
    <row r="70" spans="1:92">
      <c r="A70" s="258">
        <v>121</v>
      </c>
      <c r="B70" s="235">
        <v>121</v>
      </c>
      <c r="C70" s="235" t="s">
        <v>7743</v>
      </c>
      <c r="D70" s="235" t="s">
        <v>8417</v>
      </c>
      <c r="E70" s="235" t="s">
        <v>7743</v>
      </c>
      <c r="F70" s="235" t="s">
        <v>8535</v>
      </c>
      <c r="G70" s="235" t="str">
        <f t="shared" ref="G70:G81" si="41">IF(MID(C70,1,3)="BGA","Complement","Rapsodyn")</f>
        <v>Rapsodyn</v>
      </c>
      <c r="H70" s="235" t="s">
        <v>265</v>
      </c>
      <c r="I70" s="235">
        <v>1</v>
      </c>
      <c r="J70" s="235">
        <v>9121</v>
      </c>
      <c r="K70" s="235">
        <v>26</v>
      </c>
      <c r="L70" s="235">
        <f t="shared" si="21"/>
        <v>26</v>
      </c>
      <c r="M70" s="235">
        <v>2</v>
      </c>
      <c r="N70" s="235">
        <v>7</v>
      </c>
      <c r="O70" s="248">
        <v>42048</v>
      </c>
      <c r="P70">
        <v>2.85</v>
      </c>
      <c r="Q70" s="264">
        <v>42204</v>
      </c>
      <c r="R70"/>
      <c r="S70"/>
      <c r="T70"/>
      <c r="V70" s="219">
        <f t="shared" ref="V70:V81" si="42">+BR70*AF70/100</f>
        <v>8.5296225192283632</v>
      </c>
      <c r="W70" s="219"/>
      <c r="X70">
        <v>15.55</v>
      </c>
      <c r="Y70"/>
      <c r="Z70"/>
      <c r="AA70"/>
      <c r="AB70" s="220">
        <f t="shared" ref="AB70:AB81" si="43">+AF70*BT70/100</f>
        <v>3.1240775730832211</v>
      </c>
      <c r="AC70" s="219"/>
      <c r="AD70" s="221">
        <f t="shared" ref="AD70:AD81" si="44">+(AF70/AJ70)*10000</f>
        <v>39914.255091103958</v>
      </c>
      <c r="AE70" s="219"/>
      <c r="AF70" s="220">
        <f t="shared" ref="AF70:AF81" si="45">($P70/$X70)*(((100-$CD70)/100*(100-2)/100))*100</f>
        <v>16.963558413719184</v>
      </c>
      <c r="AG70" s="219"/>
      <c r="AH70" s="220">
        <f t="shared" ref="AH70:AH81" si="46">($P70/$X70)*(((100-$CD70)/(100-9)*(100-2)/(100-2))*100)</f>
        <v>19.021707124601011</v>
      </c>
      <c r="AI70" s="219"/>
      <c r="AJ70">
        <v>4.25</v>
      </c>
      <c r="AK70" s="284" t="s">
        <v>8398</v>
      </c>
      <c r="AL70">
        <v>165</v>
      </c>
      <c r="AM70"/>
      <c r="AN70" s="241">
        <v>72</v>
      </c>
      <c r="AO70" s="242">
        <v>42076</v>
      </c>
      <c r="AP70" s="255">
        <v>110</v>
      </c>
      <c r="AQ70" s="242">
        <v>42114</v>
      </c>
      <c r="AR70">
        <v>133</v>
      </c>
      <c r="AS70" s="297">
        <f t="shared" ref="AS70:AS81" si="47">IF(AR70=0,,AR70)</f>
        <v>133</v>
      </c>
      <c r="AT70" s="290">
        <v>42137</v>
      </c>
      <c r="AU70" s="298"/>
      <c r="AV70"/>
      <c r="AW70"/>
      <c r="AX70"/>
      <c r="AY70"/>
      <c r="AZ70"/>
      <c r="BA70"/>
      <c r="BB70"/>
      <c r="BC70"/>
      <c r="BD70"/>
      <c r="BE70"/>
      <c r="BF70" s="277">
        <v>35.054985046386719</v>
      </c>
      <c r="BG70" s="283">
        <v>42230</v>
      </c>
      <c r="BH70"/>
      <c r="BI70"/>
      <c r="BJ70"/>
      <c r="BK70"/>
      <c r="BL70" s="277">
        <v>60.153205871582031</v>
      </c>
      <c r="BM70" s="283">
        <v>42230</v>
      </c>
      <c r="BN70"/>
      <c r="BO70"/>
      <c r="BP70" s="277">
        <v>3.5399889945983887</v>
      </c>
      <c r="BQ70" s="283">
        <v>42230</v>
      </c>
      <c r="BR70" s="277">
        <v>50.282035827636719</v>
      </c>
      <c r="BS70" s="283">
        <v>42230</v>
      </c>
      <c r="BT70" s="277">
        <v>18.416404724121094</v>
      </c>
      <c r="BU70" s="283">
        <v>42230</v>
      </c>
      <c r="BV70" s="277">
        <v>65.887649536132812</v>
      </c>
      <c r="BW70" s="283">
        <v>42230</v>
      </c>
      <c r="BX70" s="277">
        <v>5.5494537353515625</v>
      </c>
      <c r="BY70" s="283">
        <v>42230</v>
      </c>
      <c r="BZ70"/>
      <c r="CB70" s="266">
        <v>1.39</v>
      </c>
      <c r="CC70"/>
      <c r="CD70" s="277">
        <v>5.5555555555555687</v>
      </c>
      <c r="CE70" s="291" t="s">
        <v>8398</v>
      </c>
      <c r="CF70"/>
      <c r="CG70"/>
      <c r="CH70">
        <v>4</v>
      </c>
      <c r="CI70">
        <v>3</v>
      </c>
      <c r="CK70"/>
      <c r="CL70" s="223">
        <v>4</v>
      </c>
      <c r="CM70" s="259">
        <v>42161</v>
      </c>
      <c r="CN70" s="137" t="s">
        <v>8406</v>
      </c>
    </row>
    <row r="71" spans="1:92">
      <c r="A71" s="258">
        <v>122</v>
      </c>
      <c r="B71" s="235">
        <v>122</v>
      </c>
      <c r="C71" s="235" t="s">
        <v>7763</v>
      </c>
      <c r="D71" s="235" t="s">
        <v>7840</v>
      </c>
      <c r="E71" s="235" t="s">
        <v>7763</v>
      </c>
      <c r="F71" s="235" t="s">
        <v>8453</v>
      </c>
      <c r="G71" s="235" t="str">
        <f t="shared" si="41"/>
        <v>Rapsodyn</v>
      </c>
      <c r="H71" s="235" t="s">
        <v>265</v>
      </c>
      <c r="I71" s="235">
        <v>1</v>
      </c>
      <c r="J71" s="235">
        <v>9134</v>
      </c>
      <c r="K71" s="235">
        <v>25</v>
      </c>
      <c r="L71" s="235">
        <f t="shared" si="21"/>
        <v>25</v>
      </c>
      <c r="M71" s="235">
        <v>2</v>
      </c>
      <c r="N71" s="235">
        <v>7</v>
      </c>
      <c r="O71" s="248">
        <v>42048</v>
      </c>
      <c r="P71" s="223">
        <v>7.1</v>
      </c>
      <c r="Q71" s="264">
        <v>42204</v>
      </c>
      <c r="R71" s="223"/>
      <c r="S71" s="223"/>
      <c r="T71" s="223"/>
      <c r="U71" s="225"/>
      <c r="V71" s="219">
        <f t="shared" si="42"/>
        <v>21.847209544159547</v>
      </c>
      <c r="W71" s="224"/>
      <c r="X71">
        <v>15.55</v>
      </c>
      <c r="Y71" s="223"/>
      <c r="Z71" s="223"/>
      <c r="AA71" s="223"/>
      <c r="AB71" s="220">
        <f t="shared" si="43"/>
        <v>6.396789167760927</v>
      </c>
      <c r="AC71" s="224"/>
      <c r="AD71" s="221">
        <f t="shared" si="44"/>
        <v>86502.437185654751</v>
      </c>
      <c r="AE71" s="224"/>
      <c r="AF71" s="220">
        <f t="shared" si="45"/>
        <v>42.21318934659952</v>
      </c>
      <c r="AG71" s="224"/>
      <c r="AH71" s="220">
        <f t="shared" si="46"/>
        <v>47.334816490916708</v>
      </c>
      <c r="AI71" s="224"/>
      <c r="AJ71">
        <v>4.88</v>
      </c>
      <c r="AK71" s="290" t="s">
        <v>8398</v>
      </c>
      <c r="AL71" s="223">
        <v>170</v>
      </c>
      <c r="AM71" s="223"/>
      <c r="AN71" s="241">
        <v>70</v>
      </c>
      <c r="AO71" s="242">
        <v>42074</v>
      </c>
      <c r="AP71" s="255">
        <v>104</v>
      </c>
      <c r="AQ71" s="242">
        <v>42108</v>
      </c>
      <c r="AR71" s="223">
        <v>127</v>
      </c>
      <c r="AS71" s="297">
        <f t="shared" si="47"/>
        <v>127</v>
      </c>
      <c r="AT71" s="290">
        <v>42131</v>
      </c>
      <c r="AU71" s="298"/>
      <c r="AV71" s="223"/>
      <c r="AW71" s="223"/>
      <c r="AX71" s="223"/>
      <c r="AY71" s="223"/>
      <c r="AZ71" s="223"/>
      <c r="BA71" s="223"/>
      <c r="BB71" s="223"/>
      <c r="BC71" s="223"/>
      <c r="BD71" s="223"/>
      <c r="BE71" s="223"/>
      <c r="BF71" s="281">
        <v>-7.4088940620422363</v>
      </c>
      <c r="BG71" s="283">
        <v>42230</v>
      </c>
      <c r="BH71" s="223"/>
      <c r="BI71" s="223"/>
      <c r="BJ71" s="223"/>
      <c r="BK71" s="223"/>
      <c r="BL71" s="281">
        <v>68.326881408691406</v>
      </c>
      <c r="BM71" s="283">
        <v>42230</v>
      </c>
      <c r="BN71" s="223"/>
      <c r="BO71" s="223"/>
      <c r="BP71" s="281">
        <v>3.5043530464172363</v>
      </c>
      <c r="BQ71" s="283">
        <v>42230</v>
      </c>
      <c r="BR71" s="281">
        <v>51.754463195800781</v>
      </c>
      <c r="BS71" s="283">
        <v>42230</v>
      </c>
      <c r="BT71" s="281">
        <v>15.153532028198242</v>
      </c>
      <c r="BU71" s="283">
        <v>42230</v>
      </c>
      <c r="BV71" s="281">
        <v>17.935701370239258</v>
      </c>
      <c r="BW71" s="283">
        <v>42230</v>
      </c>
      <c r="BX71" s="281">
        <v>5.7918930053710938</v>
      </c>
      <c r="BY71" s="283">
        <v>42230</v>
      </c>
      <c r="BZ71" s="223"/>
      <c r="CA71" s="226"/>
      <c r="CB71" s="266">
        <v>1.38</v>
      </c>
      <c r="CC71" s="223"/>
      <c r="CD71" s="281">
        <v>5.660377358490563</v>
      </c>
      <c r="CE71" s="291" t="s">
        <v>8398</v>
      </c>
      <c r="CF71" s="223"/>
      <c r="CG71" s="223"/>
      <c r="CH71" s="223">
        <v>1</v>
      </c>
      <c r="CI71" s="223">
        <v>2</v>
      </c>
      <c r="CK71" s="223"/>
      <c r="CL71" s="223">
        <v>2</v>
      </c>
      <c r="CM71" s="259">
        <v>42161</v>
      </c>
      <c r="CN71" s="137" t="s">
        <v>8406</v>
      </c>
    </row>
    <row r="72" spans="1:92">
      <c r="A72" s="258">
        <v>126</v>
      </c>
      <c r="B72" s="235">
        <v>126</v>
      </c>
      <c r="C72" s="235" t="s">
        <v>7609</v>
      </c>
      <c r="D72" s="235" t="s">
        <v>7448</v>
      </c>
      <c r="E72" s="235" t="s">
        <v>7609</v>
      </c>
      <c r="F72" s="235" t="s">
        <v>8513</v>
      </c>
      <c r="G72" s="235" t="str">
        <f t="shared" si="41"/>
        <v>Rapsodyn</v>
      </c>
      <c r="H72" s="235" t="s">
        <v>265</v>
      </c>
      <c r="I72" s="235">
        <v>1</v>
      </c>
      <c r="J72" s="235">
        <v>9004</v>
      </c>
      <c r="K72" s="235">
        <v>21</v>
      </c>
      <c r="L72" s="235">
        <f t="shared" si="21"/>
        <v>21</v>
      </c>
      <c r="M72" s="235">
        <v>2</v>
      </c>
      <c r="N72" s="235">
        <v>9</v>
      </c>
      <c r="O72" s="248">
        <v>42048</v>
      </c>
      <c r="P72" s="223">
        <v>2.5</v>
      </c>
      <c r="Q72" s="264">
        <v>42204</v>
      </c>
      <c r="R72" s="223"/>
      <c r="S72" s="223"/>
      <c r="T72" s="223"/>
      <c r="U72" s="225"/>
      <c r="V72" s="219">
        <f t="shared" si="42"/>
        <v>7.4203074660715185</v>
      </c>
      <c r="W72" s="224"/>
      <c r="X72">
        <v>15.55</v>
      </c>
      <c r="Y72" s="223"/>
      <c r="Z72" s="223"/>
      <c r="AA72" s="223"/>
      <c r="AB72" s="220">
        <f t="shared" si="43"/>
        <v>3.1125665163814955</v>
      </c>
      <c r="AC72" s="224"/>
      <c r="AD72" s="221">
        <f t="shared" si="44"/>
        <v>31274.002962336941</v>
      </c>
      <c r="AE72" s="224"/>
      <c r="AF72" s="220">
        <f t="shared" si="45"/>
        <v>15.230439442658092</v>
      </c>
      <c r="AG72" s="224"/>
      <c r="AH72" s="220">
        <f t="shared" si="46"/>
        <v>17.078312898248591</v>
      </c>
      <c r="AI72" s="224"/>
      <c r="AJ72">
        <v>4.87</v>
      </c>
      <c r="AK72" s="290" t="s">
        <v>8398</v>
      </c>
      <c r="AL72" s="223">
        <v>160</v>
      </c>
      <c r="AM72" s="223"/>
      <c r="AN72" s="241">
        <v>70</v>
      </c>
      <c r="AO72" s="242">
        <v>42074</v>
      </c>
      <c r="AP72" s="255">
        <v>106</v>
      </c>
      <c r="AQ72" s="242">
        <v>42110</v>
      </c>
      <c r="AR72" s="223">
        <v>146</v>
      </c>
      <c r="AS72" s="297">
        <f t="shared" si="47"/>
        <v>146</v>
      </c>
      <c r="AT72" s="290">
        <v>42150</v>
      </c>
      <c r="AU72" s="298"/>
      <c r="AV72" s="223"/>
      <c r="AW72" s="223"/>
      <c r="AX72" s="223"/>
      <c r="AY72" s="223"/>
      <c r="AZ72" s="223"/>
      <c r="BA72" s="223"/>
      <c r="BB72" s="223"/>
      <c r="BC72" s="223"/>
      <c r="BD72" s="223"/>
      <c r="BE72" s="223"/>
      <c r="BF72" s="281">
        <v>33.501514434814453</v>
      </c>
      <c r="BG72" s="283">
        <v>42234</v>
      </c>
      <c r="BH72" s="223"/>
      <c r="BI72" s="223"/>
      <c r="BJ72" s="223"/>
      <c r="BK72" s="223"/>
      <c r="BL72" s="281">
        <v>60.359287261962891</v>
      </c>
      <c r="BM72" s="283">
        <v>42234</v>
      </c>
      <c r="BN72" s="223"/>
      <c r="BO72" s="223"/>
      <c r="BP72" s="281">
        <v>2.6881630420684814</v>
      </c>
      <c r="BQ72" s="283">
        <v>42234</v>
      </c>
      <c r="BR72" s="281">
        <v>48.720245361328125</v>
      </c>
      <c r="BS72" s="283">
        <v>42234</v>
      </c>
      <c r="BT72" s="281">
        <v>20.436485290527344</v>
      </c>
      <c r="BU72" s="283">
        <v>42234</v>
      </c>
      <c r="BV72" s="281">
        <v>64.576705932617188</v>
      </c>
      <c r="BW72" s="283">
        <v>42234</v>
      </c>
      <c r="BX72" s="281">
        <v>5.3847427368164062</v>
      </c>
      <c r="BY72" s="283">
        <v>42234</v>
      </c>
      <c r="BZ72" s="223"/>
      <c r="CA72" s="226"/>
      <c r="CB72" s="266">
        <v>1.3</v>
      </c>
      <c r="CC72" s="223"/>
      <c r="CD72" s="281">
        <v>3.3333333333333361</v>
      </c>
      <c r="CE72" s="291" t="s">
        <v>8398</v>
      </c>
      <c r="CF72" s="223"/>
      <c r="CG72" s="223"/>
      <c r="CH72" s="223">
        <v>5</v>
      </c>
      <c r="CI72" s="223">
        <v>2</v>
      </c>
      <c r="CK72" s="223"/>
      <c r="CL72" s="223">
        <v>2</v>
      </c>
      <c r="CM72" s="259">
        <v>42161</v>
      </c>
      <c r="CN72" s="137" t="s">
        <v>8406</v>
      </c>
    </row>
    <row r="73" spans="1:92">
      <c r="A73" s="258">
        <v>127</v>
      </c>
      <c r="B73" s="235">
        <v>127</v>
      </c>
      <c r="C73" s="235" t="s">
        <v>7656</v>
      </c>
      <c r="D73" s="235" t="s">
        <v>7486</v>
      </c>
      <c r="E73" s="235" t="s">
        <v>7656</v>
      </c>
      <c r="F73" s="235" t="s">
        <v>8503</v>
      </c>
      <c r="G73" s="235" t="str">
        <f t="shared" si="41"/>
        <v>Rapsodyn</v>
      </c>
      <c r="H73" s="235" t="s">
        <v>265</v>
      </c>
      <c r="I73" s="235">
        <v>1</v>
      </c>
      <c r="J73" s="235">
        <v>9039</v>
      </c>
      <c r="K73" s="235">
        <v>20</v>
      </c>
      <c r="L73" s="235">
        <f t="shared" si="21"/>
        <v>20</v>
      </c>
      <c r="M73" s="235">
        <v>2</v>
      </c>
      <c r="N73" s="236">
        <v>9</v>
      </c>
      <c r="O73" s="248">
        <v>42048</v>
      </c>
      <c r="P73">
        <v>5.5</v>
      </c>
      <c r="Q73" s="264">
        <v>42204</v>
      </c>
      <c r="R73"/>
      <c r="S73"/>
      <c r="T73"/>
      <c r="V73" s="219">
        <f t="shared" si="42"/>
        <v>17.84902343357491</v>
      </c>
      <c r="W73" s="219"/>
      <c r="X73">
        <v>15.55</v>
      </c>
      <c r="Y73"/>
      <c r="Z73"/>
      <c r="AA73"/>
      <c r="AB73" s="220">
        <f t="shared" si="43"/>
        <v>4.7758452276248251</v>
      </c>
      <c r="AC73" s="219"/>
      <c r="AD73" s="221">
        <f t="shared" si="44"/>
        <v>69012.250538120163</v>
      </c>
      <c r="AE73" s="219"/>
      <c r="AF73" s="220">
        <f t="shared" si="45"/>
        <v>33.40192926045016</v>
      </c>
      <c r="AG73" s="219"/>
      <c r="AH73" s="220">
        <f t="shared" si="46"/>
        <v>37.454506907883101</v>
      </c>
      <c r="AI73" s="219"/>
      <c r="AJ73">
        <v>4.84</v>
      </c>
      <c r="AK73" s="284" t="s">
        <v>8403</v>
      </c>
      <c r="AL73">
        <v>175</v>
      </c>
      <c r="AM73"/>
      <c r="AN73" s="241">
        <v>65</v>
      </c>
      <c r="AO73" s="242">
        <v>42069</v>
      </c>
      <c r="AP73" s="255">
        <v>106</v>
      </c>
      <c r="AQ73" s="242">
        <v>42110</v>
      </c>
      <c r="AR73">
        <v>123</v>
      </c>
      <c r="AS73" s="297">
        <f t="shared" si="47"/>
        <v>123</v>
      </c>
      <c r="AT73" s="290">
        <v>42127</v>
      </c>
      <c r="AU73" s="298"/>
      <c r="AV73"/>
      <c r="AW73"/>
      <c r="AX73"/>
      <c r="AY73"/>
      <c r="AZ73"/>
      <c r="BA73"/>
      <c r="BB73"/>
      <c r="BC73"/>
      <c r="BD73"/>
      <c r="BE73"/>
      <c r="BF73" s="277">
        <v>-1.7170660495758057</v>
      </c>
      <c r="BG73" s="283">
        <v>42233</v>
      </c>
      <c r="BH73"/>
      <c r="BI73"/>
      <c r="BJ73"/>
      <c r="BK73"/>
      <c r="BL73" s="277">
        <v>67.774604797363281</v>
      </c>
      <c r="BM73" s="283">
        <v>42233</v>
      </c>
      <c r="BN73"/>
      <c r="BO73"/>
      <c r="BP73" s="277">
        <v>3.7373690605163574</v>
      </c>
      <c r="BQ73" s="283">
        <v>42233</v>
      </c>
      <c r="BR73" s="277">
        <v>53.437103271484375</v>
      </c>
      <c r="BS73" s="283">
        <v>42233</v>
      </c>
      <c r="BT73" s="277">
        <v>14.298111915588379</v>
      </c>
      <c r="BU73" s="283">
        <v>42233</v>
      </c>
      <c r="BV73" s="277">
        <v>11.958355903625488</v>
      </c>
      <c r="BW73" s="283">
        <v>42233</v>
      </c>
      <c r="BX73" s="277">
        <v>4.9093704223632812</v>
      </c>
      <c r="BY73" s="283">
        <v>42233</v>
      </c>
      <c r="BZ73"/>
      <c r="CB73" s="266">
        <v>2</v>
      </c>
      <c r="CC73"/>
      <c r="CD73" s="277">
        <v>3.6363636363636398</v>
      </c>
      <c r="CE73" s="291" t="s">
        <v>8403</v>
      </c>
      <c r="CF73"/>
      <c r="CG73"/>
      <c r="CH73">
        <v>3</v>
      </c>
      <c r="CI73">
        <v>1</v>
      </c>
      <c r="CK73"/>
      <c r="CL73" s="223">
        <v>1</v>
      </c>
      <c r="CM73" s="259">
        <v>42161</v>
      </c>
      <c r="CN73" s="137" t="s">
        <v>8406</v>
      </c>
    </row>
    <row r="74" spans="1:92">
      <c r="A74" s="258">
        <v>129</v>
      </c>
      <c r="B74" s="235">
        <v>129</v>
      </c>
      <c r="C74" s="235" t="s">
        <v>7718</v>
      </c>
      <c r="D74" s="235" t="s">
        <v>7542</v>
      </c>
      <c r="E74" s="235" t="s">
        <v>7718</v>
      </c>
      <c r="F74" s="235" t="s">
        <v>8613</v>
      </c>
      <c r="G74" s="235" t="str">
        <f t="shared" si="41"/>
        <v>Rapsodyn</v>
      </c>
      <c r="H74" s="235" t="s">
        <v>265</v>
      </c>
      <c r="I74" s="235">
        <v>1</v>
      </c>
      <c r="J74" s="235">
        <v>9100</v>
      </c>
      <c r="K74" s="235">
        <v>18</v>
      </c>
      <c r="L74" s="235">
        <f t="shared" si="21"/>
        <v>18</v>
      </c>
      <c r="M74" s="235">
        <v>2</v>
      </c>
      <c r="N74" s="235">
        <v>7</v>
      </c>
      <c r="O74" s="248">
        <v>42048</v>
      </c>
      <c r="P74">
        <v>5</v>
      </c>
      <c r="Q74" s="264">
        <v>42204</v>
      </c>
      <c r="R74"/>
      <c r="S74"/>
      <c r="T74"/>
      <c r="V74" s="219">
        <f t="shared" si="42"/>
        <v>14.696673181662607</v>
      </c>
      <c r="W74" s="219"/>
      <c r="X74">
        <v>15.55</v>
      </c>
      <c r="Y74"/>
      <c r="Z74"/>
      <c r="AA74"/>
      <c r="AB74" s="220">
        <f t="shared" si="43"/>
        <v>4.8171831827708145</v>
      </c>
      <c r="AC74" s="219"/>
      <c r="AD74" s="221">
        <f t="shared" si="44"/>
        <v>61420.657296297766</v>
      </c>
      <c r="AE74" s="219"/>
      <c r="AF74" s="220">
        <f t="shared" si="45"/>
        <v>29.727598131408119</v>
      </c>
      <c r="AG74" s="219"/>
      <c r="AH74" s="220">
        <f t="shared" si="46"/>
        <v>33.334377810504733</v>
      </c>
      <c r="AI74" s="219"/>
      <c r="AJ74">
        <v>4.84</v>
      </c>
      <c r="AK74" s="284" t="s">
        <v>8399</v>
      </c>
      <c r="AL74">
        <v>170</v>
      </c>
      <c r="AM74"/>
      <c r="AN74" s="241">
        <v>65</v>
      </c>
      <c r="AO74" s="242">
        <v>42069</v>
      </c>
      <c r="AP74" s="255">
        <v>104</v>
      </c>
      <c r="AQ74" s="242">
        <v>42108</v>
      </c>
      <c r="AR74">
        <v>128</v>
      </c>
      <c r="AS74" s="297">
        <f t="shared" si="47"/>
        <v>128</v>
      </c>
      <c r="AT74" s="290">
        <v>42132</v>
      </c>
      <c r="AU74" s="298"/>
      <c r="AV74"/>
      <c r="AW74"/>
      <c r="AX74"/>
      <c r="AY74"/>
      <c r="AZ74"/>
      <c r="BA74"/>
      <c r="BB74"/>
      <c r="BC74"/>
      <c r="BD74"/>
      <c r="BE74"/>
      <c r="BF74" s="277">
        <v>-5.4824409484863281</v>
      </c>
      <c r="BG74" s="283">
        <v>42230</v>
      </c>
      <c r="BH74"/>
      <c r="BI74"/>
      <c r="BJ74"/>
      <c r="BK74"/>
      <c r="BL74" s="277">
        <v>64.329765319824219</v>
      </c>
      <c r="BM74" s="283">
        <v>42230</v>
      </c>
      <c r="BN74"/>
      <c r="BO74"/>
      <c r="BP74" s="277">
        <v>4.1490159034729004</v>
      </c>
      <c r="BQ74" s="283">
        <v>42230</v>
      </c>
      <c r="BR74" s="277">
        <v>49.437808990478516</v>
      </c>
      <c r="BS74" s="283">
        <v>42230</v>
      </c>
      <c r="BT74" s="277">
        <v>16.204414367675781</v>
      </c>
      <c r="BU74" s="283">
        <v>42230</v>
      </c>
      <c r="BV74" s="277">
        <v>12.418011665344238</v>
      </c>
      <c r="BW74" s="283">
        <v>42230</v>
      </c>
      <c r="BX74" s="277">
        <v>5.666107177734375</v>
      </c>
      <c r="BY74" s="283">
        <v>42230</v>
      </c>
      <c r="BZ74"/>
      <c r="CB74" s="266">
        <v>1.76</v>
      </c>
      <c r="CC74"/>
      <c r="CD74" s="277">
        <v>5.660377358490563</v>
      </c>
      <c r="CE74" s="291" t="s">
        <v>8399</v>
      </c>
      <c r="CF74"/>
      <c r="CG74"/>
      <c r="CH74">
        <v>4</v>
      </c>
      <c r="CI74">
        <v>2</v>
      </c>
      <c r="CK74"/>
      <c r="CL74" s="223">
        <v>1</v>
      </c>
      <c r="CM74" s="259">
        <v>42161</v>
      </c>
      <c r="CN74" s="137" t="s">
        <v>8406</v>
      </c>
    </row>
    <row r="75" spans="1:92">
      <c r="A75" s="258">
        <v>130</v>
      </c>
      <c r="B75" s="236">
        <v>130</v>
      </c>
      <c r="C75" s="235" t="s">
        <v>7729</v>
      </c>
      <c r="D75" s="235" t="s">
        <v>7552</v>
      </c>
      <c r="E75" s="235" t="s">
        <v>7729</v>
      </c>
      <c r="F75" s="235" t="s">
        <v>8568</v>
      </c>
      <c r="G75" s="235" t="str">
        <f t="shared" si="41"/>
        <v>Rapsodyn</v>
      </c>
      <c r="H75" s="235" t="s">
        <v>265</v>
      </c>
      <c r="I75" s="235">
        <v>1</v>
      </c>
      <c r="J75" s="235">
        <v>9111</v>
      </c>
      <c r="K75" s="235">
        <v>17</v>
      </c>
      <c r="L75" s="235">
        <f t="shared" ref="L75:L116" si="48">K75</f>
        <v>17</v>
      </c>
      <c r="M75" s="235">
        <v>2</v>
      </c>
      <c r="N75" s="236">
        <v>5</v>
      </c>
      <c r="O75" s="248">
        <v>42048</v>
      </c>
      <c r="P75">
        <v>4.8499999999999996</v>
      </c>
      <c r="Q75" s="264">
        <v>42204</v>
      </c>
      <c r="R75"/>
      <c r="S75"/>
      <c r="T75"/>
      <c r="V75" s="219">
        <f t="shared" si="42"/>
        <v>15.128555187458392</v>
      </c>
      <c r="W75" s="219"/>
      <c r="X75">
        <v>15.55</v>
      </c>
      <c r="Y75"/>
      <c r="Z75"/>
      <c r="AA75"/>
      <c r="AB75" s="220">
        <f t="shared" si="43"/>
        <v>4.5544033589317099</v>
      </c>
      <c r="AC75" s="219"/>
      <c r="AD75" s="221">
        <f t="shared" si="44"/>
        <v>57856.913183279736</v>
      </c>
      <c r="AE75" s="219"/>
      <c r="AF75" s="220">
        <f t="shared" si="45"/>
        <v>28.928456591639868</v>
      </c>
      <c r="AG75" s="219"/>
      <c r="AH75" s="220">
        <f t="shared" si="46"/>
        <v>32.43827830414876</v>
      </c>
      <c r="AI75" s="219"/>
      <c r="AJ75">
        <v>5</v>
      </c>
      <c r="AK75" s="284" t="s">
        <v>8399</v>
      </c>
      <c r="AL75">
        <v>170</v>
      </c>
      <c r="AM75"/>
      <c r="AN75" s="241">
        <v>70</v>
      </c>
      <c r="AO75" s="242">
        <v>42074</v>
      </c>
      <c r="AP75" s="255">
        <v>104</v>
      </c>
      <c r="AQ75" s="242">
        <v>42108</v>
      </c>
      <c r="AR75">
        <v>129</v>
      </c>
      <c r="AS75" s="297">
        <f t="shared" si="47"/>
        <v>129</v>
      </c>
      <c r="AT75" s="290">
        <v>42133</v>
      </c>
      <c r="AU75" s="298"/>
      <c r="AV75"/>
      <c r="AW75"/>
      <c r="AX75"/>
      <c r="AY75"/>
      <c r="AZ75"/>
      <c r="BA75"/>
      <c r="BB75"/>
      <c r="BC75"/>
      <c r="BD75"/>
      <c r="BE75"/>
      <c r="BF75" s="277">
        <v>-4.3457221984863281</v>
      </c>
      <c r="BG75" s="283">
        <v>42230</v>
      </c>
      <c r="BH75"/>
      <c r="BI75"/>
      <c r="BJ75"/>
      <c r="BK75"/>
      <c r="BL75" s="277">
        <v>64.543197631835938</v>
      </c>
      <c r="BM75" s="283">
        <v>42230</v>
      </c>
      <c r="BN75"/>
      <c r="BO75"/>
      <c r="BP75" s="277">
        <v>3.5460619926452637</v>
      </c>
      <c r="BQ75" s="283">
        <v>42230</v>
      </c>
      <c r="BR75" s="277">
        <v>52.29644775390625</v>
      </c>
      <c r="BS75" s="283">
        <v>42230</v>
      </c>
      <c r="BT75" s="277">
        <v>15.743679046630859</v>
      </c>
      <c r="BU75" s="283">
        <v>42230</v>
      </c>
      <c r="BV75" s="277">
        <v>14.463502883911133</v>
      </c>
      <c r="BW75" s="283">
        <v>42230</v>
      </c>
      <c r="BX75" s="277">
        <v>5.2401809692382812</v>
      </c>
      <c r="BY75" s="283">
        <v>42230</v>
      </c>
      <c r="BZ75"/>
      <c r="CB75" s="266">
        <v>2.06</v>
      </c>
      <c r="CC75"/>
      <c r="CD75" s="277">
        <v>5.3571428571428541</v>
      </c>
      <c r="CE75" s="291" t="s">
        <v>8399</v>
      </c>
      <c r="CF75"/>
      <c r="CG75"/>
      <c r="CH75">
        <v>2</v>
      </c>
      <c r="CI75">
        <v>2</v>
      </c>
      <c r="CK75"/>
      <c r="CL75" s="223">
        <v>1</v>
      </c>
      <c r="CM75" s="259">
        <v>42161</v>
      </c>
      <c r="CN75" s="137" t="s">
        <v>8406</v>
      </c>
    </row>
    <row r="76" spans="1:92">
      <c r="A76" s="258">
        <v>134</v>
      </c>
      <c r="B76" s="235">
        <v>134</v>
      </c>
      <c r="C76" s="235" t="s">
        <v>7753</v>
      </c>
      <c r="D76" s="235" t="s">
        <v>7561</v>
      </c>
      <c r="E76" s="235" t="s">
        <v>7753</v>
      </c>
      <c r="F76" s="235" t="s">
        <v>8605</v>
      </c>
      <c r="G76" s="235" t="str">
        <f t="shared" si="41"/>
        <v>Rapsodyn</v>
      </c>
      <c r="H76" s="235" t="s">
        <v>265</v>
      </c>
      <c r="I76" s="235">
        <v>1</v>
      </c>
      <c r="J76" s="235">
        <v>9125</v>
      </c>
      <c r="K76" s="235">
        <v>13</v>
      </c>
      <c r="L76" s="235">
        <f t="shared" si="48"/>
        <v>13</v>
      </c>
      <c r="M76" s="235">
        <v>2</v>
      </c>
      <c r="N76" s="235">
        <v>7</v>
      </c>
      <c r="O76" s="248">
        <v>42048</v>
      </c>
      <c r="P76">
        <v>3.8</v>
      </c>
      <c r="Q76" s="264">
        <v>42204</v>
      </c>
      <c r="R76"/>
      <c r="S76"/>
      <c r="T76"/>
      <c r="V76" s="219">
        <f t="shared" si="42"/>
        <v>11.312693255098429</v>
      </c>
      <c r="W76" s="219"/>
      <c r="X76">
        <v>15.55</v>
      </c>
      <c r="Y76"/>
      <c r="Z76"/>
      <c r="AA76"/>
      <c r="AB76" s="220">
        <f t="shared" si="43"/>
        <v>4.0234936770391103</v>
      </c>
      <c r="AC76" s="219"/>
      <c r="AD76" s="221">
        <f t="shared" si="44"/>
        <v>54372.359876426446</v>
      </c>
      <c r="AE76" s="219"/>
      <c r="AF76" s="220">
        <f t="shared" si="45"/>
        <v>23.10825294748124</v>
      </c>
      <c r="AG76" s="219"/>
      <c r="AH76" s="220">
        <f t="shared" si="46"/>
        <v>25.911923018032343</v>
      </c>
      <c r="AI76" s="219"/>
      <c r="AJ76">
        <v>4.25</v>
      </c>
      <c r="AK76" s="284" t="s">
        <v>8399</v>
      </c>
      <c r="AL76">
        <v>155</v>
      </c>
      <c r="AM76"/>
      <c r="AN76" s="241">
        <v>72</v>
      </c>
      <c r="AO76" s="242">
        <v>42076</v>
      </c>
      <c r="AP76" s="255">
        <v>110</v>
      </c>
      <c r="AQ76" s="242">
        <v>42114</v>
      </c>
      <c r="AR76">
        <v>132</v>
      </c>
      <c r="AS76" s="297">
        <f t="shared" si="47"/>
        <v>132</v>
      </c>
      <c r="AT76" s="290">
        <v>42136</v>
      </c>
      <c r="AU76" s="298"/>
      <c r="AV76"/>
      <c r="AW76"/>
      <c r="AX76"/>
      <c r="AY76"/>
      <c r="AZ76"/>
      <c r="BA76"/>
      <c r="BB76"/>
      <c r="BC76"/>
      <c r="BD76"/>
      <c r="BE76"/>
      <c r="BF76" s="277">
        <v>-7.5125241279602051</v>
      </c>
      <c r="BG76" s="283">
        <v>42233</v>
      </c>
      <c r="BH76"/>
      <c r="BI76"/>
      <c r="BJ76"/>
      <c r="BK76"/>
      <c r="BL76" s="277">
        <v>62.722702026367188</v>
      </c>
      <c r="BM76" s="283">
        <v>42233</v>
      </c>
      <c r="BN76"/>
      <c r="BO76"/>
      <c r="BP76" s="277">
        <v>3.8037629127502441</v>
      </c>
      <c r="BQ76" s="283">
        <v>42233</v>
      </c>
      <c r="BR76" s="277">
        <v>48.955207824707031</v>
      </c>
      <c r="BS76" s="283">
        <v>42233</v>
      </c>
      <c r="BT76" s="277">
        <v>17.411500930786133</v>
      </c>
      <c r="BU76" s="283">
        <v>42233</v>
      </c>
      <c r="BV76" s="277">
        <v>12.403454780578613</v>
      </c>
      <c r="BW76" s="283">
        <v>42233</v>
      </c>
      <c r="BX76" s="277">
        <v>5.6327438354492188</v>
      </c>
      <c r="BY76" s="283">
        <v>42233</v>
      </c>
      <c r="BZ76"/>
      <c r="CB76" s="266">
        <v>0.77</v>
      </c>
      <c r="CC76"/>
      <c r="CD76" s="277">
        <v>3.5087719298245648</v>
      </c>
      <c r="CE76" s="291" t="s">
        <v>8399</v>
      </c>
      <c r="CF76"/>
      <c r="CG76"/>
      <c r="CH76">
        <v>1</v>
      </c>
      <c r="CI76">
        <v>4</v>
      </c>
      <c r="CK76"/>
      <c r="CL76" s="223">
        <v>1</v>
      </c>
      <c r="CM76" s="259">
        <v>42161</v>
      </c>
      <c r="CN76" s="137" t="s">
        <v>8406</v>
      </c>
    </row>
    <row r="77" spans="1:92">
      <c r="A77" s="258">
        <v>135</v>
      </c>
      <c r="B77" s="235">
        <v>135</v>
      </c>
      <c r="C77" s="235" t="s">
        <v>7680</v>
      </c>
      <c r="D77" s="235" t="s">
        <v>7507</v>
      </c>
      <c r="E77" s="235" t="s">
        <v>7680</v>
      </c>
      <c r="F77" s="235" t="s">
        <v>8615</v>
      </c>
      <c r="G77" s="235" t="str">
        <f t="shared" si="41"/>
        <v>Rapsodyn</v>
      </c>
      <c r="H77" s="235" t="s">
        <v>265</v>
      </c>
      <c r="I77" s="235">
        <v>1</v>
      </c>
      <c r="J77" s="235">
        <v>9062</v>
      </c>
      <c r="K77" s="235">
        <v>12</v>
      </c>
      <c r="L77" s="235">
        <f t="shared" si="48"/>
        <v>12</v>
      </c>
      <c r="M77" s="235">
        <v>2</v>
      </c>
      <c r="N77" s="235">
        <v>7</v>
      </c>
      <c r="O77" s="248">
        <v>42048</v>
      </c>
      <c r="P77">
        <v>4.9000000000000004</v>
      </c>
      <c r="Q77" s="264">
        <v>42204</v>
      </c>
      <c r="R77"/>
      <c r="S77"/>
      <c r="T77"/>
      <c r="V77" s="219">
        <f t="shared" si="42"/>
        <v>14.939944137301506</v>
      </c>
      <c r="W77" s="219"/>
      <c r="X77">
        <v>15.55</v>
      </c>
      <c r="Y77"/>
      <c r="Z77"/>
      <c r="AA77"/>
      <c r="AB77" s="220">
        <f t="shared" si="43"/>
        <v>4.7654771811886061</v>
      </c>
      <c r="AC77" s="219"/>
      <c r="AD77" s="221">
        <f t="shared" si="44"/>
        <v>61732.426313183183</v>
      </c>
      <c r="AE77" s="219"/>
      <c r="AF77" s="220">
        <f t="shared" si="45"/>
        <v>29.693297056641111</v>
      </c>
      <c r="AG77" s="219"/>
      <c r="AH77" s="220">
        <f t="shared" si="46"/>
        <v>33.295915066877228</v>
      </c>
      <c r="AI77" s="219"/>
      <c r="AJ77">
        <v>4.8099999999999996</v>
      </c>
      <c r="AK77" s="284" t="s">
        <v>8399</v>
      </c>
      <c r="AL77">
        <v>145</v>
      </c>
      <c r="AM77"/>
      <c r="AN77" s="241">
        <v>72</v>
      </c>
      <c r="AO77" s="242">
        <v>42076</v>
      </c>
      <c r="AP77" s="255">
        <v>110</v>
      </c>
      <c r="AQ77" s="242">
        <v>42114</v>
      </c>
      <c r="AR77">
        <v>135</v>
      </c>
      <c r="AS77" s="297">
        <f t="shared" si="47"/>
        <v>135</v>
      </c>
      <c r="AT77" s="290">
        <v>42139</v>
      </c>
      <c r="AU77" s="298"/>
      <c r="AV77"/>
      <c r="AW77"/>
      <c r="AX77"/>
      <c r="AY77"/>
      <c r="AZ77"/>
      <c r="BA77"/>
      <c r="BB77"/>
      <c r="BC77"/>
      <c r="BD77"/>
      <c r="BE77"/>
      <c r="BF77" s="277">
        <v>-4.0098319053649902</v>
      </c>
      <c r="BG77" s="283">
        <v>42233</v>
      </c>
      <c r="BH77"/>
      <c r="BI77"/>
      <c r="BJ77"/>
      <c r="BK77"/>
      <c r="BL77" s="277">
        <v>61.717845916748047</v>
      </c>
      <c r="BM77" s="283">
        <v>42233</v>
      </c>
      <c r="BN77"/>
      <c r="BO77"/>
      <c r="BP77" s="277">
        <v>3.4019289016723633</v>
      </c>
      <c r="BQ77" s="283">
        <v>42233</v>
      </c>
      <c r="BR77" s="277">
        <v>50.314197540283203</v>
      </c>
      <c r="BS77" s="283">
        <v>42233</v>
      </c>
      <c r="BT77" s="277">
        <v>16.048999786376953</v>
      </c>
      <c r="BU77" s="283">
        <v>42233</v>
      </c>
      <c r="BV77" s="277">
        <v>26.414710998535156</v>
      </c>
      <c r="BW77" s="283">
        <v>42233</v>
      </c>
      <c r="BX77" s="277">
        <v>5.407135009765625</v>
      </c>
      <c r="BY77" s="283">
        <v>42233</v>
      </c>
      <c r="BZ77"/>
      <c r="CB77" s="266">
        <v>1.66</v>
      </c>
      <c r="CC77"/>
      <c r="CD77" s="277">
        <v>3.8461538461538494</v>
      </c>
      <c r="CE77" s="291" t="s">
        <v>8399</v>
      </c>
      <c r="CF77"/>
      <c r="CG77"/>
      <c r="CH77">
        <v>2</v>
      </c>
      <c r="CI77">
        <v>4</v>
      </c>
      <c r="CK77"/>
      <c r="CL77" s="223">
        <v>1</v>
      </c>
      <c r="CM77" s="259">
        <v>42161</v>
      </c>
      <c r="CN77" s="137" t="s">
        <v>8406</v>
      </c>
    </row>
    <row r="78" spans="1:92">
      <c r="A78" s="258">
        <v>136</v>
      </c>
      <c r="B78" s="235">
        <v>136</v>
      </c>
      <c r="C78" s="235" t="s">
        <v>7659</v>
      </c>
      <c r="D78" s="235" t="s">
        <v>7489</v>
      </c>
      <c r="E78" s="235" t="s">
        <v>7659</v>
      </c>
      <c r="F78" s="235" t="s">
        <v>8468</v>
      </c>
      <c r="G78" s="235" t="str">
        <f t="shared" si="41"/>
        <v>Rapsodyn</v>
      </c>
      <c r="H78" s="235" t="s">
        <v>265</v>
      </c>
      <c r="I78" s="235">
        <v>1</v>
      </c>
      <c r="J78" s="235">
        <v>9042</v>
      </c>
      <c r="K78" s="235">
        <v>11</v>
      </c>
      <c r="L78" s="235">
        <f t="shared" si="48"/>
        <v>11</v>
      </c>
      <c r="M78" s="235">
        <v>2</v>
      </c>
      <c r="N78" s="236">
        <v>5</v>
      </c>
      <c r="O78" s="248">
        <v>42048</v>
      </c>
      <c r="P78">
        <v>5.15</v>
      </c>
      <c r="Q78" s="264">
        <v>42204</v>
      </c>
      <c r="R78"/>
      <c r="S78"/>
      <c r="T78"/>
      <c r="V78" s="219">
        <f t="shared" si="42"/>
        <v>15.801154599953957</v>
      </c>
      <c r="W78" s="219"/>
      <c r="X78">
        <v>15.55</v>
      </c>
      <c r="Y78"/>
      <c r="Z78"/>
      <c r="AA78"/>
      <c r="AB78" s="220">
        <f t="shared" si="43"/>
        <v>4.5763154559959354</v>
      </c>
      <c r="AC78" s="219"/>
      <c r="AD78" s="221">
        <f t="shared" si="44"/>
        <v>71841.939193025682</v>
      </c>
      <c r="AE78" s="219"/>
      <c r="AF78" s="220">
        <f t="shared" si="45"/>
        <v>30.748349974614996</v>
      </c>
      <c r="AG78" s="219"/>
      <c r="AH78" s="220">
        <f t="shared" si="46"/>
        <v>34.478975078061225</v>
      </c>
      <c r="AI78" s="219"/>
      <c r="AJ78">
        <v>4.28</v>
      </c>
      <c r="AK78" s="284" t="s">
        <v>8399</v>
      </c>
      <c r="AL78">
        <v>175</v>
      </c>
      <c r="AM78"/>
      <c r="AN78" s="241">
        <v>72</v>
      </c>
      <c r="AO78" s="242">
        <v>42076</v>
      </c>
      <c r="AP78" s="255">
        <v>110</v>
      </c>
      <c r="AQ78" s="242">
        <v>42114</v>
      </c>
      <c r="AR78">
        <v>131</v>
      </c>
      <c r="AS78" s="297">
        <f t="shared" si="47"/>
        <v>131</v>
      </c>
      <c r="AT78" s="290">
        <v>42135</v>
      </c>
      <c r="AU78" s="298"/>
      <c r="AV78"/>
      <c r="AW78"/>
      <c r="AX78"/>
      <c r="AY78"/>
      <c r="AZ78"/>
      <c r="BA78"/>
      <c r="BB78"/>
      <c r="BC78"/>
      <c r="BD78"/>
      <c r="BE78"/>
      <c r="BF78" s="277">
        <v>-5.0914478302001953</v>
      </c>
      <c r="BG78" s="283">
        <v>42233</v>
      </c>
      <c r="BH78"/>
      <c r="BI78"/>
      <c r="BJ78"/>
      <c r="BK78"/>
      <c r="BL78" s="277">
        <v>65.145050048828125</v>
      </c>
      <c r="BM78" s="283">
        <v>42233</v>
      </c>
      <c r="BN78"/>
      <c r="BO78"/>
      <c r="BP78" s="277">
        <v>3.5352959632873535</v>
      </c>
      <c r="BQ78" s="283">
        <v>42233</v>
      </c>
      <c r="BR78" s="277">
        <v>51.388626098632813</v>
      </c>
      <c r="BS78" s="283">
        <v>42233</v>
      </c>
      <c r="BT78" s="277">
        <v>14.883125305175781</v>
      </c>
      <c r="BU78" s="283">
        <v>42233</v>
      </c>
      <c r="BV78" s="277">
        <v>10.652763366699219</v>
      </c>
      <c r="BW78" s="283">
        <v>42233</v>
      </c>
      <c r="BX78" s="277">
        <v>5.0439376831054687</v>
      </c>
      <c r="BY78" s="283">
        <v>42233</v>
      </c>
      <c r="BZ78"/>
      <c r="CB78" s="266">
        <v>1.91</v>
      </c>
      <c r="CC78"/>
      <c r="CD78" s="277">
        <v>5.2631578947368389</v>
      </c>
      <c r="CE78" s="291" t="s">
        <v>8399</v>
      </c>
      <c r="CF78"/>
      <c r="CG78"/>
      <c r="CH78">
        <v>1</v>
      </c>
      <c r="CI78">
        <v>2</v>
      </c>
      <c r="CK78"/>
      <c r="CL78" s="223">
        <v>1</v>
      </c>
      <c r="CM78" s="259">
        <v>42161</v>
      </c>
      <c r="CN78" s="137" t="s">
        <v>8406</v>
      </c>
    </row>
    <row r="79" spans="1:92">
      <c r="A79" s="258">
        <v>138</v>
      </c>
      <c r="B79" s="235">
        <v>138</v>
      </c>
      <c r="C79" s="235" t="s">
        <v>7714</v>
      </c>
      <c r="D79" s="235" t="s">
        <v>7538</v>
      </c>
      <c r="E79" s="235" t="s">
        <v>7714</v>
      </c>
      <c r="F79" s="235" t="s">
        <v>8522</v>
      </c>
      <c r="G79" s="235" t="str">
        <f t="shared" si="41"/>
        <v>Rapsodyn</v>
      </c>
      <c r="H79" s="235" t="s">
        <v>265</v>
      </c>
      <c r="I79" s="235">
        <v>1</v>
      </c>
      <c r="J79" s="235">
        <v>9096</v>
      </c>
      <c r="K79" s="235">
        <v>9</v>
      </c>
      <c r="L79" s="235">
        <f t="shared" si="48"/>
        <v>9</v>
      </c>
      <c r="M79" s="235">
        <v>2</v>
      </c>
      <c r="N79" s="235">
        <v>7</v>
      </c>
      <c r="O79" s="248">
        <v>42048</v>
      </c>
      <c r="P79" s="223">
        <v>5.0999999999999996</v>
      </c>
      <c r="Q79" s="264">
        <v>42204</v>
      </c>
      <c r="R79" s="223"/>
      <c r="S79" s="223"/>
      <c r="T79" s="223"/>
      <c r="U79" s="225"/>
      <c r="V79" s="219">
        <f t="shared" si="42"/>
        <v>15.908266908396291</v>
      </c>
      <c r="W79" s="224"/>
      <c r="X79">
        <v>15.55</v>
      </c>
      <c r="Y79" s="223"/>
      <c r="Z79" s="223"/>
      <c r="AA79" s="223"/>
      <c r="AB79" s="220">
        <f t="shared" si="43"/>
        <v>4.8087005499681057</v>
      </c>
      <c r="AC79" s="224"/>
      <c r="AD79" s="221">
        <f t="shared" si="44"/>
        <v>70690.551786269469</v>
      </c>
      <c r="AE79" s="224"/>
      <c r="AF79" s="220">
        <f t="shared" si="45"/>
        <v>31.033152234172295</v>
      </c>
      <c r="AG79" s="224"/>
      <c r="AH79" s="220">
        <f t="shared" si="46"/>
        <v>34.798331727037784</v>
      </c>
      <c r="AI79" s="224"/>
      <c r="AJ79">
        <v>4.3899999999999997</v>
      </c>
      <c r="AK79" s="290" t="s">
        <v>8400</v>
      </c>
      <c r="AL79" s="223">
        <v>150</v>
      </c>
      <c r="AM79" s="223"/>
      <c r="AN79" s="241">
        <v>65</v>
      </c>
      <c r="AO79" s="242">
        <v>42069</v>
      </c>
      <c r="AP79" s="255">
        <v>104</v>
      </c>
      <c r="AQ79" s="242">
        <v>42108</v>
      </c>
      <c r="AR79" s="223">
        <v>137</v>
      </c>
      <c r="AS79" s="297">
        <f t="shared" si="47"/>
        <v>137</v>
      </c>
      <c r="AT79" s="290">
        <v>42141</v>
      </c>
      <c r="AU79" s="298"/>
      <c r="AV79" s="223"/>
      <c r="AW79" s="223"/>
      <c r="AX79" s="223"/>
      <c r="AY79" s="223"/>
      <c r="AZ79" s="223"/>
      <c r="BA79" s="223"/>
      <c r="BB79" s="223"/>
      <c r="BC79" s="223"/>
      <c r="BD79" s="223"/>
      <c r="BE79" s="223"/>
      <c r="BF79" s="281">
        <v>-2.4795401096343994</v>
      </c>
      <c r="BG79" s="283">
        <v>42230</v>
      </c>
      <c r="BH79" s="223"/>
      <c r="BI79" s="223"/>
      <c r="BJ79" s="223"/>
      <c r="BK79" s="223"/>
      <c r="BL79" s="281">
        <v>66.452972412109375</v>
      </c>
      <c r="BM79" s="283">
        <v>42230</v>
      </c>
      <c r="BN79" s="223"/>
      <c r="BO79" s="223"/>
      <c r="BP79" s="281">
        <v>3.7203168869018555</v>
      </c>
      <c r="BQ79" s="283">
        <v>42230</v>
      </c>
      <c r="BR79" s="281">
        <v>51.262168884277344</v>
      </c>
      <c r="BS79" s="283">
        <v>42230</v>
      </c>
      <c r="BT79" s="281">
        <v>15.495366096496582</v>
      </c>
      <c r="BU79" s="283">
        <v>42230</v>
      </c>
      <c r="BV79" s="281">
        <v>16.921796798706055</v>
      </c>
      <c r="BW79" s="283">
        <v>42230</v>
      </c>
      <c r="BX79" s="281">
        <v>5.653167724609375</v>
      </c>
      <c r="BY79" s="283">
        <v>42230</v>
      </c>
      <c r="BZ79" s="223"/>
      <c r="CA79" s="226"/>
      <c r="CB79" s="266">
        <v>1.68</v>
      </c>
      <c r="CC79" s="223"/>
      <c r="CD79" s="281">
        <v>3.4482758620689689</v>
      </c>
      <c r="CE79" s="291" t="s">
        <v>8400</v>
      </c>
      <c r="CF79" s="223"/>
      <c r="CG79" s="223"/>
      <c r="CH79" s="223">
        <v>3</v>
      </c>
      <c r="CI79" s="223">
        <v>3</v>
      </c>
      <c r="CK79" s="223"/>
      <c r="CL79" s="223">
        <v>1</v>
      </c>
      <c r="CM79" s="259">
        <v>42161</v>
      </c>
      <c r="CN79" s="137" t="s">
        <v>8406</v>
      </c>
    </row>
    <row r="80" spans="1:92">
      <c r="A80" s="258">
        <v>139</v>
      </c>
      <c r="B80" s="235">
        <v>139</v>
      </c>
      <c r="C80" s="235" t="s">
        <v>7735</v>
      </c>
      <c r="D80" s="235" t="s">
        <v>7558</v>
      </c>
      <c r="E80" s="235" t="s">
        <v>7735</v>
      </c>
      <c r="F80" s="235" t="s">
        <v>8597</v>
      </c>
      <c r="G80" s="235" t="str">
        <f t="shared" si="41"/>
        <v>Rapsodyn</v>
      </c>
      <c r="H80" s="235" t="s">
        <v>265</v>
      </c>
      <c r="I80" s="235">
        <v>1</v>
      </c>
      <c r="J80" s="235">
        <v>9115</v>
      </c>
      <c r="K80" s="235">
        <v>8</v>
      </c>
      <c r="L80" s="235">
        <f t="shared" si="48"/>
        <v>8</v>
      </c>
      <c r="M80" s="235">
        <v>2</v>
      </c>
      <c r="N80" s="235">
        <v>7</v>
      </c>
      <c r="O80" s="248">
        <v>42048</v>
      </c>
      <c r="P80" s="223">
        <v>3.9</v>
      </c>
      <c r="Q80" s="264">
        <v>42204</v>
      </c>
      <c r="R80" s="223"/>
      <c r="S80" s="223"/>
      <c r="T80" s="223"/>
      <c r="U80" s="225"/>
      <c r="V80" s="219">
        <f t="shared" si="42"/>
        <v>12.028390296044712</v>
      </c>
      <c r="W80" s="224"/>
      <c r="X80">
        <v>15.55</v>
      </c>
      <c r="Y80" s="223"/>
      <c r="Z80" s="223"/>
      <c r="AA80" s="223"/>
      <c r="AB80" s="220">
        <f t="shared" si="43"/>
        <v>3.7960279185467845</v>
      </c>
      <c r="AC80" s="224"/>
      <c r="AD80" s="221">
        <f t="shared" si="44"/>
        <v>55534.187705451885</v>
      </c>
      <c r="AE80" s="224"/>
      <c r="AF80" s="220">
        <f t="shared" si="45"/>
        <v>23.213290460878884</v>
      </c>
      <c r="AG80" s="224"/>
      <c r="AH80" s="220">
        <f t="shared" si="46"/>
        <v>26.029704486296122</v>
      </c>
      <c r="AI80" s="224"/>
      <c r="AJ80">
        <v>4.18</v>
      </c>
      <c r="AK80" s="290" t="s">
        <v>8398</v>
      </c>
      <c r="AL80" s="223">
        <v>165</v>
      </c>
      <c r="AM80" s="223"/>
      <c r="AN80" s="241">
        <v>79</v>
      </c>
      <c r="AO80" s="242">
        <v>42083</v>
      </c>
      <c r="AP80" s="255">
        <v>106</v>
      </c>
      <c r="AQ80" s="242">
        <v>42110</v>
      </c>
      <c r="AR80" s="223">
        <v>132</v>
      </c>
      <c r="AS80" s="297">
        <f t="shared" si="47"/>
        <v>132</v>
      </c>
      <c r="AT80" s="290">
        <v>42136</v>
      </c>
      <c r="AU80" s="298"/>
      <c r="AV80" s="223"/>
      <c r="AW80" s="223"/>
      <c r="AX80" s="223"/>
      <c r="AY80" s="223"/>
      <c r="AZ80" s="223"/>
      <c r="BA80" s="223"/>
      <c r="BB80" s="223"/>
      <c r="BC80" s="223"/>
      <c r="BD80" s="223"/>
      <c r="BE80" s="223"/>
      <c r="BF80" s="281">
        <v>43.41412353515625</v>
      </c>
      <c r="BG80" s="283">
        <v>42230</v>
      </c>
      <c r="BH80" s="223"/>
      <c r="BI80" s="223"/>
      <c r="BJ80" s="223"/>
      <c r="BK80" s="223"/>
      <c r="BL80" s="281">
        <v>61.076648712158203</v>
      </c>
      <c r="BM80" s="283">
        <v>42230</v>
      </c>
      <c r="BN80" s="223"/>
      <c r="BO80" s="223"/>
      <c r="BP80" s="281">
        <v>4.1810111999511719</v>
      </c>
      <c r="BQ80" s="283">
        <v>42230</v>
      </c>
      <c r="BR80" s="281">
        <v>51.816825866699219</v>
      </c>
      <c r="BS80" s="283">
        <v>42230</v>
      </c>
      <c r="BT80" s="281">
        <v>16.352821350097656</v>
      </c>
      <c r="BU80" s="283">
        <v>42230</v>
      </c>
      <c r="BV80" s="281">
        <v>58.989120483398438</v>
      </c>
      <c r="BW80" s="283">
        <v>42230</v>
      </c>
      <c r="BX80" s="281">
        <v>5.6682586669921875</v>
      </c>
      <c r="BY80" s="283">
        <v>42230</v>
      </c>
      <c r="BZ80" s="223"/>
      <c r="CA80" s="226"/>
      <c r="CB80" s="266">
        <v>1.1200000000000001</v>
      </c>
      <c r="CC80" s="223"/>
      <c r="CD80" s="281">
        <v>5.5555555555555687</v>
      </c>
      <c r="CE80" s="291" t="s">
        <v>8398</v>
      </c>
      <c r="CF80" s="223"/>
      <c r="CG80" s="223"/>
      <c r="CH80" s="223">
        <v>2</v>
      </c>
      <c r="CI80" s="223">
        <v>3</v>
      </c>
      <c r="CK80" s="223"/>
      <c r="CL80" s="223">
        <v>1</v>
      </c>
      <c r="CM80" s="259">
        <v>42161</v>
      </c>
      <c r="CN80" s="137" t="s">
        <v>8406</v>
      </c>
    </row>
    <row r="81" spans="1:93">
      <c r="A81" s="258">
        <v>140</v>
      </c>
      <c r="B81" s="235">
        <v>140</v>
      </c>
      <c r="C81" s="235" t="s">
        <v>7608</v>
      </c>
      <c r="D81" s="235" t="s">
        <v>7447</v>
      </c>
      <c r="E81" s="235" t="s">
        <v>7608</v>
      </c>
      <c r="F81" s="235" t="s">
        <v>8483</v>
      </c>
      <c r="G81" s="235" t="str">
        <f t="shared" si="41"/>
        <v>Rapsodyn</v>
      </c>
      <c r="H81" s="235" t="s">
        <v>265</v>
      </c>
      <c r="I81" s="235">
        <v>1</v>
      </c>
      <c r="J81" s="235">
        <v>9003</v>
      </c>
      <c r="K81" s="235">
        <v>7</v>
      </c>
      <c r="L81" s="235">
        <f t="shared" si="48"/>
        <v>7</v>
      </c>
      <c r="M81" s="235">
        <v>2</v>
      </c>
      <c r="N81" s="235">
        <v>9</v>
      </c>
      <c r="O81" s="248">
        <v>42048</v>
      </c>
      <c r="P81" s="223">
        <v>4.1500000000000004</v>
      </c>
      <c r="Q81" s="264">
        <v>42204</v>
      </c>
      <c r="R81" s="223"/>
      <c r="S81" s="223"/>
      <c r="T81" s="223"/>
      <c r="U81" s="225"/>
      <c r="V81" s="219">
        <f t="shared" si="42"/>
        <v>12.745358085019031</v>
      </c>
      <c r="W81" s="224"/>
      <c r="X81">
        <v>15.55</v>
      </c>
      <c r="Y81" s="223"/>
      <c r="Z81" s="223"/>
      <c r="AA81" s="223"/>
      <c r="AB81" s="220">
        <f t="shared" si="43"/>
        <v>4.3093213486748123</v>
      </c>
      <c r="AC81" s="224"/>
      <c r="AD81" s="221">
        <f t="shared" si="44"/>
        <v>53660.121776014246</v>
      </c>
      <c r="AE81" s="224"/>
      <c r="AF81" s="220">
        <f t="shared" si="45"/>
        <v>25.220257234726695</v>
      </c>
      <c r="AG81" s="224"/>
      <c r="AH81" s="220">
        <f t="shared" si="46"/>
        <v>28.280171826336275</v>
      </c>
      <c r="AI81" s="224"/>
      <c r="AJ81">
        <v>4.7</v>
      </c>
      <c r="AK81" s="290" t="s">
        <v>8398</v>
      </c>
      <c r="AL81" s="223">
        <v>155</v>
      </c>
      <c r="AM81" s="223"/>
      <c r="AN81" s="241">
        <v>79</v>
      </c>
      <c r="AO81" s="242">
        <v>42083</v>
      </c>
      <c r="AP81" s="255">
        <v>106</v>
      </c>
      <c r="AQ81" s="242">
        <v>42110</v>
      </c>
      <c r="AR81" s="223">
        <v>134</v>
      </c>
      <c r="AS81" s="297">
        <f t="shared" si="47"/>
        <v>134</v>
      </c>
      <c r="AT81" s="290">
        <v>42138</v>
      </c>
      <c r="AU81" s="298"/>
      <c r="AV81" s="223"/>
      <c r="AW81" s="223"/>
      <c r="AX81" s="223"/>
      <c r="AY81" s="223"/>
      <c r="AZ81" s="223"/>
      <c r="BA81" s="223"/>
      <c r="BB81" s="223"/>
      <c r="BC81" s="223"/>
      <c r="BD81" s="223"/>
      <c r="BE81" s="223"/>
      <c r="BF81" s="281">
        <v>35.92242431640625</v>
      </c>
      <c r="BG81" s="283">
        <v>42230</v>
      </c>
      <c r="BH81" s="223"/>
      <c r="BI81" s="223"/>
      <c r="BJ81" s="223"/>
      <c r="BK81" s="223"/>
      <c r="BL81" s="281">
        <v>58.970798492431641</v>
      </c>
      <c r="BM81" s="283">
        <v>42230</v>
      </c>
      <c r="BN81" s="223"/>
      <c r="BO81" s="223"/>
      <c r="BP81" s="281">
        <v>4.1372017860412598</v>
      </c>
      <c r="BQ81" s="283">
        <v>42230</v>
      </c>
      <c r="BR81" s="281">
        <v>50.53619384765625</v>
      </c>
      <c r="BS81" s="283">
        <v>42230</v>
      </c>
      <c r="BT81" s="281">
        <v>17.086746215820312</v>
      </c>
      <c r="BU81" s="283">
        <v>42230</v>
      </c>
      <c r="BV81" s="281">
        <v>71.024505615234375</v>
      </c>
      <c r="BW81" s="283">
        <v>42230</v>
      </c>
      <c r="BX81" s="281">
        <v>5.9926986694335938</v>
      </c>
      <c r="BY81" s="283">
        <v>42230</v>
      </c>
      <c r="BZ81" s="223"/>
      <c r="CA81" s="226"/>
      <c r="CB81" s="266">
        <v>1.19</v>
      </c>
      <c r="CC81" s="223"/>
      <c r="CD81" s="281">
        <v>3.5714285714285587</v>
      </c>
      <c r="CE81" s="291" t="s">
        <v>8398</v>
      </c>
      <c r="CF81" s="223"/>
      <c r="CG81" s="223"/>
      <c r="CH81" s="223">
        <v>2</v>
      </c>
      <c r="CI81" s="223">
        <v>3</v>
      </c>
      <c r="CK81" s="223"/>
      <c r="CL81" s="223">
        <v>1</v>
      </c>
      <c r="CM81" s="259">
        <v>42161</v>
      </c>
      <c r="CN81" s="137" t="s">
        <v>8406</v>
      </c>
    </row>
    <row r="82" spans="1:93">
      <c r="A82" s="258">
        <v>141</v>
      </c>
      <c r="B82" s="235">
        <v>141</v>
      </c>
      <c r="C82" s="235" t="s">
        <v>7576</v>
      </c>
      <c r="D82" s="235"/>
      <c r="E82" s="235"/>
      <c r="F82" s="235"/>
      <c r="G82" s="235"/>
      <c r="H82" s="235" t="s">
        <v>265</v>
      </c>
      <c r="I82" s="235">
        <v>1</v>
      </c>
      <c r="K82" s="235">
        <v>6</v>
      </c>
      <c r="L82" s="235">
        <f t="shared" si="48"/>
        <v>6</v>
      </c>
      <c r="M82" s="235">
        <v>2</v>
      </c>
      <c r="O82" s="248">
        <v>42048</v>
      </c>
      <c r="P82"/>
      <c r="Q82" s="219"/>
      <c r="R82"/>
      <c r="S82"/>
      <c r="T82"/>
      <c r="V82" s="219"/>
      <c r="W82" s="219"/>
      <c r="X82">
        <v>15.55</v>
      </c>
      <c r="Y82"/>
      <c r="Z82"/>
      <c r="AA82"/>
      <c r="AB82" s="220"/>
      <c r="AC82" s="219"/>
      <c r="AD82" s="221"/>
      <c r="AE82" s="219"/>
      <c r="AF82" s="220"/>
      <c r="AG82" s="219"/>
      <c r="AH82" s="220"/>
      <c r="AI82" s="219"/>
      <c r="AJ82" s="286"/>
      <c r="AK82" s="284"/>
      <c r="AL82"/>
      <c r="AM82"/>
      <c r="AN82" s="241">
        <v>70</v>
      </c>
      <c r="AO82" s="242">
        <v>42074</v>
      </c>
      <c r="AP82" s="255">
        <v>104</v>
      </c>
      <c r="AQ82" s="242">
        <v>42108</v>
      </c>
      <c r="AR82"/>
      <c r="AS82" s="297"/>
      <c r="AT82" s="290"/>
      <c r="AU82" s="298"/>
      <c r="AV82"/>
      <c r="AW82"/>
      <c r="AX82"/>
      <c r="AY82"/>
      <c r="AZ82"/>
      <c r="BA82"/>
      <c r="BB82"/>
      <c r="BC82"/>
      <c r="BD82"/>
      <c r="BE82"/>
      <c r="BF82" s="277"/>
      <c r="BG82" s="235"/>
      <c r="BH82"/>
      <c r="BI82"/>
      <c r="BJ82"/>
      <c r="BK82"/>
      <c r="BL82" s="277"/>
      <c r="BM82" s="235"/>
      <c r="BN82"/>
      <c r="BO82"/>
      <c r="BP82" s="277"/>
      <c r="BQ82" s="235"/>
      <c r="BR82" s="277"/>
      <c r="BS82" s="235"/>
      <c r="BT82" s="277"/>
      <c r="BU82" s="235"/>
      <c r="BV82" s="277"/>
      <c r="BW82" s="235"/>
      <c r="BX82" s="277"/>
      <c r="BY82" s="235"/>
      <c r="BZ82"/>
      <c r="CB82" s="266"/>
      <c r="CC82"/>
      <c r="CD82" s="277"/>
      <c r="CE82" s="291"/>
      <c r="CF82"/>
      <c r="CG82"/>
      <c r="CH82"/>
      <c r="CI82"/>
      <c r="CK82"/>
      <c r="CL82" s="223">
        <v>1</v>
      </c>
      <c r="CM82" s="259">
        <v>42161</v>
      </c>
    </row>
    <row r="83" spans="1:93">
      <c r="A83" s="258">
        <v>142</v>
      </c>
      <c r="B83" s="235">
        <v>142</v>
      </c>
      <c r="C83" s="235" t="s">
        <v>7747</v>
      </c>
      <c r="D83" s="235" t="s">
        <v>7874</v>
      </c>
      <c r="E83" s="235" t="s">
        <v>7747</v>
      </c>
      <c r="F83" s="235" t="s">
        <v>8496</v>
      </c>
      <c r="G83" s="235" t="str">
        <f>IF(MID(C83,1,3)="BGA","Complement","Rapsodyn")</f>
        <v>Rapsodyn</v>
      </c>
      <c r="H83" s="235" t="s">
        <v>265</v>
      </c>
      <c r="I83" s="235">
        <v>1</v>
      </c>
      <c r="J83" s="235">
        <v>9380</v>
      </c>
      <c r="K83" s="235">
        <v>5</v>
      </c>
      <c r="L83" s="235">
        <f t="shared" si="48"/>
        <v>5</v>
      </c>
      <c r="M83" s="235">
        <v>2</v>
      </c>
      <c r="N83" s="236">
        <v>9</v>
      </c>
      <c r="O83" s="248">
        <v>42048</v>
      </c>
      <c r="P83">
        <v>2.85</v>
      </c>
      <c r="Q83" s="264">
        <v>42204</v>
      </c>
      <c r="R83"/>
      <c r="S83"/>
      <c r="T83"/>
      <c r="V83" s="219">
        <f>+BR83*AF83/100</f>
        <v>8.5791228913187609</v>
      </c>
      <c r="W83" s="219"/>
      <c r="X83">
        <v>15.55</v>
      </c>
      <c r="Y83"/>
      <c r="Z83"/>
      <c r="AA83"/>
      <c r="AB83" s="220">
        <f>+AF83*BT83/100</f>
        <v>3.4935658255880675</v>
      </c>
      <c r="AC83" s="219"/>
      <c r="AD83" s="221">
        <f>+(AF83/AJ83)*10000</f>
        <v>33762.057877813517</v>
      </c>
      <c r="AE83" s="219"/>
      <c r="AF83" s="220">
        <f>($P83/$X83)*(((100-$CD83)/100*(100-2)/100))*100</f>
        <v>17.319935691318332</v>
      </c>
      <c r="AG83" s="219"/>
      <c r="AH83" s="220">
        <f>($P83/$X83)*(((100-$CD83)/(100-9)*(100-2)/(100-2))*100)</f>
        <v>19.421322820495998</v>
      </c>
      <c r="AI83" s="219"/>
      <c r="AJ83">
        <v>5.13</v>
      </c>
      <c r="AK83" s="284" t="s">
        <v>8398</v>
      </c>
      <c r="AL83">
        <v>170</v>
      </c>
      <c r="AM83"/>
      <c r="AN83" s="241">
        <v>72</v>
      </c>
      <c r="AO83" s="242">
        <v>42076</v>
      </c>
      <c r="AP83" s="255">
        <v>110</v>
      </c>
      <c r="AQ83" s="242">
        <v>42114</v>
      </c>
      <c r="AR83" s="223">
        <v>136</v>
      </c>
      <c r="AS83" s="297">
        <f>IF(AR83=0,,AR83)</f>
        <v>136</v>
      </c>
      <c r="AT83" s="290">
        <v>42140</v>
      </c>
      <c r="AU83" s="298"/>
      <c r="AV83"/>
      <c r="AW83"/>
      <c r="AX83"/>
      <c r="AY83"/>
      <c r="AZ83"/>
      <c r="BA83"/>
      <c r="BB83"/>
      <c r="BC83"/>
      <c r="BD83"/>
      <c r="BE83"/>
      <c r="BF83" s="277">
        <v>30.937736511230469</v>
      </c>
      <c r="BG83" s="283">
        <v>42230</v>
      </c>
      <c r="BH83"/>
      <c r="BI83"/>
      <c r="BJ83"/>
      <c r="BK83"/>
      <c r="BL83" s="277">
        <v>60.657058715820313</v>
      </c>
      <c r="BM83" s="283">
        <v>42230</v>
      </c>
      <c r="BN83"/>
      <c r="BO83"/>
      <c r="BP83" s="277">
        <v>4.1490621566772461</v>
      </c>
      <c r="BQ83" s="283">
        <v>42230</v>
      </c>
      <c r="BR83" s="277">
        <v>49.533226013183594</v>
      </c>
      <c r="BS83" s="283">
        <v>42230</v>
      </c>
      <c r="BT83" s="277">
        <v>20.170778274536133</v>
      </c>
      <c r="BU83" s="283">
        <v>42230</v>
      </c>
      <c r="BV83" s="277">
        <v>76.072975158691406</v>
      </c>
      <c r="BW83" s="283">
        <v>42230</v>
      </c>
      <c r="BX83" s="277">
        <v>5.3978500366210938</v>
      </c>
      <c r="BY83" s="283">
        <v>42230</v>
      </c>
      <c r="BZ83"/>
      <c r="CB83" s="266">
        <v>1.78</v>
      </c>
      <c r="CC83"/>
      <c r="CD83" s="277">
        <v>3.5714285714285587</v>
      </c>
      <c r="CE83" s="291" t="s">
        <v>8398</v>
      </c>
      <c r="CF83"/>
      <c r="CG83"/>
      <c r="CH83">
        <v>3</v>
      </c>
      <c r="CI83">
        <v>2</v>
      </c>
      <c r="CK83"/>
      <c r="CL83" s="223">
        <v>5</v>
      </c>
      <c r="CM83" s="259">
        <v>42161</v>
      </c>
      <c r="CN83" s="137" t="s">
        <v>8406</v>
      </c>
    </row>
    <row r="84" spans="1:93">
      <c r="A84" s="258">
        <v>143</v>
      </c>
      <c r="B84" s="235">
        <v>143</v>
      </c>
      <c r="C84" s="235" t="s">
        <v>7611</v>
      </c>
      <c r="D84" s="235" t="s">
        <v>7449</v>
      </c>
      <c r="E84" s="235" t="s">
        <v>7611</v>
      </c>
      <c r="F84" s="235" t="s">
        <v>8425</v>
      </c>
      <c r="G84" s="235" t="str">
        <f>IF(MID(C84,1,3)="BGA","Complement","Rapsodyn")</f>
        <v>Rapsodyn</v>
      </c>
      <c r="H84" s="235" t="s">
        <v>265</v>
      </c>
      <c r="I84" s="235">
        <v>1</v>
      </c>
      <c r="J84" s="235">
        <v>9363</v>
      </c>
      <c r="K84" s="235">
        <v>4</v>
      </c>
      <c r="L84" s="235">
        <f t="shared" si="48"/>
        <v>4</v>
      </c>
      <c r="M84" s="235">
        <v>2</v>
      </c>
      <c r="N84" s="235">
        <v>7</v>
      </c>
      <c r="O84" s="248">
        <v>42048</v>
      </c>
      <c r="P84">
        <v>2.4</v>
      </c>
      <c r="Q84" s="264">
        <v>42204</v>
      </c>
      <c r="R84"/>
      <c r="S84"/>
      <c r="T84"/>
      <c r="V84" s="219">
        <f>+BR84*AF84/100</f>
        <v>7.2600918934051553</v>
      </c>
      <c r="W84" s="219"/>
      <c r="X84">
        <v>15.55</v>
      </c>
      <c r="Y84"/>
      <c r="Z84"/>
      <c r="AA84"/>
      <c r="AB84" s="220">
        <f>+AF84*BT84/100</f>
        <v>2.6084557417901184</v>
      </c>
      <c r="AC84" s="219"/>
      <c r="AD84" s="221">
        <f>+(AF84/AJ84)*10000</f>
        <v>29451.855346219807</v>
      </c>
      <c r="AE84" s="219"/>
      <c r="AF84" s="220">
        <f>($P84/$X84)*(((100-$CD84)/100*(100-2)/100))*100</f>
        <v>14.343053553609048</v>
      </c>
      <c r="AG84" s="219"/>
      <c r="AH84" s="220">
        <f>($P84/$X84)*(((100-$CD84)/(100-9)*(100-2)/(100-2))*100)</f>
        <v>16.083262562916627</v>
      </c>
      <c r="AI84" s="219"/>
      <c r="AJ84">
        <v>4.87</v>
      </c>
      <c r="AK84" s="284" t="s">
        <v>8398</v>
      </c>
      <c r="AL84">
        <v>165</v>
      </c>
      <c r="AM84"/>
      <c r="AN84" s="241">
        <v>61</v>
      </c>
      <c r="AO84" s="242">
        <v>42065</v>
      </c>
      <c r="AP84" s="255">
        <v>100</v>
      </c>
      <c r="AQ84" s="242">
        <v>42104</v>
      </c>
      <c r="AR84" s="223">
        <v>123</v>
      </c>
      <c r="AS84" s="297">
        <f>IF(AR84=0,,AR84)</f>
        <v>123</v>
      </c>
      <c r="AT84" s="290">
        <v>42127</v>
      </c>
      <c r="AU84" s="298"/>
      <c r="AV84"/>
      <c r="AW84"/>
      <c r="AX84"/>
      <c r="AY84"/>
      <c r="AZ84"/>
      <c r="BA84"/>
      <c r="BB84"/>
      <c r="BC84"/>
      <c r="BD84"/>
      <c r="BE84"/>
      <c r="BF84" s="277">
        <v>36.377536773681641</v>
      </c>
      <c r="BG84" s="283">
        <v>42230</v>
      </c>
      <c r="BH84"/>
      <c r="BI84"/>
      <c r="BJ84"/>
      <c r="BK84"/>
      <c r="BL84" s="277">
        <v>61.0496826171875</v>
      </c>
      <c r="BM84" s="283">
        <v>42230</v>
      </c>
      <c r="BN84"/>
      <c r="BO84"/>
      <c r="BP84" s="277">
        <v>3.2674870491027832</v>
      </c>
      <c r="BQ84" s="283">
        <v>42230</v>
      </c>
      <c r="BR84" s="277">
        <v>50.617477416992188</v>
      </c>
      <c r="BS84" s="283">
        <v>42230</v>
      </c>
      <c r="BT84" s="277">
        <v>18.186195373535156</v>
      </c>
      <c r="BU84" s="283">
        <v>42230</v>
      </c>
      <c r="BV84" s="277">
        <v>63.182258605957031</v>
      </c>
      <c r="BW84" s="283">
        <v>42230</v>
      </c>
      <c r="BX84" s="277">
        <v>5.1611557006835937</v>
      </c>
      <c r="BY84" s="283">
        <v>42230</v>
      </c>
      <c r="BZ84"/>
      <c r="CB84" s="266">
        <v>2.1</v>
      </c>
      <c r="CC84"/>
      <c r="CD84" s="277">
        <v>5.1724137931034457</v>
      </c>
      <c r="CE84" s="291" t="s">
        <v>8398</v>
      </c>
      <c r="CF84"/>
      <c r="CG84"/>
      <c r="CH84">
        <v>3</v>
      </c>
      <c r="CI84">
        <v>2</v>
      </c>
      <c r="CK84"/>
      <c r="CL84" s="223">
        <v>5</v>
      </c>
      <c r="CM84" s="259">
        <v>42161</v>
      </c>
      <c r="CN84" s="137" t="s">
        <v>8406</v>
      </c>
    </row>
    <row r="85" spans="1:93">
      <c r="A85" s="258">
        <v>144</v>
      </c>
      <c r="B85" s="235">
        <v>144</v>
      </c>
      <c r="C85" s="235" t="s">
        <v>7756</v>
      </c>
      <c r="D85" s="235" t="s">
        <v>7564</v>
      </c>
      <c r="E85" s="235" t="s">
        <v>7756</v>
      </c>
      <c r="F85" s="235" t="s">
        <v>8495</v>
      </c>
      <c r="G85" s="235" t="str">
        <f>IF(MID(C85,1,3)="BGA","Complement","Rapsodyn")</f>
        <v>Rapsodyn</v>
      </c>
      <c r="H85" s="235" t="s">
        <v>265</v>
      </c>
      <c r="I85" s="235">
        <v>1</v>
      </c>
      <c r="J85" s="235">
        <v>9383</v>
      </c>
      <c r="K85" s="235">
        <v>3</v>
      </c>
      <c r="L85" s="235">
        <f t="shared" si="48"/>
        <v>3</v>
      </c>
      <c r="M85" s="235">
        <v>2</v>
      </c>
      <c r="N85" s="235">
        <v>7</v>
      </c>
      <c r="O85" s="248">
        <v>42048</v>
      </c>
      <c r="P85">
        <v>2.7</v>
      </c>
      <c r="Q85" s="264">
        <v>42204</v>
      </c>
      <c r="R85"/>
      <c r="S85"/>
      <c r="T85"/>
      <c r="V85" s="219">
        <f>+BR85*AF85/100</f>
        <v>7.7943428630767553</v>
      </c>
      <c r="W85" s="219"/>
      <c r="X85">
        <v>15.55</v>
      </c>
      <c r="Y85"/>
      <c r="Z85"/>
      <c r="AA85"/>
      <c r="AB85" s="220">
        <f>+AF85*BT85/100</f>
        <v>3.0739846270030728</v>
      </c>
      <c r="AC85" s="219"/>
      <c r="AD85" s="221">
        <f>+(AF85/AJ85)*10000</f>
        <v>41020.90032154342</v>
      </c>
      <c r="AE85" s="219"/>
      <c r="AF85" s="220">
        <f>($P85/$X85)*(((100-$CD85)/100*(100-2)/100))*100</f>
        <v>16.408360128617367</v>
      </c>
      <c r="AG85" s="219"/>
      <c r="AH85" s="220">
        <f>($P85/$X85)*(((100-$CD85)/(100-9)*(100-2)/(100-2))*100)</f>
        <v>18.399147935206734</v>
      </c>
      <c r="AI85" s="219"/>
      <c r="AJ85">
        <v>4</v>
      </c>
      <c r="AK85" s="284" t="s">
        <v>8398</v>
      </c>
      <c r="AL85">
        <v>165</v>
      </c>
      <c r="AM85"/>
      <c r="AN85" s="241">
        <v>72</v>
      </c>
      <c r="AO85" s="242">
        <v>42076</v>
      </c>
      <c r="AP85" s="255">
        <v>110</v>
      </c>
      <c r="AQ85" s="242">
        <v>42114</v>
      </c>
      <c r="AR85" s="223">
        <v>138</v>
      </c>
      <c r="AS85" s="297">
        <f>IF(AR85=0,,AR85)</f>
        <v>138</v>
      </c>
      <c r="AT85" s="290">
        <v>42142</v>
      </c>
      <c r="AU85" s="298"/>
      <c r="AV85"/>
      <c r="AW85"/>
      <c r="AX85"/>
      <c r="AY85"/>
      <c r="AZ85"/>
      <c r="BA85"/>
      <c r="BB85"/>
      <c r="BC85"/>
      <c r="BD85"/>
      <c r="BE85"/>
      <c r="BF85" s="277">
        <v>4.3883647918701172</v>
      </c>
      <c r="BG85" s="283">
        <v>42230</v>
      </c>
      <c r="BH85"/>
      <c r="BI85"/>
      <c r="BJ85"/>
      <c r="BK85"/>
      <c r="BL85" s="277">
        <v>59.267078399658203</v>
      </c>
      <c r="BM85" s="283">
        <v>42230</v>
      </c>
      <c r="BN85"/>
      <c r="BO85"/>
      <c r="BP85" s="277">
        <v>2.9242138862609863</v>
      </c>
      <c r="BQ85" s="283">
        <v>42230</v>
      </c>
      <c r="BR85" s="277">
        <v>47.502265930175781</v>
      </c>
      <c r="BS85" s="283">
        <v>42230</v>
      </c>
      <c r="BT85" s="277">
        <v>18.734258651733398</v>
      </c>
      <c r="BU85" s="283">
        <v>42230</v>
      </c>
      <c r="BV85" s="277">
        <v>60.322746276855469</v>
      </c>
      <c r="BW85" s="283">
        <v>42230</v>
      </c>
      <c r="BX85" s="277">
        <v>5.4323501586914062</v>
      </c>
      <c r="BY85" s="283">
        <v>42230</v>
      </c>
      <c r="BZ85"/>
      <c r="CB85" s="266">
        <v>3.21</v>
      </c>
      <c r="CC85"/>
      <c r="CD85" s="277">
        <v>3.5714285714285587</v>
      </c>
      <c r="CE85" s="291" t="s">
        <v>8398</v>
      </c>
      <c r="CF85"/>
      <c r="CG85"/>
      <c r="CH85">
        <v>3</v>
      </c>
      <c r="CI85">
        <v>8</v>
      </c>
      <c r="CK85"/>
      <c r="CL85" s="223">
        <v>5</v>
      </c>
      <c r="CM85" s="259">
        <v>42161</v>
      </c>
      <c r="CO85" s="137" t="s">
        <v>8405</v>
      </c>
    </row>
    <row r="86" spans="1:93">
      <c r="A86" s="258">
        <v>145</v>
      </c>
      <c r="B86" s="235">
        <v>145</v>
      </c>
      <c r="C86" s="235" t="s">
        <v>7612</v>
      </c>
      <c r="D86" s="235" t="s">
        <v>7813</v>
      </c>
      <c r="E86" s="235" t="s">
        <v>7612</v>
      </c>
      <c r="F86" s="235" t="s">
        <v>8628</v>
      </c>
      <c r="G86" s="235" t="str">
        <f>IF(MID(C86,1,3)="BGA","Complement","Rapsodyn")</f>
        <v>Rapsodyn</v>
      </c>
      <c r="H86" s="235" t="s">
        <v>265</v>
      </c>
      <c r="I86" s="235">
        <v>1</v>
      </c>
      <c r="J86" s="235">
        <v>9364</v>
      </c>
      <c r="K86" s="235">
        <v>2</v>
      </c>
      <c r="L86" s="235">
        <f t="shared" si="48"/>
        <v>2</v>
      </c>
      <c r="M86" s="235">
        <v>2</v>
      </c>
      <c r="N86" s="235">
        <v>7</v>
      </c>
      <c r="O86" s="248">
        <v>42048</v>
      </c>
      <c r="P86">
        <v>1.85</v>
      </c>
      <c r="Q86" s="264">
        <v>42204</v>
      </c>
      <c r="R86"/>
      <c r="S86"/>
      <c r="T86"/>
      <c r="V86" s="219">
        <f>+BR86*AF86/100</f>
        <v>5.2641620037368453</v>
      </c>
      <c r="W86" s="219"/>
      <c r="X86">
        <v>15.55</v>
      </c>
      <c r="Y86"/>
      <c r="Z86"/>
      <c r="AA86"/>
      <c r="AB86" s="220">
        <f>+AF86*BT86/100</f>
        <v>2.3178266939689913</v>
      </c>
      <c r="AC86" s="219"/>
      <c r="AD86" s="221">
        <f>+(AF86/AJ86)*10000</f>
        <v>24486.821933193849</v>
      </c>
      <c r="AE86" s="219"/>
      <c r="AF86" s="220">
        <f>($P86/$X86)*(((100-$CD86)/100*(100-2)/100))*100</f>
        <v>11.263938089269169</v>
      </c>
      <c r="AG86" s="219"/>
      <c r="AH86" s="220">
        <f>($P86/$X86)*(((100-$CD86)/(100-9)*(100-2)/(100-2))*100)</f>
        <v>12.630565249236568</v>
      </c>
      <c r="AI86" s="219"/>
      <c r="AJ86">
        <v>4.5999999999999996</v>
      </c>
      <c r="AK86" s="284" t="s">
        <v>8398</v>
      </c>
      <c r="AL86">
        <v>165</v>
      </c>
      <c r="AM86"/>
      <c r="AN86" s="241">
        <v>70</v>
      </c>
      <c r="AO86" s="242">
        <v>42074</v>
      </c>
      <c r="AP86" s="255">
        <v>104</v>
      </c>
      <c r="AQ86" s="242">
        <v>42108</v>
      </c>
      <c r="AR86" s="223">
        <v>129</v>
      </c>
      <c r="AS86" s="297">
        <f>IF(AR86=0,,AR86)</f>
        <v>129</v>
      </c>
      <c r="AT86" s="290">
        <v>42133</v>
      </c>
      <c r="AU86" s="298"/>
      <c r="AV86"/>
      <c r="AW86"/>
      <c r="AX86"/>
      <c r="AY86"/>
      <c r="AZ86"/>
      <c r="BA86"/>
      <c r="BB86"/>
      <c r="BC86"/>
      <c r="BD86"/>
      <c r="BE86"/>
      <c r="BF86" s="277">
        <v>25.800609588623047</v>
      </c>
      <c r="BG86" s="283">
        <v>42230</v>
      </c>
      <c r="BH86"/>
      <c r="BI86"/>
      <c r="BJ86"/>
      <c r="BK86"/>
      <c r="BL86" s="277">
        <v>58.729934692382813</v>
      </c>
      <c r="BM86" s="283">
        <v>42230</v>
      </c>
      <c r="BN86"/>
      <c r="BO86"/>
      <c r="BP86" s="277">
        <v>4.3072381019592285</v>
      </c>
      <c r="BQ86" s="283">
        <v>42230</v>
      </c>
      <c r="BR86" s="277">
        <v>46.734649658203125</v>
      </c>
      <c r="BS86" s="283">
        <v>42230</v>
      </c>
      <c r="BT86" s="277">
        <v>20.577409744262695</v>
      </c>
      <c r="BU86" s="283">
        <v>42230</v>
      </c>
      <c r="BV86" s="277">
        <v>70.403106689453125</v>
      </c>
      <c r="BW86" s="283">
        <v>42230</v>
      </c>
      <c r="BX86" s="277">
        <v>5.7990646362304687</v>
      </c>
      <c r="BY86" s="283">
        <v>42230</v>
      </c>
      <c r="BZ86"/>
      <c r="CB86" s="266">
        <v>1.84</v>
      </c>
      <c r="CC86"/>
      <c r="CD86" s="277">
        <v>3.3898305084745792</v>
      </c>
      <c r="CE86" s="291" t="s">
        <v>8398</v>
      </c>
      <c r="CF86"/>
      <c r="CG86"/>
      <c r="CH86">
        <v>3</v>
      </c>
      <c r="CI86">
        <v>7</v>
      </c>
      <c r="CK86"/>
      <c r="CL86" s="223">
        <v>7</v>
      </c>
      <c r="CM86" s="259">
        <v>42161</v>
      </c>
      <c r="CO86" s="137" t="s">
        <v>8405</v>
      </c>
    </row>
    <row r="87" spans="1:93">
      <c r="A87" s="258">
        <v>146</v>
      </c>
      <c r="B87" s="235">
        <v>146</v>
      </c>
      <c r="C87" s="235" t="s">
        <v>7576</v>
      </c>
      <c r="D87" s="235"/>
      <c r="E87" s="235"/>
      <c r="F87" s="235"/>
      <c r="G87" s="235"/>
      <c r="H87" s="235" t="s">
        <v>265</v>
      </c>
      <c r="I87" s="235">
        <v>1</v>
      </c>
      <c r="K87" s="235">
        <v>1</v>
      </c>
      <c r="L87" s="235">
        <f t="shared" si="48"/>
        <v>1</v>
      </c>
      <c r="M87" s="235">
        <v>2</v>
      </c>
      <c r="O87" s="248">
        <v>42048</v>
      </c>
      <c r="P87" s="223"/>
      <c r="Q87" s="224"/>
      <c r="R87" s="223"/>
      <c r="S87" s="223"/>
      <c r="T87" s="223"/>
      <c r="U87" s="225"/>
      <c r="V87" s="219"/>
      <c r="W87" s="224"/>
      <c r="X87">
        <v>15.55</v>
      </c>
      <c r="Y87" s="223"/>
      <c r="Z87" s="223"/>
      <c r="AA87" s="223"/>
      <c r="AB87" s="220"/>
      <c r="AC87" s="224"/>
      <c r="AD87" s="221"/>
      <c r="AE87" s="224"/>
      <c r="AF87" s="220"/>
      <c r="AG87" s="224"/>
      <c r="AH87" s="220"/>
      <c r="AI87" s="224"/>
      <c r="AJ87" s="286"/>
      <c r="AK87" s="290"/>
      <c r="AL87" s="223"/>
      <c r="AM87" s="223"/>
      <c r="AN87" s="241">
        <v>70</v>
      </c>
      <c r="AO87" s="242">
        <v>42074</v>
      </c>
      <c r="AP87" s="255">
        <v>104</v>
      </c>
      <c r="AQ87" s="242">
        <v>42108</v>
      </c>
      <c r="AR87" s="223"/>
      <c r="AS87" s="297"/>
      <c r="AT87" s="290"/>
      <c r="AU87" s="298"/>
      <c r="AV87" s="223"/>
      <c r="AW87" s="223"/>
      <c r="AX87" s="223"/>
      <c r="AY87" s="223"/>
      <c r="AZ87" s="223"/>
      <c r="BA87" s="223"/>
      <c r="BB87" s="223"/>
      <c r="BC87" s="223"/>
      <c r="BD87" s="223"/>
      <c r="BE87" s="223"/>
      <c r="BF87" s="281"/>
      <c r="BG87" s="235"/>
      <c r="BH87" s="223"/>
      <c r="BI87" s="223"/>
      <c r="BJ87" s="223"/>
      <c r="BK87" s="223"/>
      <c r="BL87" s="281"/>
      <c r="BM87" s="235"/>
      <c r="BN87" s="223"/>
      <c r="BO87" s="223"/>
      <c r="BP87" s="281"/>
      <c r="BQ87" s="235"/>
      <c r="BR87" s="281"/>
      <c r="BS87" s="235"/>
      <c r="BT87" s="281"/>
      <c r="BU87" s="235"/>
      <c r="BV87" s="281"/>
      <c r="BW87" s="235"/>
      <c r="BX87" s="281"/>
      <c r="BY87" s="235"/>
      <c r="BZ87" s="223"/>
      <c r="CA87" s="226"/>
      <c r="CB87" s="266"/>
      <c r="CC87" s="223"/>
      <c r="CD87" s="281"/>
      <c r="CE87" s="291"/>
      <c r="CF87" s="223"/>
      <c r="CG87" s="223"/>
      <c r="CH87" s="223"/>
      <c r="CI87" s="223"/>
      <c r="CK87" s="223"/>
      <c r="CL87" s="223">
        <v>1</v>
      </c>
      <c r="CM87" s="259">
        <v>42161</v>
      </c>
    </row>
    <row r="88" spans="1:93">
      <c r="A88" s="258">
        <v>147</v>
      </c>
      <c r="B88" s="235">
        <v>147</v>
      </c>
      <c r="C88" s="235" t="s">
        <v>7576</v>
      </c>
      <c r="D88" s="235"/>
      <c r="E88" s="235"/>
      <c r="F88" s="235"/>
      <c r="G88" s="235"/>
      <c r="H88" s="235" t="s">
        <v>265</v>
      </c>
      <c r="I88" s="235">
        <v>1</v>
      </c>
      <c r="K88" s="235">
        <v>1</v>
      </c>
      <c r="L88" s="235">
        <f t="shared" si="48"/>
        <v>1</v>
      </c>
      <c r="M88" s="235">
        <v>3</v>
      </c>
      <c r="O88" s="248">
        <v>42048</v>
      </c>
      <c r="P88"/>
      <c r="Q88" s="219"/>
      <c r="R88"/>
      <c r="S88"/>
      <c r="T88"/>
      <c r="V88" s="219"/>
      <c r="W88" s="219"/>
      <c r="X88">
        <v>15.55</v>
      </c>
      <c r="Y88"/>
      <c r="Z88"/>
      <c r="AA88"/>
      <c r="AB88" s="220"/>
      <c r="AC88" s="219"/>
      <c r="AD88" s="221"/>
      <c r="AE88" s="219"/>
      <c r="AF88" s="220"/>
      <c r="AG88" s="219"/>
      <c r="AH88" s="220"/>
      <c r="AI88" s="219"/>
      <c r="AJ88" s="286"/>
      <c r="AK88" s="284"/>
      <c r="AL88"/>
      <c r="AM88"/>
      <c r="AN88" s="241">
        <v>70</v>
      </c>
      <c r="AO88" s="242">
        <v>42074</v>
      </c>
      <c r="AP88" s="255">
        <v>104</v>
      </c>
      <c r="AQ88" s="242">
        <v>42108</v>
      </c>
      <c r="AR88"/>
      <c r="AS88" s="297"/>
      <c r="AT88" s="290"/>
      <c r="AU88" s="298"/>
      <c r="AV88"/>
      <c r="AW88"/>
      <c r="AX88"/>
      <c r="AY88"/>
      <c r="AZ88"/>
      <c r="BA88"/>
      <c r="BB88"/>
      <c r="BC88"/>
      <c r="BD88"/>
      <c r="BE88"/>
      <c r="BF88" s="277"/>
      <c r="BG88" s="235"/>
      <c r="BH88"/>
      <c r="BI88"/>
      <c r="BJ88"/>
      <c r="BK88"/>
      <c r="BL88" s="277"/>
      <c r="BM88" s="235"/>
      <c r="BN88"/>
      <c r="BO88"/>
      <c r="BP88" s="277"/>
      <c r="BQ88" s="235"/>
      <c r="BR88" s="277"/>
      <c r="BS88" s="235"/>
      <c r="BT88" s="277"/>
      <c r="BU88" s="235"/>
      <c r="BV88" s="277"/>
      <c r="BW88" s="235"/>
      <c r="BX88" s="277"/>
      <c r="BY88" s="235"/>
      <c r="BZ88"/>
      <c r="CB88" s="266"/>
      <c r="CC88"/>
      <c r="CD88" s="277"/>
      <c r="CE88" s="291"/>
      <c r="CF88"/>
      <c r="CG88"/>
      <c r="CH88"/>
      <c r="CI88"/>
      <c r="CK88"/>
      <c r="CL88" s="223">
        <v>1</v>
      </c>
      <c r="CM88" s="259">
        <v>42161</v>
      </c>
    </row>
    <row r="89" spans="1:93">
      <c r="A89" s="258">
        <v>148</v>
      </c>
      <c r="B89" s="235">
        <v>148</v>
      </c>
      <c r="C89" s="235" t="s">
        <v>7629</v>
      </c>
      <c r="D89" s="235" t="s">
        <v>7463</v>
      </c>
      <c r="E89" s="235" t="s">
        <v>7629</v>
      </c>
      <c r="F89" s="235" t="s">
        <v>8493</v>
      </c>
      <c r="G89" s="235" t="str">
        <f>IF(MID(C89,1,3)="BGA","Complement","Rapsodyn")</f>
        <v>Rapsodyn</v>
      </c>
      <c r="H89" s="235" t="s">
        <v>265</v>
      </c>
      <c r="I89" s="235">
        <v>1</v>
      </c>
      <c r="J89" s="235">
        <v>9365</v>
      </c>
      <c r="K89" s="235">
        <v>2</v>
      </c>
      <c r="L89" s="235">
        <f t="shared" si="48"/>
        <v>2</v>
      </c>
      <c r="M89" s="235">
        <v>3</v>
      </c>
      <c r="N89" s="235">
        <v>7</v>
      </c>
      <c r="O89" s="248">
        <v>42048</v>
      </c>
      <c r="P89">
        <v>1.9</v>
      </c>
      <c r="Q89" s="264">
        <v>42204</v>
      </c>
      <c r="R89"/>
      <c r="S89"/>
      <c r="T89"/>
      <c r="V89" s="219">
        <f>+BR89*AF89/100</f>
        <v>5.6896781674433097</v>
      </c>
      <c r="W89" s="219"/>
      <c r="X89">
        <v>15.55</v>
      </c>
      <c r="Y89"/>
      <c r="Z89"/>
      <c r="AA89"/>
      <c r="AB89" s="220">
        <f>+AF89*BT89/100</f>
        <v>2.3429476434803722</v>
      </c>
      <c r="AC89" s="219"/>
      <c r="AD89" s="221">
        <f>+(AF89/AJ89)*10000</f>
        <v>25408.642549753571</v>
      </c>
      <c r="AE89" s="219"/>
      <c r="AF89" s="220">
        <f>($P89/$X89)*(((100-$CD89)/100*(100-2)/100))*100</f>
        <v>11.764201500535904</v>
      </c>
      <c r="AG89" s="219"/>
      <c r="AH89" s="220">
        <f>($P89/$X89)*(((100-$CD89)/(100-9)*(100-2)/(100-2))*100)</f>
        <v>13.191524445543736</v>
      </c>
      <c r="AI89" s="219"/>
      <c r="AJ89">
        <v>4.63</v>
      </c>
      <c r="AK89" s="284" t="s">
        <v>8398</v>
      </c>
      <c r="AL89">
        <v>155</v>
      </c>
      <c r="AM89"/>
      <c r="AN89" s="241">
        <v>72</v>
      </c>
      <c r="AO89" s="242">
        <v>42076</v>
      </c>
      <c r="AP89" s="255">
        <v>104</v>
      </c>
      <c r="AQ89" s="242">
        <v>42108</v>
      </c>
      <c r="AR89" s="223">
        <v>127</v>
      </c>
      <c r="AS89" s="297">
        <f>IF(AR89=0,,AR89)</f>
        <v>127</v>
      </c>
      <c r="AT89" s="290">
        <v>42131</v>
      </c>
      <c r="AU89" s="298"/>
      <c r="AV89"/>
      <c r="AW89"/>
      <c r="AX89"/>
      <c r="AY89"/>
      <c r="AZ89"/>
      <c r="BA89"/>
      <c r="BB89"/>
      <c r="BC89"/>
      <c r="BD89"/>
      <c r="BE89"/>
      <c r="BF89" s="277">
        <v>-4.9828968048095703</v>
      </c>
      <c r="BG89" s="283">
        <v>42230</v>
      </c>
      <c r="BH89"/>
      <c r="BI89"/>
      <c r="BJ89"/>
      <c r="BK89"/>
      <c r="BL89" s="277">
        <v>60.879066467285156</v>
      </c>
      <c r="BM89" s="283">
        <v>42230</v>
      </c>
      <c r="BN89"/>
      <c r="BO89"/>
      <c r="BP89" s="277">
        <v>3.211108922958374</v>
      </c>
      <c r="BQ89" s="283">
        <v>42230</v>
      </c>
      <c r="BR89" s="277">
        <v>48.364337921142578</v>
      </c>
      <c r="BS89" s="283">
        <v>42230</v>
      </c>
      <c r="BT89" s="277">
        <v>19.915908813476563</v>
      </c>
      <c r="BU89" s="283">
        <v>42230</v>
      </c>
      <c r="BV89" s="277">
        <v>65.539169311523438</v>
      </c>
      <c r="BW89" s="283">
        <v>42230</v>
      </c>
      <c r="BX89" s="277">
        <v>5.2676010131835938</v>
      </c>
      <c r="BY89" s="283">
        <v>42230</v>
      </c>
      <c r="BZ89"/>
      <c r="CB89" s="266">
        <v>2.04</v>
      </c>
      <c r="CC89"/>
      <c r="CD89" s="277">
        <v>1.7543859649122899</v>
      </c>
      <c r="CE89" s="291" t="s">
        <v>8398</v>
      </c>
      <c r="CF89"/>
      <c r="CG89"/>
      <c r="CH89">
        <v>2</v>
      </c>
      <c r="CI89">
        <v>3</v>
      </c>
      <c r="CK89"/>
      <c r="CL89" s="223">
        <v>3</v>
      </c>
      <c r="CM89" s="259">
        <v>42161</v>
      </c>
      <c r="CN89" s="137" t="s">
        <v>8406</v>
      </c>
    </row>
    <row r="90" spans="1:93">
      <c r="A90" s="258">
        <v>149</v>
      </c>
      <c r="B90" s="235">
        <v>149</v>
      </c>
      <c r="C90" s="235" t="s">
        <v>8238</v>
      </c>
      <c r="D90" s="235" t="s">
        <v>7562</v>
      </c>
      <c r="E90" s="235" t="s">
        <v>8461</v>
      </c>
      <c r="F90" s="235" t="s">
        <v>8469</v>
      </c>
      <c r="G90" s="235" t="str">
        <f>IF(MID(C90,1,3)="BGA","Complement","Rapsodyn")</f>
        <v>Rapsodyn</v>
      </c>
      <c r="H90" s="235" t="s">
        <v>265</v>
      </c>
      <c r="I90" s="235">
        <v>1</v>
      </c>
      <c r="J90" s="235">
        <v>9384</v>
      </c>
      <c r="K90" s="235">
        <v>3</v>
      </c>
      <c r="L90" s="235">
        <f t="shared" si="48"/>
        <v>3</v>
      </c>
      <c r="M90" s="235">
        <v>3</v>
      </c>
      <c r="N90" s="235">
        <v>7</v>
      </c>
      <c r="O90" s="248">
        <v>42048</v>
      </c>
      <c r="P90">
        <v>4.45</v>
      </c>
      <c r="Q90" s="264">
        <v>42204</v>
      </c>
      <c r="R90" s="261"/>
      <c r="S90"/>
      <c r="T90"/>
      <c r="V90" s="219">
        <f>+BR90*AF90/100</f>
        <v>13.986677521010654</v>
      </c>
      <c r="W90" s="219"/>
      <c r="X90">
        <v>15.55</v>
      </c>
      <c r="Y90"/>
      <c r="Z90"/>
      <c r="AA90"/>
      <c r="AB90" s="220">
        <f>+AF90*BT90/100</f>
        <v>4.579652591887081</v>
      </c>
      <c r="AC90" s="219"/>
      <c r="AD90" s="221">
        <f>+(AF90/AJ90)*10000</f>
        <v>58213.756223993951</v>
      </c>
      <c r="AE90" s="219"/>
      <c r="AF90" s="220">
        <f>($P90/$X90)*(((100-$CD90)/100*(100-2)/100))*100</f>
        <v>27.535106693949139</v>
      </c>
      <c r="AG90" s="219"/>
      <c r="AH90" s="220">
        <f>($P90/$X90)*(((100-$CD90)/(100-9)*(100-2)/(100-2))*100)</f>
        <v>30.875876535040522</v>
      </c>
      <c r="AI90" s="219"/>
      <c r="AJ90">
        <v>4.7300000000000004</v>
      </c>
      <c r="AK90" s="284" t="s">
        <v>8398</v>
      </c>
      <c r="AL90">
        <v>155</v>
      </c>
      <c r="AM90"/>
      <c r="AN90" s="241">
        <v>75</v>
      </c>
      <c r="AO90" s="242">
        <v>42079</v>
      </c>
      <c r="AP90" s="255">
        <v>104</v>
      </c>
      <c r="AQ90" s="242">
        <v>42108</v>
      </c>
      <c r="AR90" s="223">
        <v>132</v>
      </c>
      <c r="AS90" s="297">
        <f>IF(AR90=0,,AR90)</f>
        <v>132</v>
      </c>
      <c r="AT90" s="290">
        <v>42136</v>
      </c>
      <c r="AU90" s="298"/>
      <c r="AV90"/>
      <c r="AW90"/>
      <c r="AX90"/>
      <c r="AY90"/>
      <c r="AZ90"/>
      <c r="BA90"/>
      <c r="BB90"/>
      <c r="BC90"/>
      <c r="BD90"/>
      <c r="BE90"/>
      <c r="BF90" s="277">
        <v>-3.5841460227966309</v>
      </c>
      <c r="BG90" s="283">
        <v>42230</v>
      </c>
      <c r="BH90"/>
      <c r="BI90"/>
      <c r="BJ90"/>
      <c r="BK90"/>
      <c r="BL90" s="277">
        <v>64.833503723144531</v>
      </c>
      <c r="BM90" s="283">
        <v>42230</v>
      </c>
      <c r="BN90"/>
      <c r="BO90"/>
      <c r="BP90" s="277">
        <v>3.89078688621521</v>
      </c>
      <c r="BQ90" s="283">
        <v>42230</v>
      </c>
      <c r="BR90" s="277">
        <v>50.795799255371094</v>
      </c>
      <c r="BS90" s="283">
        <v>42230</v>
      </c>
      <c r="BT90" s="277">
        <v>16.632049560546875</v>
      </c>
      <c r="BU90" s="283">
        <v>42230</v>
      </c>
      <c r="BV90" s="277">
        <v>14.568647384643555</v>
      </c>
      <c r="BW90" s="283">
        <v>42230</v>
      </c>
      <c r="BX90" s="277">
        <v>4.9506149291992187</v>
      </c>
      <c r="BY90" s="283">
        <v>42230</v>
      </c>
      <c r="BZ90"/>
      <c r="CB90" s="266">
        <v>1.77</v>
      </c>
      <c r="CC90"/>
      <c r="CD90" s="277">
        <v>1.8181818181818119</v>
      </c>
      <c r="CE90" s="291" t="s">
        <v>8398</v>
      </c>
      <c r="CF90"/>
      <c r="CG90"/>
      <c r="CH90">
        <v>2</v>
      </c>
      <c r="CI90">
        <v>3</v>
      </c>
      <c r="CK90"/>
      <c r="CL90" s="223">
        <v>1</v>
      </c>
      <c r="CM90" s="259">
        <v>42161</v>
      </c>
      <c r="CN90" s="137" t="s">
        <v>8406</v>
      </c>
    </row>
    <row r="91" spans="1:93">
      <c r="A91" s="258">
        <v>150</v>
      </c>
      <c r="B91" s="235">
        <v>150</v>
      </c>
      <c r="C91" s="235" t="s">
        <v>7646</v>
      </c>
      <c r="D91" s="235" t="s">
        <v>7478</v>
      </c>
      <c r="E91" s="235" t="s">
        <v>7646</v>
      </c>
      <c r="F91" s="235" t="s">
        <v>8630</v>
      </c>
      <c r="G91" s="235" t="str">
        <f>IF(MID(C91,1,3)="BGA","Complement","Rapsodyn")</f>
        <v>Rapsodyn</v>
      </c>
      <c r="H91" s="235" t="s">
        <v>265</v>
      </c>
      <c r="I91" s="235">
        <v>1</v>
      </c>
      <c r="J91" s="235">
        <v>9369</v>
      </c>
      <c r="K91" s="235">
        <v>4</v>
      </c>
      <c r="L91" s="235">
        <f t="shared" si="48"/>
        <v>4</v>
      </c>
      <c r="M91" s="235">
        <v>3</v>
      </c>
      <c r="N91" s="235">
        <v>7</v>
      </c>
      <c r="O91" s="248">
        <v>42048</v>
      </c>
      <c r="P91" s="223">
        <v>2.2999999999999998</v>
      </c>
      <c r="Q91" s="264">
        <v>42204</v>
      </c>
      <c r="R91" s="223"/>
      <c r="S91" s="223"/>
      <c r="T91" s="223"/>
      <c r="U91" s="225"/>
      <c r="V91" s="219">
        <f>+BR91*AF91/100</f>
        <v>7.264255151579432</v>
      </c>
      <c r="W91" s="224"/>
      <c r="X91">
        <v>15.55</v>
      </c>
      <c r="Y91" s="223"/>
      <c r="Z91" s="223"/>
      <c r="AA91" s="223"/>
      <c r="AB91" s="220">
        <f>+AF91*BT91/100</f>
        <v>2.3373689956546921</v>
      </c>
      <c r="AC91" s="224"/>
      <c r="AD91" s="221">
        <f>+(AF91/AJ91)*10000</f>
        <v>32014.491851065195</v>
      </c>
      <c r="AE91" s="224"/>
      <c r="AF91" s="220">
        <f>($P91/$X91)*(((100-$CD91)/100*(100-2)/100))*100</f>
        <v>13.958318447064427</v>
      </c>
      <c r="AG91" s="224"/>
      <c r="AH91" s="220">
        <f>($P91/$X91)*(((100-$CD91)/(100-9)*(100-2)/(100-2))*100)</f>
        <v>15.6518484492761</v>
      </c>
      <c r="AI91" s="224"/>
      <c r="AJ91">
        <v>4.3600000000000003</v>
      </c>
      <c r="AK91" s="290" t="s">
        <v>8398</v>
      </c>
      <c r="AL91" s="223">
        <v>170</v>
      </c>
      <c r="AM91" s="223"/>
      <c r="AN91" s="241">
        <v>72</v>
      </c>
      <c r="AO91" s="242">
        <v>42076</v>
      </c>
      <c r="AP91" s="255">
        <v>106</v>
      </c>
      <c r="AQ91" s="242">
        <v>42110</v>
      </c>
      <c r="AR91" s="223">
        <v>131</v>
      </c>
      <c r="AS91" s="297">
        <f>IF(AR91=0,,AR91)</f>
        <v>131</v>
      </c>
      <c r="AT91" s="290">
        <v>42135</v>
      </c>
      <c r="AU91" s="298"/>
      <c r="AV91" s="223"/>
      <c r="AW91" s="223"/>
      <c r="AX91" s="223"/>
      <c r="AY91" s="223"/>
      <c r="AZ91" s="223"/>
      <c r="BA91" s="223"/>
      <c r="BB91" s="223"/>
      <c r="BC91" s="223"/>
      <c r="BD91" s="223"/>
      <c r="BE91" s="223"/>
      <c r="BF91" s="281">
        <v>-4.857363224029541</v>
      </c>
      <c r="BG91" s="283">
        <v>42230</v>
      </c>
      <c r="BH91" s="223"/>
      <c r="BI91" s="223"/>
      <c r="BJ91" s="223"/>
      <c r="BK91" s="223"/>
      <c r="BL91" s="281">
        <v>57.193222045898438</v>
      </c>
      <c r="BM91" s="283">
        <v>42230</v>
      </c>
      <c r="BN91" s="223"/>
      <c r="BO91" s="223"/>
      <c r="BP91" s="281">
        <v>3.373366117477417</v>
      </c>
      <c r="BQ91" s="283">
        <v>42230</v>
      </c>
      <c r="BR91" s="281">
        <v>52.04248046875</v>
      </c>
      <c r="BS91" s="283">
        <v>42230</v>
      </c>
      <c r="BT91" s="281">
        <v>16.74534797668457</v>
      </c>
      <c r="BU91" s="283">
        <v>42230</v>
      </c>
      <c r="BV91" s="281">
        <v>65.165634155273437</v>
      </c>
      <c r="BW91" s="283">
        <v>42230</v>
      </c>
      <c r="BX91" s="281">
        <v>5.1334686279296875</v>
      </c>
      <c r="BY91" s="283">
        <v>42230</v>
      </c>
      <c r="BZ91" s="223"/>
      <c r="CA91" s="226"/>
      <c r="CB91" s="266">
        <v>2.5299999999999998</v>
      </c>
      <c r="CC91" s="223"/>
      <c r="CD91" s="281">
        <v>3.7037037037037068</v>
      </c>
      <c r="CE91" s="291" t="s">
        <v>8398</v>
      </c>
      <c r="CF91" s="223"/>
      <c r="CG91" s="223"/>
      <c r="CH91" s="223">
        <v>2</v>
      </c>
      <c r="CI91" s="223">
        <v>8</v>
      </c>
      <c r="CK91" s="223"/>
      <c r="CL91" s="223">
        <v>2</v>
      </c>
      <c r="CM91" s="259">
        <v>42161</v>
      </c>
      <c r="CO91" s="137" t="s">
        <v>8405</v>
      </c>
    </row>
    <row r="92" spans="1:93">
      <c r="A92" s="258">
        <v>151</v>
      </c>
      <c r="B92" s="235">
        <v>151</v>
      </c>
      <c r="C92" s="235" t="s">
        <v>7645</v>
      </c>
      <c r="D92" s="235" t="s">
        <v>7477</v>
      </c>
      <c r="E92" s="235" t="s">
        <v>7645</v>
      </c>
      <c r="F92" s="235" t="s">
        <v>8500</v>
      </c>
      <c r="G92" s="235" t="str">
        <f>IF(MID(C92,1,3)="BGA","Complement","Rapsodyn")</f>
        <v>Rapsodyn</v>
      </c>
      <c r="H92" s="235" t="s">
        <v>265</v>
      </c>
      <c r="I92" s="235">
        <v>1</v>
      </c>
      <c r="J92" s="235">
        <v>9368</v>
      </c>
      <c r="K92" s="235">
        <v>5</v>
      </c>
      <c r="L92" s="235">
        <f t="shared" si="48"/>
        <v>5</v>
      </c>
      <c r="M92" s="235">
        <v>3</v>
      </c>
      <c r="N92" s="235">
        <v>7</v>
      </c>
      <c r="O92" s="248">
        <v>42048</v>
      </c>
      <c r="P92">
        <v>2.0499999999999998</v>
      </c>
      <c r="Q92" s="264">
        <v>42204</v>
      </c>
      <c r="R92"/>
      <c r="S92"/>
      <c r="T92"/>
      <c r="V92" s="219">
        <f>+BR92*AF92/100</f>
        <v>6.0072750422118943</v>
      </c>
      <c r="W92" s="219"/>
      <c r="X92">
        <v>15.55</v>
      </c>
      <c r="Y92"/>
      <c r="Z92"/>
      <c r="AA92"/>
      <c r="AB92" s="220">
        <f>+AF92*BT92/100</f>
        <v>2.3285917513623495</v>
      </c>
      <c r="AC92" s="219"/>
      <c r="AD92" s="221">
        <f>+(AF92/AJ92)*10000</f>
        <v>25368.24058384811</v>
      </c>
      <c r="AE92" s="219"/>
      <c r="AF92" s="220">
        <f>($P92/$X92)*(((100-$CD92)/100*(100-2)/100))*100</f>
        <v>12.22749196141479</v>
      </c>
      <c r="AG92" s="219"/>
      <c r="AH92" s="220">
        <f>($P92/$X92)*(((100-$CD92)/(100-9)*(100-2)/(100-2))*100)</f>
        <v>13.71102485020721</v>
      </c>
      <c r="AI92" s="219"/>
      <c r="AJ92">
        <v>4.82</v>
      </c>
      <c r="AK92" s="284" t="s">
        <v>8398</v>
      </c>
      <c r="AL92">
        <v>170</v>
      </c>
      <c r="AM92"/>
      <c r="AN92" s="241">
        <v>72</v>
      </c>
      <c r="AO92" s="242">
        <v>42076</v>
      </c>
      <c r="AP92" s="255">
        <v>106</v>
      </c>
      <c r="AQ92" s="242">
        <v>42110</v>
      </c>
      <c r="AR92" s="223">
        <v>132</v>
      </c>
      <c r="AS92" s="297">
        <f>IF(AR92=0,,AR92)</f>
        <v>132</v>
      </c>
      <c r="AT92" s="290">
        <v>42136</v>
      </c>
      <c r="AU92" s="298"/>
      <c r="AV92"/>
      <c r="AW92"/>
      <c r="AX92"/>
      <c r="AY92"/>
      <c r="AZ92"/>
      <c r="BA92"/>
      <c r="BB92"/>
      <c r="BC92"/>
      <c r="BD92"/>
      <c r="BE92"/>
      <c r="BF92" s="277">
        <v>2.7628591060638428</v>
      </c>
      <c r="BG92" s="283">
        <v>42230</v>
      </c>
      <c r="BH92"/>
      <c r="BI92"/>
      <c r="BJ92"/>
      <c r="BK92"/>
      <c r="BL92" s="277">
        <v>59.686359405517578</v>
      </c>
      <c r="BM92" s="283">
        <v>42230</v>
      </c>
      <c r="BN92"/>
      <c r="BO92"/>
      <c r="BP92" s="277">
        <v>3.0431571006774902</v>
      </c>
      <c r="BQ92" s="283">
        <v>42230</v>
      </c>
      <c r="BR92" s="277">
        <v>49.129249572753906</v>
      </c>
      <c r="BS92" s="283">
        <v>42230</v>
      </c>
      <c r="BT92" s="277">
        <v>19.043903350830078</v>
      </c>
      <c r="BU92" s="283">
        <v>42230</v>
      </c>
      <c r="BV92" s="277">
        <v>66.170768737792969</v>
      </c>
      <c r="BW92" s="283">
        <v>42230</v>
      </c>
      <c r="BX92" s="277">
        <v>5.3419876098632813</v>
      </c>
      <c r="BY92" s="283">
        <v>42230</v>
      </c>
      <c r="BZ92"/>
      <c r="CB92" s="266">
        <v>2.37</v>
      </c>
      <c r="CC92"/>
      <c r="CD92" s="277">
        <v>5.3571428571428541</v>
      </c>
      <c r="CE92" s="291" t="s">
        <v>8398</v>
      </c>
      <c r="CF92"/>
      <c r="CG92"/>
      <c r="CH92">
        <v>2</v>
      </c>
      <c r="CI92">
        <v>7</v>
      </c>
      <c r="CK92"/>
      <c r="CL92" s="223">
        <v>3</v>
      </c>
      <c r="CM92" s="259">
        <v>42161</v>
      </c>
      <c r="CO92" s="137" t="s">
        <v>8405</v>
      </c>
    </row>
    <row r="93" spans="1:93">
      <c r="A93" s="258">
        <v>152</v>
      </c>
      <c r="B93" s="235">
        <v>152</v>
      </c>
      <c r="C93" s="235" t="s">
        <v>7576</v>
      </c>
      <c r="D93" s="235"/>
      <c r="E93" s="235"/>
      <c r="F93" s="235"/>
      <c r="G93" s="235"/>
      <c r="H93" s="235" t="s">
        <v>265</v>
      </c>
      <c r="I93" s="235">
        <v>1</v>
      </c>
      <c r="K93" s="235">
        <v>6</v>
      </c>
      <c r="L93" s="235">
        <f t="shared" si="48"/>
        <v>6</v>
      </c>
      <c r="M93" s="235">
        <v>3</v>
      </c>
      <c r="O93" s="248">
        <v>42048</v>
      </c>
      <c r="P93"/>
      <c r="Q93" s="219"/>
      <c r="R93"/>
      <c r="S93"/>
      <c r="T93"/>
      <c r="V93" s="219"/>
      <c r="W93" s="219"/>
      <c r="X93">
        <v>15.55</v>
      </c>
      <c r="Y93"/>
      <c r="Z93"/>
      <c r="AA93"/>
      <c r="AB93" s="220"/>
      <c r="AC93" s="219"/>
      <c r="AD93" s="221"/>
      <c r="AE93" s="219"/>
      <c r="AF93" s="220"/>
      <c r="AG93" s="219"/>
      <c r="AH93" s="220"/>
      <c r="AI93" s="219"/>
      <c r="AJ93" s="286"/>
      <c r="AK93" s="284"/>
      <c r="AL93"/>
      <c r="AM93"/>
      <c r="AN93" s="241">
        <v>70</v>
      </c>
      <c r="AO93" s="242">
        <v>42074</v>
      </c>
      <c r="AP93" s="255">
        <v>104</v>
      </c>
      <c r="AQ93" s="242">
        <v>42108</v>
      </c>
      <c r="AR93"/>
      <c r="AS93" s="297"/>
      <c r="AT93" s="290"/>
      <c r="AU93" s="298"/>
      <c r="AV93"/>
      <c r="AW93"/>
      <c r="AX93"/>
      <c r="AY93"/>
      <c r="AZ93"/>
      <c r="BA93"/>
      <c r="BB93"/>
      <c r="BC93"/>
      <c r="BD93"/>
      <c r="BE93"/>
      <c r="BF93" s="277"/>
      <c r="BG93" s="235"/>
      <c r="BH93"/>
      <c r="BI93"/>
      <c r="BJ93"/>
      <c r="BK93"/>
      <c r="BL93" s="277"/>
      <c r="BM93" s="235"/>
      <c r="BN93"/>
      <c r="BO93"/>
      <c r="BP93" s="277"/>
      <c r="BQ93" s="235"/>
      <c r="BR93" s="277"/>
      <c r="BS93" s="235"/>
      <c r="BT93" s="277"/>
      <c r="BU93" s="235"/>
      <c r="BV93" s="277"/>
      <c r="BW93" s="235"/>
      <c r="BX93" s="277"/>
      <c r="BY93" s="235"/>
      <c r="BZ93"/>
      <c r="CB93" s="266"/>
      <c r="CC93"/>
      <c r="CD93" s="277"/>
      <c r="CE93" s="291"/>
      <c r="CF93"/>
      <c r="CG93"/>
      <c r="CH93"/>
      <c r="CI93"/>
      <c r="CK93"/>
      <c r="CL93" s="223">
        <v>1</v>
      </c>
      <c r="CM93" s="259">
        <v>42161</v>
      </c>
    </row>
    <row r="94" spans="1:93">
      <c r="A94" s="258">
        <v>153</v>
      </c>
      <c r="B94" s="235">
        <v>153</v>
      </c>
      <c r="C94" s="235" t="s">
        <v>7805</v>
      </c>
      <c r="D94" s="235" t="s">
        <v>7599</v>
      </c>
      <c r="E94" s="235" t="s">
        <v>7805</v>
      </c>
      <c r="F94" s="235" t="s">
        <v>8579</v>
      </c>
      <c r="G94" s="235" t="str">
        <f t="shared" ref="G94:G106" si="49">IF(MID(C94,1,3)="BGA","Complement","Rapsodyn")</f>
        <v>Rapsodyn</v>
      </c>
      <c r="H94" s="235" t="s">
        <v>265</v>
      </c>
      <c r="I94" s="235">
        <v>1</v>
      </c>
      <c r="J94" s="235">
        <v>9176</v>
      </c>
      <c r="K94" s="235">
        <v>7</v>
      </c>
      <c r="L94" s="235">
        <f t="shared" si="48"/>
        <v>7</v>
      </c>
      <c r="M94" s="235">
        <v>3</v>
      </c>
      <c r="N94" s="235">
        <v>7</v>
      </c>
      <c r="O94" s="248">
        <v>42048</v>
      </c>
      <c r="P94">
        <v>5.05</v>
      </c>
      <c r="Q94" s="264">
        <v>42204</v>
      </c>
      <c r="R94"/>
      <c r="S94"/>
      <c r="T94"/>
      <c r="V94" s="219">
        <f t="shared" ref="V94:V100" si="50">+BR94*AF94/100</f>
        <v>15.893927126333731</v>
      </c>
      <c r="W94" s="219"/>
      <c r="X94">
        <v>15.55</v>
      </c>
      <c r="Y94"/>
      <c r="Z94"/>
      <c r="AA94"/>
      <c r="AB94" s="220">
        <f t="shared" ref="AB94:AB100" si="51">+AF94*BT94/100</f>
        <v>4.6025599414149516</v>
      </c>
      <c r="AC94" s="219"/>
      <c r="AD94" s="221">
        <f t="shared" ref="AD94:AD100" si="52">+(AF94/AJ94)*10000</f>
        <v>67345.727945972001</v>
      </c>
      <c r="AE94" s="219"/>
      <c r="AF94" s="220">
        <f t="shared" ref="AF94:AF100" si="53">($P94/$X94)*(((100-$CD94)/100*(100-2)/100))*100</f>
        <v>30.70965194336323</v>
      </c>
      <c r="AG94" s="219"/>
      <c r="AH94" s="220">
        <f t="shared" ref="AH94:AH100" si="54">($P94/$X94)*(((100-$CD94)/(100-9)*(100-2)/(100-2))*100)</f>
        <v>34.435581905542982</v>
      </c>
      <c r="AI94" s="219"/>
      <c r="AJ94">
        <v>4.5599999999999996</v>
      </c>
      <c r="AK94" s="284" t="s">
        <v>8398</v>
      </c>
      <c r="AL94">
        <v>150</v>
      </c>
      <c r="AM94"/>
      <c r="AN94" s="241">
        <v>70</v>
      </c>
      <c r="AO94" s="242">
        <v>42074</v>
      </c>
      <c r="AP94" s="255">
        <v>104</v>
      </c>
      <c r="AQ94" s="242">
        <v>42108</v>
      </c>
      <c r="AR94" s="223">
        <v>131</v>
      </c>
      <c r="AS94" s="297">
        <f t="shared" ref="AS94:AS106" si="55">IF(AR94=0,,AR94)</f>
        <v>131</v>
      </c>
      <c r="AT94" s="290">
        <v>42135</v>
      </c>
      <c r="AU94" s="298"/>
      <c r="AV94"/>
      <c r="AW94"/>
      <c r="AX94"/>
      <c r="AY94"/>
      <c r="AZ94"/>
      <c r="BA94"/>
      <c r="BB94"/>
      <c r="BC94"/>
      <c r="BD94"/>
      <c r="BE94"/>
      <c r="BF94" s="277">
        <v>7.7814087867736816</v>
      </c>
      <c r="BG94" s="283">
        <v>42230</v>
      </c>
      <c r="BH94"/>
      <c r="BI94"/>
      <c r="BJ94"/>
      <c r="BK94"/>
      <c r="BL94" s="277">
        <v>64.196090698242188</v>
      </c>
      <c r="BM94" s="283">
        <v>42230</v>
      </c>
      <c r="BN94"/>
      <c r="BO94"/>
      <c r="BP94" s="277">
        <v>4.0019559860229492</v>
      </c>
      <c r="BQ94" s="283">
        <v>42230</v>
      </c>
      <c r="BR94" s="277">
        <v>51.755477905273438</v>
      </c>
      <c r="BS94" s="283">
        <v>42230</v>
      </c>
      <c r="BT94" s="277">
        <v>14.987339973449707</v>
      </c>
      <c r="BU94" s="283">
        <v>42230</v>
      </c>
      <c r="BV94" s="277">
        <v>22.332319259643555</v>
      </c>
      <c r="BW94" s="283">
        <v>42230</v>
      </c>
      <c r="BX94" s="277">
        <v>5.8058700561523437</v>
      </c>
      <c r="BY94" s="283">
        <v>42230</v>
      </c>
      <c r="BZ94"/>
      <c r="CB94" s="266">
        <v>1.02</v>
      </c>
      <c r="CC94"/>
      <c r="CD94" s="277">
        <v>3.5087719298245648</v>
      </c>
      <c r="CE94" s="291" t="s">
        <v>8398</v>
      </c>
      <c r="CF94"/>
      <c r="CG94"/>
      <c r="CH94">
        <v>2</v>
      </c>
      <c r="CI94">
        <v>2</v>
      </c>
      <c r="CK94"/>
      <c r="CL94" s="223">
        <v>1</v>
      </c>
      <c r="CM94" s="259">
        <v>42161</v>
      </c>
      <c r="CN94" s="137" t="s">
        <v>8406</v>
      </c>
    </row>
    <row r="95" spans="1:93">
      <c r="A95" s="258">
        <v>156</v>
      </c>
      <c r="B95" s="235">
        <v>156</v>
      </c>
      <c r="C95" s="235" t="s">
        <v>7707</v>
      </c>
      <c r="D95" s="235" t="s">
        <v>7533</v>
      </c>
      <c r="E95" s="235" t="s">
        <v>7707</v>
      </c>
      <c r="F95" s="235" t="s">
        <v>8467</v>
      </c>
      <c r="G95" s="235" t="str">
        <f t="shared" si="49"/>
        <v>Rapsodyn</v>
      </c>
      <c r="H95" s="235" t="s">
        <v>265</v>
      </c>
      <c r="I95" s="235">
        <v>1</v>
      </c>
      <c r="J95" s="235">
        <v>9089</v>
      </c>
      <c r="K95" s="235">
        <v>10</v>
      </c>
      <c r="L95" s="235">
        <f t="shared" si="48"/>
        <v>10</v>
      </c>
      <c r="M95" s="235">
        <v>3</v>
      </c>
      <c r="N95" s="235">
        <v>7</v>
      </c>
      <c r="O95" s="248">
        <v>42048</v>
      </c>
      <c r="P95">
        <v>4.3499999999999996</v>
      </c>
      <c r="Q95" s="264">
        <v>42204</v>
      </c>
      <c r="R95"/>
      <c r="S95"/>
      <c r="T95"/>
      <c r="V95" s="219">
        <f t="shared" si="50"/>
        <v>13.282891162438016</v>
      </c>
      <c r="W95" s="219"/>
      <c r="X95">
        <v>15.55</v>
      </c>
      <c r="Y95"/>
      <c r="Z95"/>
      <c r="AA95"/>
      <c r="AB95" s="220">
        <f t="shared" si="51"/>
        <v>4.383649416480754</v>
      </c>
      <c r="AC95" s="219"/>
      <c r="AD95" s="221">
        <f t="shared" si="52"/>
        <v>60513.531565626152</v>
      </c>
      <c r="AE95" s="219"/>
      <c r="AF95" s="220">
        <f t="shared" si="53"/>
        <v>26.020818573219245</v>
      </c>
      <c r="AG95" s="219"/>
      <c r="AH95" s="220">
        <f t="shared" si="54"/>
        <v>29.17786339226199</v>
      </c>
      <c r="AI95" s="219"/>
      <c r="AJ95">
        <v>4.3</v>
      </c>
      <c r="AK95" s="284" t="s">
        <v>8400</v>
      </c>
      <c r="AL95">
        <v>145</v>
      </c>
      <c r="AM95"/>
      <c r="AN95" s="241">
        <v>72</v>
      </c>
      <c r="AO95" s="242">
        <v>42076</v>
      </c>
      <c r="AP95" s="255">
        <v>104</v>
      </c>
      <c r="AQ95" s="242">
        <v>42108</v>
      </c>
      <c r="AR95" s="223">
        <v>127</v>
      </c>
      <c r="AS95" s="297">
        <f t="shared" si="55"/>
        <v>127</v>
      </c>
      <c r="AT95" s="290">
        <v>42131</v>
      </c>
      <c r="AU95" s="298"/>
      <c r="AV95"/>
      <c r="AW95"/>
      <c r="AX95"/>
      <c r="AY95"/>
      <c r="AZ95"/>
      <c r="BA95"/>
      <c r="BB95"/>
      <c r="BC95"/>
      <c r="BD95"/>
      <c r="BE95"/>
      <c r="BF95" s="277">
        <v>-7.0708727836608887</v>
      </c>
      <c r="BG95" s="283">
        <v>42230</v>
      </c>
      <c r="BH95"/>
      <c r="BI95"/>
      <c r="BJ95"/>
      <c r="BK95"/>
      <c r="BL95" s="277">
        <v>65.358650207519531</v>
      </c>
      <c r="BM95" s="283">
        <v>42230</v>
      </c>
      <c r="BN95"/>
      <c r="BO95"/>
      <c r="BP95" s="277">
        <v>3.6112940311431885</v>
      </c>
      <c r="BQ95" s="283">
        <v>42230</v>
      </c>
      <c r="BR95" s="277">
        <v>51.047168731689453</v>
      </c>
      <c r="BS95" s="283">
        <v>42230</v>
      </c>
      <c r="BT95" s="277">
        <v>16.846700668334961</v>
      </c>
      <c r="BU95" s="283">
        <v>42230</v>
      </c>
      <c r="BV95" s="277">
        <v>10.145231246948242</v>
      </c>
      <c r="BW95" s="283">
        <v>42230</v>
      </c>
      <c r="BX95" s="277">
        <v>5.3530044555664062</v>
      </c>
      <c r="BY95" s="283">
        <v>42230</v>
      </c>
      <c r="BZ95"/>
      <c r="CB95" s="266">
        <v>0.92</v>
      </c>
      <c r="CC95"/>
      <c r="CD95" s="277">
        <v>5.0847457627118757</v>
      </c>
      <c r="CE95" s="291" t="s">
        <v>8400</v>
      </c>
      <c r="CF95"/>
      <c r="CG95"/>
      <c r="CH95">
        <v>2</v>
      </c>
      <c r="CI95">
        <v>2</v>
      </c>
      <c r="CK95"/>
      <c r="CL95" s="223">
        <v>1</v>
      </c>
      <c r="CM95" s="259">
        <v>42161</v>
      </c>
      <c r="CN95" s="137" t="s">
        <v>8406</v>
      </c>
    </row>
    <row r="96" spans="1:93">
      <c r="A96" s="258">
        <v>158</v>
      </c>
      <c r="B96" s="235">
        <v>158</v>
      </c>
      <c r="C96" s="235" t="s">
        <v>7739</v>
      </c>
      <c r="D96" s="235" t="s">
        <v>8418</v>
      </c>
      <c r="E96" s="235" t="s">
        <v>7739</v>
      </c>
      <c r="F96" s="235" t="s">
        <v>8490</v>
      </c>
      <c r="G96" s="235" t="str">
        <f t="shared" si="49"/>
        <v>Rapsodyn</v>
      </c>
      <c r="H96" s="235" t="s">
        <v>265</v>
      </c>
      <c r="I96" s="235">
        <v>1</v>
      </c>
      <c r="J96" s="235">
        <v>9119</v>
      </c>
      <c r="K96" s="235">
        <v>12</v>
      </c>
      <c r="L96" s="235">
        <f t="shared" si="48"/>
        <v>12</v>
      </c>
      <c r="M96" s="235">
        <v>3</v>
      </c>
      <c r="N96" s="235">
        <v>7</v>
      </c>
      <c r="O96" s="248">
        <v>42048</v>
      </c>
      <c r="P96">
        <v>3.25</v>
      </c>
      <c r="Q96" s="264">
        <v>42204</v>
      </c>
      <c r="R96"/>
      <c r="S96"/>
      <c r="T96"/>
      <c r="V96" s="219">
        <f t="shared" si="50"/>
        <v>9.6673675702620638</v>
      </c>
      <c r="W96" s="219"/>
      <c r="X96">
        <v>15.55</v>
      </c>
      <c r="Y96"/>
      <c r="Z96"/>
      <c r="AA96"/>
      <c r="AB96" s="220">
        <f t="shared" si="51"/>
        <v>3.3662257729803251</v>
      </c>
      <c r="AC96" s="219"/>
      <c r="AD96" s="221">
        <f t="shared" si="52"/>
        <v>41068.998709730273</v>
      </c>
      <c r="AE96" s="219"/>
      <c r="AF96" s="220">
        <f t="shared" si="53"/>
        <v>19.34349839228296</v>
      </c>
      <c r="AG96" s="219"/>
      <c r="AH96" s="220">
        <f t="shared" si="54"/>
        <v>21.690399632521817</v>
      </c>
      <c r="AI96" s="219"/>
      <c r="AJ96" s="287">
        <v>4.71</v>
      </c>
      <c r="AK96" s="284" t="s">
        <v>8399</v>
      </c>
      <c r="AL96">
        <v>180</v>
      </c>
      <c r="AM96"/>
      <c r="AN96" s="241">
        <v>72</v>
      </c>
      <c r="AO96" s="242">
        <v>42076</v>
      </c>
      <c r="AP96" s="255">
        <v>110</v>
      </c>
      <c r="AQ96" s="242">
        <v>42114</v>
      </c>
      <c r="AR96" s="223">
        <v>133</v>
      </c>
      <c r="AS96" s="297">
        <f t="shared" si="55"/>
        <v>133</v>
      </c>
      <c r="AT96" s="290">
        <v>42137</v>
      </c>
      <c r="AU96" s="298"/>
      <c r="AV96"/>
      <c r="AW96"/>
      <c r="AX96"/>
      <c r="AY96"/>
      <c r="AZ96"/>
      <c r="BA96"/>
      <c r="BB96"/>
      <c r="BC96"/>
      <c r="BD96"/>
      <c r="BE96"/>
      <c r="BF96" s="277">
        <v>37.604217529296875</v>
      </c>
      <c r="BG96" s="283">
        <v>42233</v>
      </c>
      <c r="BH96"/>
      <c r="BI96"/>
      <c r="BJ96"/>
      <c r="BK96"/>
      <c r="BL96" s="277">
        <v>61.70086669921875</v>
      </c>
      <c r="BM96" s="283">
        <v>42233</v>
      </c>
      <c r="BN96"/>
      <c r="BO96"/>
      <c r="BP96" s="277">
        <v>3.5199930667877197</v>
      </c>
      <c r="BQ96" s="283">
        <v>42233</v>
      </c>
      <c r="BR96" s="277">
        <v>49.977348327636719</v>
      </c>
      <c r="BS96" s="283">
        <v>42233</v>
      </c>
      <c r="BT96" s="277">
        <v>17.402362823486328</v>
      </c>
      <c r="BU96" s="283">
        <v>42233</v>
      </c>
      <c r="BV96" s="277">
        <v>59.724098205566406</v>
      </c>
      <c r="BW96" s="283">
        <v>42233</v>
      </c>
      <c r="BX96" s="277">
        <v>5.442596435546875</v>
      </c>
      <c r="BY96" s="283">
        <v>42233</v>
      </c>
      <c r="BZ96"/>
      <c r="CB96" s="266">
        <v>1.8</v>
      </c>
      <c r="CC96"/>
      <c r="CD96" s="277">
        <v>5.56</v>
      </c>
      <c r="CE96" s="291" t="s">
        <v>8399</v>
      </c>
      <c r="CF96"/>
      <c r="CG96"/>
      <c r="CH96">
        <v>2</v>
      </c>
      <c r="CI96">
        <v>3</v>
      </c>
      <c r="CK96"/>
      <c r="CL96" s="223">
        <v>2</v>
      </c>
      <c r="CM96" s="259">
        <v>42161</v>
      </c>
      <c r="CN96" s="137" t="s">
        <v>8406</v>
      </c>
    </row>
    <row r="97" spans="1:94">
      <c r="A97" s="258">
        <v>159</v>
      </c>
      <c r="B97" s="235">
        <v>159</v>
      </c>
      <c r="C97" s="235" t="s">
        <v>7787</v>
      </c>
      <c r="D97" s="235" t="s">
        <v>7585</v>
      </c>
      <c r="E97" s="235" t="s">
        <v>7787</v>
      </c>
      <c r="F97" s="235" t="s">
        <v>8616</v>
      </c>
      <c r="G97" s="235" t="str">
        <f t="shared" si="49"/>
        <v>Rapsodyn</v>
      </c>
      <c r="H97" s="235" t="s">
        <v>265</v>
      </c>
      <c r="I97" s="235">
        <v>1</v>
      </c>
      <c r="J97" s="235">
        <v>9158</v>
      </c>
      <c r="K97" s="235">
        <v>13</v>
      </c>
      <c r="L97" s="235">
        <f t="shared" si="48"/>
        <v>13</v>
      </c>
      <c r="M97" s="235">
        <v>3</v>
      </c>
      <c r="N97" s="235">
        <v>5</v>
      </c>
      <c r="O97" s="248">
        <v>42048</v>
      </c>
      <c r="P97">
        <v>5</v>
      </c>
      <c r="Q97" s="264">
        <v>42204</v>
      </c>
      <c r="R97"/>
      <c r="S97"/>
      <c r="T97"/>
      <c r="V97" s="219">
        <f t="shared" si="50"/>
        <v>15.74251144636203</v>
      </c>
      <c r="W97" s="219"/>
      <c r="X97">
        <v>15.55</v>
      </c>
      <c r="Y97"/>
      <c r="Z97"/>
      <c r="AA97"/>
      <c r="AB97" s="220">
        <f t="shared" si="51"/>
        <v>4.447514517312869</v>
      </c>
      <c r="AC97" s="219"/>
      <c r="AD97" s="221">
        <f t="shared" si="52"/>
        <v>60667.316157746965</v>
      </c>
      <c r="AE97" s="219"/>
      <c r="AF97" s="220">
        <f t="shared" si="53"/>
        <v>29.908986865769254</v>
      </c>
      <c r="AG97" s="219"/>
      <c r="AH97" s="220">
        <f t="shared" si="54"/>
        <v>33.537774014094246</v>
      </c>
      <c r="AI97" s="219"/>
      <c r="AJ97">
        <v>4.93</v>
      </c>
      <c r="AK97" s="284" t="s">
        <v>8399</v>
      </c>
      <c r="AL97">
        <v>165</v>
      </c>
      <c r="AM97"/>
      <c r="AN97" s="241">
        <v>70</v>
      </c>
      <c r="AO97" s="242">
        <v>42074</v>
      </c>
      <c r="AP97" s="255">
        <v>104</v>
      </c>
      <c r="AQ97" s="242">
        <v>42108</v>
      </c>
      <c r="AR97" s="223">
        <v>127</v>
      </c>
      <c r="AS97" s="297">
        <f t="shared" si="55"/>
        <v>127</v>
      </c>
      <c r="AT97" s="290">
        <v>42131</v>
      </c>
      <c r="AU97" s="298"/>
      <c r="AV97"/>
      <c r="AW97"/>
      <c r="AX97"/>
      <c r="AY97"/>
      <c r="AZ97"/>
      <c r="BA97"/>
      <c r="BB97"/>
      <c r="BC97"/>
      <c r="BD97"/>
      <c r="BE97"/>
      <c r="BF97" s="277">
        <v>-1.2260110378265381</v>
      </c>
      <c r="BG97" s="283">
        <v>42233</v>
      </c>
      <c r="BH97"/>
      <c r="BI97"/>
      <c r="BJ97"/>
      <c r="BK97"/>
      <c r="BL97" s="277">
        <v>64.301704406738281</v>
      </c>
      <c r="BM97" s="283">
        <v>42233</v>
      </c>
      <c r="BN97"/>
      <c r="BO97"/>
      <c r="BP97" s="277">
        <v>4.0856661796569824</v>
      </c>
      <c r="BQ97" s="283">
        <v>42233</v>
      </c>
      <c r="BR97" s="277">
        <v>52.634719848632812</v>
      </c>
      <c r="BS97" s="283">
        <v>42233</v>
      </c>
      <c r="BT97" s="277">
        <v>14.870161056518555</v>
      </c>
      <c r="BU97" s="283">
        <v>42233</v>
      </c>
      <c r="BV97" s="277">
        <v>14.916675567626953</v>
      </c>
      <c r="BW97" s="283">
        <v>42233</v>
      </c>
      <c r="BX97" s="277">
        <v>5.215576171875</v>
      </c>
      <c r="BY97" s="283">
        <v>42233</v>
      </c>
      <c r="BZ97"/>
      <c r="CB97" s="266">
        <v>1.52</v>
      </c>
      <c r="CC97"/>
      <c r="CD97" s="277">
        <v>5.0847457627118757</v>
      </c>
      <c r="CE97" s="291" t="s">
        <v>8399</v>
      </c>
      <c r="CF97"/>
      <c r="CG97"/>
      <c r="CH97">
        <v>1</v>
      </c>
      <c r="CI97">
        <v>2</v>
      </c>
      <c r="CK97"/>
      <c r="CL97" s="223">
        <v>1</v>
      </c>
      <c r="CM97" s="259">
        <v>42161</v>
      </c>
      <c r="CN97" s="137" t="s">
        <v>8406</v>
      </c>
    </row>
    <row r="98" spans="1:94">
      <c r="A98" s="258">
        <v>160</v>
      </c>
      <c r="B98" s="235">
        <v>160</v>
      </c>
      <c r="C98" s="235" t="s">
        <v>7671</v>
      </c>
      <c r="D98" s="235" t="s">
        <v>7500</v>
      </c>
      <c r="E98" s="235" t="s">
        <v>7671</v>
      </c>
      <c r="F98" s="235" t="s">
        <v>8544</v>
      </c>
      <c r="G98" s="235" t="str">
        <f t="shared" si="49"/>
        <v>Rapsodyn</v>
      </c>
      <c r="H98" s="235" t="s">
        <v>265</v>
      </c>
      <c r="I98" s="235">
        <v>1</v>
      </c>
      <c r="J98" s="235">
        <v>9053</v>
      </c>
      <c r="K98" s="235">
        <v>14</v>
      </c>
      <c r="L98" s="235">
        <f t="shared" si="48"/>
        <v>14</v>
      </c>
      <c r="M98" s="235">
        <v>3</v>
      </c>
      <c r="N98" s="236">
        <v>5</v>
      </c>
      <c r="O98" s="248">
        <v>42048</v>
      </c>
      <c r="P98">
        <v>4.9000000000000004</v>
      </c>
      <c r="Q98" s="264">
        <v>42204</v>
      </c>
      <c r="R98"/>
      <c r="S98"/>
      <c r="T98"/>
      <c r="V98" s="219">
        <f t="shared" si="50"/>
        <v>14.982277429067882</v>
      </c>
      <c r="W98" s="219"/>
      <c r="X98">
        <v>15.55</v>
      </c>
      <c r="Y98"/>
      <c r="Z98"/>
      <c r="AA98"/>
      <c r="AB98" s="220">
        <f t="shared" si="51"/>
        <v>4.5752837264853312</v>
      </c>
      <c r="AC98" s="219"/>
      <c r="AD98" s="221">
        <f t="shared" si="52"/>
        <v>61913.683224485714</v>
      </c>
      <c r="AE98" s="219"/>
      <c r="AF98" s="220">
        <f t="shared" si="53"/>
        <v>29.099431115508288</v>
      </c>
      <c r="AG98" s="219"/>
      <c r="AH98" s="220">
        <f t="shared" si="54"/>
        <v>32.629996765539687</v>
      </c>
      <c r="AI98" s="219"/>
      <c r="AJ98">
        <v>4.7</v>
      </c>
      <c r="AK98" s="284" t="s">
        <v>8399</v>
      </c>
      <c r="AL98">
        <v>150</v>
      </c>
      <c r="AM98"/>
      <c r="AN98" s="241">
        <v>72</v>
      </c>
      <c r="AO98" s="242">
        <v>42076</v>
      </c>
      <c r="AP98" s="255">
        <v>106</v>
      </c>
      <c r="AQ98" s="242">
        <v>42110</v>
      </c>
      <c r="AR98" s="223">
        <v>141</v>
      </c>
      <c r="AS98" s="297">
        <f t="shared" si="55"/>
        <v>141</v>
      </c>
      <c r="AT98" s="290">
        <v>42145</v>
      </c>
      <c r="AU98" s="298"/>
      <c r="AV98"/>
      <c r="AW98"/>
      <c r="AX98"/>
      <c r="AY98"/>
      <c r="AZ98"/>
      <c r="BA98"/>
      <c r="BB98"/>
      <c r="BC98"/>
      <c r="BD98"/>
      <c r="BE98"/>
      <c r="BF98" s="277">
        <v>-2.783297061920166</v>
      </c>
      <c r="BG98" s="283">
        <v>42233</v>
      </c>
      <c r="BH98"/>
      <c r="BI98"/>
      <c r="BJ98"/>
      <c r="BK98"/>
      <c r="BL98" s="277">
        <v>63.075275421142578</v>
      </c>
      <c r="BM98" s="283">
        <v>42233</v>
      </c>
      <c r="BN98"/>
      <c r="BO98"/>
      <c r="BP98" s="277">
        <v>3.1524860858917236</v>
      </c>
      <c r="BQ98" s="283">
        <v>42233</v>
      </c>
      <c r="BR98" s="277">
        <v>51.486495971679687</v>
      </c>
      <c r="BS98" s="283">
        <v>42233</v>
      </c>
      <c r="BT98" s="277">
        <v>15.722931861877441</v>
      </c>
      <c r="BU98" s="283">
        <v>42233</v>
      </c>
      <c r="BV98" s="277">
        <v>10.65460205078125</v>
      </c>
      <c r="BW98" s="283">
        <v>42233</v>
      </c>
      <c r="BX98" s="277">
        <v>5.4219741821289062</v>
      </c>
      <c r="BY98" s="283">
        <v>42233</v>
      </c>
      <c r="BZ98"/>
      <c r="CB98" s="266">
        <v>1.3</v>
      </c>
      <c r="CC98"/>
      <c r="CD98" s="277">
        <v>5.7692307692307656</v>
      </c>
      <c r="CE98" s="291" t="s">
        <v>8399</v>
      </c>
      <c r="CF98"/>
      <c r="CG98"/>
      <c r="CH98">
        <v>2</v>
      </c>
      <c r="CI98">
        <v>3</v>
      </c>
      <c r="CK98"/>
      <c r="CL98" s="223">
        <v>1</v>
      </c>
      <c r="CM98" s="259">
        <v>42161</v>
      </c>
      <c r="CN98" s="137" t="s">
        <v>8406</v>
      </c>
    </row>
    <row r="99" spans="1:94">
      <c r="A99" s="258">
        <v>161</v>
      </c>
      <c r="B99" s="235">
        <v>161</v>
      </c>
      <c r="C99" s="235" t="s">
        <v>7770</v>
      </c>
      <c r="D99" s="235" t="s">
        <v>7568</v>
      </c>
      <c r="E99" s="235" t="s">
        <v>7770</v>
      </c>
      <c r="F99" s="235" t="s">
        <v>8492</v>
      </c>
      <c r="G99" s="235" t="str">
        <f t="shared" si="49"/>
        <v>Rapsodyn</v>
      </c>
      <c r="H99" s="235" t="s">
        <v>265</v>
      </c>
      <c r="I99" s="235">
        <v>1</v>
      </c>
      <c r="J99" s="235">
        <v>9141</v>
      </c>
      <c r="K99" s="235">
        <v>15</v>
      </c>
      <c r="L99" s="235">
        <f t="shared" si="48"/>
        <v>15</v>
      </c>
      <c r="M99" s="235">
        <v>3</v>
      </c>
      <c r="N99" s="235">
        <v>7</v>
      </c>
      <c r="O99" s="248">
        <v>42048</v>
      </c>
      <c r="P99">
        <v>5.45</v>
      </c>
      <c r="Q99" s="264">
        <v>42204</v>
      </c>
      <c r="R99"/>
      <c r="S99"/>
      <c r="T99"/>
      <c r="V99" s="219">
        <f t="shared" si="50"/>
        <v>17.562331255786113</v>
      </c>
      <c r="W99" s="219"/>
      <c r="X99">
        <v>15.55</v>
      </c>
      <c r="Y99"/>
      <c r="Z99"/>
      <c r="AA99"/>
      <c r="AB99" s="220">
        <f t="shared" si="51"/>
        <v>4.6272702487777613</v>
      </c>
      <c r="AC99" s="219"/>
      <c r="AD99" s="221">
        <f t="shared" si="52"/>
        <v>68377.263260529013</v>
      </c>
      <c r="AE99" s="219"/>
      <c r="AF99" s="220">
        <f t="shared" si="53"/>
        <v>33.026218154835519</v>
      </c>
      <c r="AG99" s="219"/>
      <c r="AH99" s="220">
        <f t="shared" si="54"/>
        <v>37.033211656016505</v>
      </c>
      <c r="AI99" s="219"/>
      <c r="AJ99">
        <v>4.83</v>
      </c>
      <c r="AK99" s="284" t="s">
        <v>8400</v>
      </c>
      <c r="AL99">
        <v>165</v>
      </c>
      <c r="AM99"/>
      <c r="AN99" s="241">
        <v>70</v>
      </c>
      <c r="AO99" s="242">
        <v>42074</v>
      </c>
      <c r="AP99" s="255">
        <v>104</v>
      </c>
      <c r="AQ99" s="242">
        <v>42108</v>
      </c>
      <c r="AR99" s="223">
        <v>125</v>
      </c>
      <c r="AS99" s="297">
        <f t="shared" si="55"/>
        <v>125</v>
      </c>
      <c r="AT99" s="290">
        <v>42129</v>
      </c>
      <c r="AU99" s="298"/>
      <c r="AV99"/>
      <c r="AW99"/>
      <c r="AX99"/>
      <c r="AY99"/>
      <c r="AZ99"/>
      <c r="BA99"/>
      <c r="BB99"/>
      <c r="BC99"/>
      <c r="BD99"/>
      <c r="BE99"/>
      <c r="BF99" s="277">
        <v>-5.6665520668029785</v>
      </c>
      <c r="BG99" s="283">
        <v>42230</v>
      </c>
      <c r="BH99"/>
      <c r="BI99"/>
      <c r="BJ99"/>
      <c r="BK99"/>
      <c r="BL99" s="277">
        <v>70.115829467773438</v>
      </c>
      <c r="BM99" s="283">
        <v>42230</v>
      </c>
      <c r="BN99"/>
      <c r="BO99"/>
      <c r="BP99" s="277">
        <v>4.0258631706237793</v>
      </c>
      <c r="BQ99" s="283">
        <v>42230</v>
      </c>
      <c r="BR99" s="277">
        <v>53.176937103271484</v>
      </c>
      <c r="BS99" s="283">
        <v>42230</v>
      </c>
      <c r="BT99" s="277">
        <v>14.010899543762207</v>
      </c>
      <c r="BU99" s="283">
        <v>42230</v>
      </c>
      <c r="BV99" s="277">
        <v>12.381308555603027</v>
      </c>
      <c r="BW99" s="283">
        <v>42230</v>
      </c>
      <c r="BX99" s="277">
        <v>5.1705093383789062</v>
      </c>
      <c r="BY99" s="283">
        <v>42230</v>
      </c>
      <c r="BZ99"/>
      <c r="CB99" s="266">
        <v>2.09</v>
      </c>
      <c r="CC99"/>
      <c r="CD99" s="277">
        <v>3.8461538461538494</v>
      </c>
      <c r="CE99" s="291" t="s">
        <v>8400</v>
      </c>
      <c r="CF99"/>
      <c r="CG99"/>
      <c r="CH99">
        <v>2</v>
      </c>
      <c r="CI99">
        <v>2</v>
      </c>
      <c r="CK99"/>
      <c r="CL99" s="223">
        <v>2</v>
      </c>
      <c r="CM99" s="259">
        <v>42161</v>
      </c>
      <c r="CN99" s="137" t="s">
        <v>8406</v>
      </c>
    </row>
    <row r="100" spans="1:94">
      <c r="A100" s="258">
        <v>162</v>
      </c>
      <c r="B100" s="235">
        <v>162</v>
      </c>
      <c r="C100" s="235" t="s">
        <v>7698</v>
      </c>
      <c r="D100" s="235" t="s">
        <v>7524</v>
      </c>
      <c r="E100" s="235" t="s">
        <v>7698</v>
      </c>
      <c r="F100" s="235" t="s">
        <v>8463</v>
      </c>
      <c r="G100" s="235" t="str">
        <f t="shared" si="49"/>
        <v>Rapsodyn</v>
      </c>
      <c r="H100" s="235" t="s">
        <v>265</v>
      </c>
      <c r="I100" s="235">
        <v>1</v>
      </c>
      <c r="J100" s="235">
        <v>9080</v>
      </c>
      <c r="K100" s="235">
        <v>16</v>
      </c>
      <c r="L100" s="235">
        <f t="shared" si="48"/>
        <v>16</v>
      </c>
      <c r="M100" s="235">
        <v>3</v>
      </c>
      <c r="N100" s="235">
        <v>5</v>
      </c>
      <c r="O100" s="248">
        <v>42048</v>
      </c>
      <c r="P100">
        <v>4.8</v>
      </c>
      <c r="Q100" s="264">
        <v>42204</v>
      </c>
      <c r="R100"/>
      <c r="S100"/>
      <c r="T100"/>
      <c r="V100" s="219">
        <f t="shared" si="50"/>
        <v>14.708850098227172</v>
      </c>
      <c r="W100" s="219"/>
      <c r="X100">
        <v>15.55</v>
      </c>
      <c r="Y100"/>
      <c r="Z100"/>
      <c r="AA100"/>
      <c r="AB100" s="220">
        <f t="shared" si="51"/>
        <v>4.9053636587009688</v>
      </c>
      <c r="AC100" s="219"/>
      <c r="AD100" s="221">
        <f t="shared" si="52"/>
        <v>82346.820981078956</v>
      </c>
      <c r="AE100" s="219"/>
      <c r="AF100" s="220">
        <f t="shared" si="53"/>
        <v>29.150774627301956</v>
      </c>
      <c r="AG100" s="219"/>
      <c r="AH100" s="220">
        <f t="shared" si="54"/>
        <v>32.687569665061616</v>
      </c>
      <c r="AI100" s="219"/>
      <c r="AJ100">
        <v>3.54</v>
      </c>
      <c r="AK100" s="284" t="s">
        <v>8400</v>
      </c>
      <c r="AL100">
        <v>165</v>
      </c>
      <c r="AM100"/>
      <c r="AN100" s="241">
        <v>72</v>
      </c>
      <c r="AO100" s="242">
        <v>42076</v>
      </c>
      <c r="AP100" s="255">
        <v>113</v>
      </c>
      <c r="AQ100" s="242">
        <v>42117</v>
      </c>
      <c r="AR100" s="223">
        <v>141</v>
      </c>
      <c r="AS100" s="297">
        <f t="shared" si="55"/>
        <v>141</v>
      </c>
      <c r="AT100" s="290">
        <v>42145</v>
      </c>
      <c r="AU100" s="298"/>
      <c r="AV100"/>
      <c r="AW100"/>
      <c r="AX100"/>
      <c r="AY100"/>
      <c r="AZ100"/>
      <c r="BA100"/>
      <c r="BB100"/>
      <c r="BC100"/>
      <c r="BD100"/>
      <c r="BE100"/>
      <c r="BF100" s="277">
        <v>-3.4359591007232666</v>
      </c>
      <c r="BG100" s="283">
        <v>42230</v>
      </c>
      <c r="BH100"/>
      <c r="BI100"/>
      <c r="BJ100"/>
      <c r="BK100"/>
      <c r="BL100" s="277">
        <v>63.547317504882813</v>
      </c>
      <c r="BM100" s="283">
        <v>42230</v>
      </c>
      <c r="BN100"/>
      <c r="BO100"/>
      <c r="BP100" s="277">
        <v>3.9982750415802002</v>
      </c>
      <c r="BQ100" s="283">
        <v>42230</v>
      </c>
      <c r="BR100" s="277">
        <v>50.457836151123047</v>
      </c>
      <c r="BS100" s="283">
        <v>42230</v>
      </c>
      <c r="BT100" s="277">
        <v>16.827558517456055</v>
      </c>
      <c r="BU100" s="283">
        <v>42230</v>
      </c>
      <c r="BV100" s="277">
        <v>18.049915313720703</v>
      </c>
      <c r="BW100" s="283">
        <v>42230</v>
      </c>
      <c r="BX100" s="277">
        <v>5.2924118041992187</v>
      </c>
      <c r="BY100" s="283">
        <v>42230</v>
      </c>
      <c r="BZ100"/>
      <c r="CB100" s="266">
        <v>1.56</v>
      </c>
      <c r="CC100"/>
      <c r="CD100" s="277">
        <v>3.6363636363636398</v>
      </c>
      <c r="CE100" s="291" t="s">
        <v>8400</v>
      </c>
      <c r="CF100"/>
      <c r="CG100"/>
      <c r="CH100">
        <v>1</v>
      </c>
      <c r="CI100">
        <v>3</v>
      </c>
      <c r="CK100"/>
      <c r="CL100" s="223">
        <v>3</v>
      </c>
      <c r="CM100" s="259">
        <v>42161</v>
      </c>
      <c r="CN100" s="137" t="s">
        <v>8406</v>
      </c>
    </row>
    <row r="101" spans="1:94">
      <c r="A101" s="258">
        <v>164</v>
      </c>
      <c r="B101" s="235">
        <v>164</v>
      </c>
      <c r="C101" s="346" t="s">
        <v>8238</v>
      </c>
      <c r="D101" s="235" t="s">
        <v>7562</v>
      </c>
      <c r="E101" s="235" t="s">
        <v>8461</v>
      </c>
      <c r="F101" s="235" t="s">
        <v>8469</v>
      </c>
      <c r="G101" s="235" t="str">
        <f t="shared" si="49"/>
        <v>Rapsodyn</v>
      </c>
      <c r="H101" s="235" t="s">
        <v>265</v>
      </c>
      <c r="I101" s="235">
        <v>1</v>
      </c>
      <c r="J101" s="235">
        <v>9359</v>
      </c>
      <c r="K101" s="235">
        <v>18</v>
      </c>
      <c r="L101" s="235">
        <f t="shared" si="48"/>
        <v>18</v>
      </c>
      <c r="M101" s="235">
        <v>3</v>
      </c>
      <c r="N101" s="236">
        <v>5</v>
      </c>
      <c r="O101" s="248">
        <v>42048</v>
      </c>
      <c r="P101" t="s">
        <v>8379</v>
      </c>
      <c r="Q101" s="264">
        <v>42204</v>
      </c>
      <c r="R101" s="278">
        <v>15.237099023709902</v>
      </c>
      <c r="S101" s="190">
        <v>42185</v>
      </c>
      <c r="T101" s="277">
        <v>30.773799925361079</v>
      </c>
      <c r="U101" s="190">
        <v>42185</v>
      </c>
      <c r="V101" t="s">
        <v>8379</v>
      </c>
      <c r="W101" s="219"/>
      <c r="X101">
        <v>15.55</v>
      </c>
      <c r="Y101"/>
      <c r="Z101"/>
      <c r="AA101"/>
      <c r="AB101" t="s">
        <v>8379</v>
      </c>
      <c r="AC101" s="219"/>
      <c r="AD101" t="s">
        <v>8379</v>
      </c>
      <c r="AE101" s="219"/>
      <c r="AF101" t="s">
        <v>8379</v>
      </c>
      <c r="AG101" s="219"/>
      <c r="AH101" t="s">
        <v>8379</v>
      </c>
      <c r="AI101" s="219"/>
      <c r="AJ101">
        <v>4.55</v>
      </c>
      <c r="AK101" s="284" t="s">
        <v>8399</v>
      </c>
      <c r="AL101">
        <v>160</v>
      </c>
      <c r="AM101"/>
      <c r="AN101" s="241">
        <v>72</v>
      </c>
      <c r="AO101" s="242">
        <v>42076</v>
      </c>
      <c r="AP101" s="255">
        <v>104</v>
      </c>
      <c r="AQ101" s="242">
        <v>42108</v>
      </c>
      <c r="AR101" s="223">
        <v>132</v>
      </c>
      <c r="AS101" s="297">
        <f t="shared" si="55"/>
        <v>132</v>
      </c>
      <c r="AT101" s="290">
        <v>42136</v>
      </c>
      <c r="AU101" s="298"/>
      <c r="AV101"/>
      <c r="AW101"/>
      <c r="AX101"/>
      <c r="AY101"/>
      <c r="AZ101"/>
      <c r="BA101"/>
      <c r="BB101"/>
      <c r="BC101"/>
      <c r="BD101"/>
      <c r="BE101"/>
      <c r="BF101" s="277">
        <v>0.77087998390197754</v>
      </c>
      <c r="BG101" s="283">
        <v>42230</v>
      </c>
      <c r="BH101"/>
      <c r="BI101"/>
      <c r="BJ101"/>
      <c r="BK101"/>
      <c r="BL101" s="277">
        <v>61.933906555175781</v>
      </c>
      <c r="BM101" s="283">
        <v>42230</v>
      </c>
      <c r="BN101"/>
      <c r="BO101"/>
      <c r="BP101" s="277">
        <v>3.7403800487518311</v>
      </c>
      <c r="BQ101" s="283">
        <v>42230</v>
      </c>
      <c r="BR101" s="277">
        <v>49.934059143066406</v>
      </c>
      <c r="BS101" s="283">
        <v>42230</v>
      </c>
      <c r="BT101" s="277">
        <v>17.060447692871094</v>
      </c>
      <c r="BU101" s="283">
        <v>42230</v>
      </c>
      <c r="BV101" s="277">
        <v>16.395057678222656</v>
      </c>
      <c r="BW101" s="283">
        <v>42230</v>
      </c>
      <c r="BX101" s="277">
        <v>5.09088134765625</v>
      </c>
      <c r="BY101" s="283">
        <v>42230</v>
      </c>
      <c r="BZ101"/>
      <c r="CB101" s="266">
        <v>1.41</v>
      </c>
      <c r="CC101"/>
      <c r="CD101" s="277">
        <v>5.3571428571428541</v>
      </c>
      <c r="CE101" s="291" t="s">
        <v>8399</v>
      </c>
      <c r="CF101"/>
      <c r="CG101"/>
      <c r="CH101">
        <v>2</v>
      </c>
      <c r="CI101">
        <v>3</v>
      </c>
      <c r="CK101"/>
      <c r="CL101" s="223">
        <v>1</v>
      </c>
      <c r="CM101" s="259">
        <v>42161</v>
      </c>
      <c r="CP101" s="345" t="s">
        <v>8412</v>
      </c>
    </row>
    <row r="102" spans="1:94">
      <c r="A102" s="258">
        <v>165</v>
      </c>
      <c r="B102" s="235">
        <v>165</v>
      </c>
      <c r="C102" s="235" t="s">
        <v>7797</v>
      </c>
      <c r="D102" s="235" t="s">
        <v>7595</v>
      </c>
      <c r="E102" s="235" t="s">
        <v>7797</v>
      </c>
      <c r="F102" s="235" t="s">
        <v>8547</v>
      </c>
      <c r="G102" s="235" t="str">
        <f t="shared" si="49"/>
        <v>Rapsodyn</v>
      </c>
      <c r="H102" s="235" t="s">
        <v>265</v>
      </c>
      <c r="I102" s="235">
        <v>1</v>
      </c>
      <c r="J102" s="235">
        <v>9168</v>
      </c>
      <c r="K102" s="235">
        <v>19</v>
      </c>
      <c r="L102" s="235">
        <f t="shared" si="48"/>
        <v>19</v>
      </c>
      <c r="M102" s="235">
        <v>3</v>
      </c>
      <c r="N102" s="235">
        <v>7</v>
      </c>
      <c r="O102" s="248">
        <v>42048</v>
      </c>
      <c r="P102" s="223">
        <v>5.15</v>
      </c>
      <c r="Q102" s="264">
        <v>42204</v>
      </c>
      <c r="R102" s="223"/>
      <c r="S102" s="223"/>
      <c r="T102" s="223"/>
      <c r="U102" s="225"/>
      <c r="V102" s="219">
        <f t="shared" ref="V102:V106" si="56">+BR102*AF102/100</f>
        <v>16.308701154508324</v>
      </c>
      <c r="W102" s="224"/>
      <c r="X102">
        <v>15.55</v>
      </c>
      <c r="Y102" s="223"/>
      <c r="Z102" s="223"/>
      <c r="AA102" s="223"/>
      <c r="AB102" s="220">
        <f t="shared" ref="AB102:AB106" si="57">+AF102*BT102/100</f>
        <v>4.5842163118546297</v>
      </c>
      <c r="AC102" s="224"/>
      <c r="AD102" s="221">
        <f t="shared" ref="AD102:AD106" si="58">+(AF102/AJ102)*10000</f>
        <v>69404.032437460803</v>
      </c>
      <c r="AE102" s="224"/>
      <c r="AF102" s="220">
        <f t="shared" ref="AF102:AF106" si="59">($P102/$X102)*(((100-$CD102)/100*(100-2)/100))*100</f>
        <v>31.231814596857365</v>
      </c>
      <c r="AG102" s="224"/>
      <c r="AH102" s="220">
        <f t="shared" ref="AH102:AH106" si="60">($P102/$X102)*(((100-$CD102)/(100-9)*(100-2)/(100-2))*100)</f>
        <v>35.021097327716269</v>
      </c>
      <c r="AI102" s="224"/>
      <c r="AJ102">
        <v>4.5</v>
      </c>
      <c r="AK102" s="290" t="s">
        <v>8403</v>
      </c>
      <c r="AL102" s="223">
        <v>170</v>
      </c>
      <c r="AM102" s="223"/>
      <c r="AN102" s="241">
        <v>70</v>
      </c>
      <c r="AO102" s="242">
        <v>42074</v>
      </c>
      <c r="AP102" s="255">
        <v>104</v>
      </c>
      <c r="AQ102" s="242">
        <v>42108</v>
      </c>
      <c r="AR102" s="223">
        <v>127</v>
      </c>
      <c r="AS102" s="297">
        <f t="shared" si="55"/>
        <v>127</v>
      </c>
      <c r="AT102" s="290">
        <v>42131</v>
      </c>
      <c r="AU102" s="298"/>
      <c r="AV102" s="223"/>
      <c r="AW102" s="223"/>
      <c r="AX102" s="223"/>
      <c r="AY102" s="223"/>
      <c r="AZ102" s="223"/>
      <c r="BA102" s="223"/>
      <c r="BB102" s="223"/>
      <c r="BC102" s="223"/>
      <c r="BD102" s="223"/>
      <c r="BE102" s="223"/>
      <c r="BF102" s="281">
        <v>-5.0720200538635254</v>
      </c>
      <c r="BG102" s="283">
        <v>42233</v>
      </c>
      <c r="BH102" s="223"/>
      <c r="BI102" s="223"/>
      <c r="BJ102" s="223"/>
      <c r="BK102" s="223"/>
      <c r="BL102" s="281">
        <v>65.594291687011719</v>
      </c>
      <c r="BM102" s="283">
        <v>42233</v>
      </c>
      <c r="BN102" s="223"/>
      <c r="BO102" s="223"/>
      <c r="BP102" s="281">
        <v>3.8530850410461426</v>
      </c>
      <c r="BQ102" s="283">
        <v>42233</v>
      </c>
      <c r="BR102" s="281">
        <v>52.218231201171875</v>
      </c>
      <c r="BS102" s="283">
        <v>42233</v>
      </c>
      <c r="BT102" s="281">
        <v>14.678033828735352</v>
      </c>
      <c r="BU102" s="283">
        <v>42233</v>
      </c>
      <c r="BV102" s="281">
        <v>14.436846733093262</v>
      </c>
      <c r="BW102" s="283">
        <v>42233</v>
      </c>
      <c r="BX102" s="281">
        <v>5.1976089477539062</v>
      </c>
      <c r="BY102" s="283">
        <v>42233</v>
      </c>
      <c r="BZ102" s="223"/>
      <c r="CA102" s="226"/>
      <c r="CB102" s="266">
        <v>1.62</v>
      </c>
      <c r="CC102" s="223"/>
      <c r="CD102" s="281">
        <v>3.7735849056603805</v>
      </c>
      <c r="CE102" s="291" t="s">
        <v>8403</v>
      </c>
      <c r="CF102" s="223"/>
      <c r="CG102" s="223"/>
      <c r="CH102" s="223">
        <v>1</v>
      </c>
      <c r="CI102" s="223">
        <v>4</v>
      </c>
      <c r="CK102" s="223"/>
      <c r="CL102" s="223">
        <v>1</v>
      </c>
      <c r="CM102" s="259">
        <v>42161</v>
      </c>
      <c r="CN102" s="137" t="s">
        <v>8406</v>
      </c>
    </row>
    <row r="103" spans="1:94">
      <c r="A103" s="258">
        <v>166</v>
      </c>
      <c r="B103" s="235">
        <v>166</v>
      </c>
      <c r="C103" s="235" t="s">
        <v>7657</v>
      </c>
      <c r="D103" s="235" t="s">
        <v>7487</v>
      </c>
      <c r="E103" s="235" t="s">
        <v>7657</v>
      </c>
      <c r="F103" s="235" t="s">
        <v>8442</v>
      </c>
      <c r="G103" s="235" t="str">
        <f t="shared" si="49"/>
        <v>Rapsodyn</v>
      </c>
      <c r="H103" s="235" t="s">
        <v>265</v>
      </c>
      <c r="I103" s="235">
        <v>1</v>
      </c>
      <c r="J103" s="235">
        <v>9040</v>
      </c>
      <c r="K103" s="235">
        <v>20</v>
      </c>
      <c r="L103" s="235">
        <f t="shared" si="48"/>
        <v>20</v>
      </c>
      <c r="M103" s="235">
        <v>3</v>
      </c>
      <c r="N103" s="235">
        <v>7</v>
      </c>
      <c r="O103" s="248">
        <v>42048</v>
      </c>
      <c r="P103" s="223">
        <v>4.6500000000000004</v>
      </c>
      <c r="Q103" s="264">
        <v>42204</v>
      </c>
      <c r="R103" s="223"/>
      <c r="S103" s="223"/>
      <c r="T103" s="223"/>
      <c r="U103" s="225"/>
      <c r="V103" s="219">
        <f t="shared" si="56"/>
        <v>13.876949608977585</v>
      </c>
      <c r="W103" s="224"/>
      <c r="X103">
        <v>15.55</v>
      </c>
      <c r="Y103" s="223"/>
      <c r="Z103" s="223"/>
      <c r="AA103" s="223"/>
      <c r="AB103" s="220">
        <f t="shared" si="57"/>
        <v>4.2717259874987823</v>
      </c>
      <c r="AC103" s="224"/>
      <c r="AD103" s="221">
        <f t="shared" si="58"/>
        <v>64068.020324719138</v>
      </c>
      <c r="AE103" s="224"/>
      <c r="AF103" s="220">
        <f t="shared" si="59"/>
        <v>27.677384780278668</v>
      </c>
      <c r="AG103" s="224"/>
      <c r="AH103" s="220">
        <f t="shared" si="60"/>
        <v>31.035416887506916</v>
      </c>
      <c r="AI103" s="224"/>
      <c r="AJ103">
        <v>4.32</v>
      </c>
      <c r="AK103" s="290" t="s">
        <v>8403</v>
      </c>
      <c r="AL103" s="223">
        <v>150</v>
      </c>
      <c r="AM103" s="223"/>
      <c r="AN103" s="241">
        <v>72</v>
      </c>
      <c r="AO103" s="242">
        <v>42076</v>
      </c>
      <c r="AP103" s="255">
        <v>106</v>
      </c>
      <c r="AQ103" s="242">
        <v>42110</v>
      </c>
      <c r="AR103" s="223">
        <v>138</v>
      </c>
      <c r="AS103" s="297">
        <f t="shared" si="55"/>
        <v>138</v>
      </c>
      <c r="AT103" s="290">
        <v>42142</v>
      </c>
      <c r="AU103" s="298"/>
      <c r="AV103" s="223"/>
      <c r="AW103" s="223"/>
      <c r="AX103" s="223"/>
      <c r="AY103" s="223"/>
      <c r="AZ103" s="223"/>
      <c r="BA103" s="223"/>
      <c r="BB103" s="223"/>
      <c r="BC103" s="223"/>
      <c r="BD103" s="223"/>
      <c r="BE103" s="223"/>
      <c r="BF103" s="281">
        <v>1.2442070245742798</v>
      </c>
      <c r="BG103" s="283">
        <v>42233</v>
      </c>
      <c r="BH103" s="223"/>
      <c r="BI103" s="223"/>
      <c r="BJ103" s="223"/>
      <c r="BK103" s="223"/>
      <c r="BL103" s="281">
        <v>63.651287078857422</v>
      </c>
      <c r="BM103" s="283">
        <v>42233</v>
      </c>
      <c r="BN103" s="223"/>
      <c r="BO103" s="223"/>
      <c r="BP103" s="281">
        <v>4.2705001831054687</v>
      </c>
      <c r="BQ103" s="283">
        <v>42233</v>
      </c>
      <c r="BR103" s="281">
        <v>50.138225555419922</v>
      </c>
      <c r="BS103" s="283">
        <v>42233</v>
      </c>
      <c r="BT103" s="281">
        <v>15.433994293212891</v>
      </c>
      <c r="BU103" s="283">
        <v>42233</v>
      </c>
      <c r="BV103" s="281">
        <v>22.064437866210938</v>
      </c>
      <c r="BW103" s="283">
        <v>42233</v>
      </c>
      <c r="BX103" s="281">
        <v>5.3966903686523438</v>
      </c>
      <c r="BY103" s="283">
        <v>42233</v>
      </c>
      <c r="BZ103" s="223"/>
      <c r="CA103" s="226"/>
      <c r="CB103" s="266">
        <v>1.17</v>
      </c>
      <c r="CC103" s="223"/>
      <c r="CD103" s="281">
        <v>5.5555555555555687</v>
      </c>
      <c r="CE103" s="291" t="s">
        <v>8403</v>
      </c>
      <c r="CF103" s="223"/>
      <c r="CG103" s="223"/>
      <c r="CH103" s="223">
        <v>2</v>
      </c>
      <c r="CI103" s="223">
        <v>3</v>
      </c>
      <c r="CK103" s="223"/>
      <c r="CL103" s="223">
        <v>2</v>
      </c>
      <c r="CM103" s="259">
        <v>42161</v>
      </c>
      <c r="CN103" s="137" t="s">
        <v>8406</v>
      </c>
    </row>
    <row r="104" spans="1:94">
      <c r="A104" s="258">
        <v>168</v>
      </c>
      <c r="B104" s="235">
        <v>168</v>
      </c>
      <c r="C104" s="240" t="s">
        <v>7752</v>
      </c>
      <c r="D104" s="240" t="s">
        <v>7560</v>
      </c>
      <c r="E104" s="240" t="s">
        <v>7752</v>
      </c>
      <c r="F104" s="240" t="s">
        <v>8485</v>
      </c>
      <c r="G104" s="235" t="str">
        <f t="shared" si="49"/>
        <v>Rapsodyn</v>
      </c>
      <c r="H104" s="235" t="s">
        <v>265</v>
      </c>
      <c r="I104" s="235">
        <v>1</v>
      </c>
      <c r="J104" s="240">
        <v>9124</v>
      </c>
      <c r="K104" s="240">
        <v>22</v>
      </c>
      <c r="L104" s="235">
        <f t="shared" si="48"/>
        <v>22</v>
      </c>
      <c r="M104" s="240">
        <v>3</v>
      </c>
      <c r="N104" s="235">
        <v>7</v>
      </c>
      <c r="O104" s="248">
        <v>42048</v>
      </c>
      <c r="P104">
        <v>4.2</v>
      </c>
      <c r="Q104" s="264">
        <v>42204</v>
      </c>
      <c r="R104"/>
      <c r="S104"/>
      <c r="T104"/>
      <c r="V104" s="219">
        <f t="shared" si="56"/>
        <v>13.037249126863635</v>
      </c>
      <c r="W104" s="219"/>
      <c r="X104">
        <v>15.55</v>
      </c>
      <c r="Y104"/>
      <c r="Z104"/>
      <c r="AA104"/>
      <c r="AB104" s="220">
        <f t="shared" si="57"/>
        <v>3.7777696478865157</v>
      </c>
      <c r="AC104" s="219"/>
      <c r="AD104" s="221">
        <f t="shared" si="58"/>
        <v>59363.618353880622</v>
      </c>
      <c r="AE104" s="219"/>
      <c r="AF104" s="220">
        <f t="shared" si="59"/>
        <v>25.051446945337624</v>
      </c>
      <c r="AG104" s="219"/>
      <c r="AH104" s="220">
        <f t="shared" si="60"/>
        <v>28.090880180912336</v>
      </c>
      <c r="AI104" s="219"/>
      <c r="AJ104">
        <v>4.22</v>
      </c>
      <c r="AK104" s="284" t="s">
        <v>8401</v>
      </c>
      <c r="AL104">
        <v>170</v>
      </c>
      <c r="AM104"/>
      <c r="AN104" s="241">
        <v>63</v>
      </c>
      <c r="AO104" s="245">
        <v>42067</v>
      </c>
      <c r="AP104" s="255">
        <v>104</v>
      </c>
      <c r="AQ104" s="242">
        <v>42108</v>
      </c>
      <c r="AR104" s="223">
        <v>128</v>
      </c>
      <c r="AS104" s="297">
        <f t="shared" si="55"/>
        <v>128</v>
      </c>
      <c r="AT104" s="290">
        <v>42132</v>
      </c>
      <c r="AU104" s="298"/>
      <c r="AV104"/>
      <c r="AW104"/>
      <c r="AX104"/>
      <c r="AY104"/>
      <c r="AZ104"/>
      <c r="BA104"/>
      <c r="BB104"/>
      <c r="BC104"/>
      <c r="BD104"/>
      <c r="BE104"/>
      <c r="BF104" s="277">
        <v>-5.6859278678894043</v>
      </c>
      <c r="BG104" s="283">
        <v>42233</v>
      </c>
      <c r="BH104"/>
      <c r="BI104"/>
      <c r="BJ104"/>
      <c r="BK104"/>
      <c r="BL104" s="277">
        <v>65.80474853515625</v>
      </c>
      <c r="BM104" s="283">
        <v>42233</v>
      </c>
      <c r="BN104"/>
      <c r="BO104"/>
      <c r="BP104" s="277">
        <v>3.8187708854675293</v>
      </c>
      <c r="BQ104" s="283">
        <v>42233</v>
      </c>
      <c r="BR104" s="277">
        <v>52.041900634765625</v>
      </c>
      <c r="BS104" s="283">
        <v>42233</v>
      </c>
      <c r="BT104" s="277">
        <v>15.080045700073242</v>
      </c>
      <c r="BU104" s="283">
        <v>42233</v>
      </c>
      <c r="BV104" s="277">
        <v>21.842872619628906</v>
      </c>
      <c r="BW104" s="283">
        <v>42233</v>
      </c>
      <c r="BX104" s="277">
        <v>5.2814788818359375</v>
      </c>
      <c r="BY104" s="283">
        <v>42233</v>
      </c>
      <c r="BZ104"/>
      <c r="CB104" s="266">
        <v>1.64</v>
      </c>
      <c r="CC104"/>
      <c r="CD104" s="277">
        <v>5.3571428571428541</v>
      </c>
      <c r="CE104" s="291" t="s">
        <v>8401</v>
      </c>
      <c r="CF104"/>
      <c r="CG104"/>
      <c r="CH104">
        <v>3</v>
      </c>
      <c r="CI104">
        <v>8</v>
      </c>
      <c r="CK104"/>
      <c r="CL104" s="223">
        <v>1</v>
      </c>
      <c r="CM104" s="259">
        <v>42161</v>
      </c>
      <c r="CO104" s="137" t="s">
        <v>8405</v>
      </c>
    </row>
    <row r="105" spans="1:94">
      <c r="A105" s="258">
        <v>170</v>
      </c>
      <c r="B105" s="235">
        <v>170</v>
      </c>
      <c r="C105" s="235" t="s">
        <v>7720</v>
      </c>
      <c r="D105" s="235" t="s">
        <v>7544</v>
      </c>
      <c r="E105" s="235" t="s">
        <v>7720</v>
      </c>
      <c r="F105" s="235" t="s">
        <v>8625</v>
      </c>
      <c r="G105" s="235" t="str">
        <f t="shared" si="49"/>
        <v>Rapsodyn</v>
      </c>
      <c r="H105" s="235" t="s">
        <v>265</v>
      </c>
      <c r="I105" s="235">
        <v>1</v>
      </c>
      <c r="J105" s="235">
        <v>9102</v>
      </c>
      <c r="K105" s="235">
        <v>24</v>
      </c>
      <c r="L105" s="235">
        <f t="shared" si="48"/>
        <v>24</v>
      </c>
      <c r="M105" s="235">
        <v>3</v>
      </c>
      <c r="N105" s="235">
        <v>7</v>
      </c>
      <c r="O105" s="248">
        <v>42048</v>
      </c>
      <c r="P105">
        <v>4.55</v>
      </c>
      <c r="Q105" s="264">
        <v>42204</v>
      </c>
      <c r="R105"/>
      <c r="S105"/>
      <c r="T105"/>
      <c r="V105" s="219">
        <f t="shared" si="56"/>
        <v>14.023352063641084</v>
      </c>
      <c r="W105" s="219"/>
      <c r="X105">
        <v>15.55</v>
      </c>
      <c r="Y105"/>
      <c r="Z105"/>
      <c r="AA105"/>
      <c r="AB105" s="220">
        <f t="shared" si="57"/>
        <v>4.2736896415732391</v>
      </c>
      <c r="AC105" s="219"/>
      <c r="AD105" s="221">
        <f t="shared" si="58"/>
        <v>55668.069546593273</v>
      </c>
      <c r="AE105" s="219"/>
      <c r="AF105" s="220">
        <f t="shared" si="59"/>
        <v>27.166017938737518</v>
      </c>
      <c r="AG105" s="219"/>
      <c r="AH105" s="220">
        <f t="shared" si="60"/>
        <v>30.462007107801657</v>
      </c>
      <c r="AI105" s="219"/>
      <c r="AJ105">
        <v>4.88</v>
      </c>
      <c r="AK105" s="284" t="s">
        <v>8399</v>
      </c>
      <c r="AL105">
        <v>170</v>
      </c>
      <c r="AM105"/>
      <c r="AN105" s="241">
        <v>70</v>
      </c>
      <c r="AO105" s="242">
        <v>42074</v>
      </c>
      <c r="AP105" s="255">
        <v>104</v>
      </c>
      <c r="AQ105" s="242">
        <v>42108</v>
      </c>
      <c r="AR105" s="223">
        <v>131</v>
      </c>
      <c r="AS105" s="297">
        <f t="shared" si="55"/>
        <v>131</v>
      </c>
      <c r="AT105" s="290">
        <v>42135</v>
      </c>
      <c r="AU105" s="298"/>
      <c r="AV105"/>
      <c r="AW105"/>
      <c r="AX105"/>
      <c r="AY105"/>
      <c r="AZ105"/>
      <c r="BA105"/>
      <c r="BB105"/>
      <c r="BC105"/>
      <c r="BD105"/>
      <c r="BE105"/>
      <c r="BF105" s="277">
        <v>-1.2153819799423218</v>
      </c>
      <c r="BG105" s="283">
        <v>42233</v>
      </c>
      <c r="BH105"/>
      <c r="BI105"/>
      <c r="BJ105"/>
      <c r="BK105"/>
      <c r="BL105" s="277">
        <v>65.474029541015625</v>
      </c>
      <c r="BM105" s="283">
        <v>42233</v>
      </c>
      <c r="BN105"/>
      <c r="BO105"/>
      <c r="BP105" s="277">
        <v>2.8710000514984131</v>
      </c>
      <c r="BQ105" s="283">
        <v>42233</v>
      </c>
      <c r="BR105" s="277">
        <v>51.620933532714844</v>
      </c>
      <c r="BS105" s="283">
        <v>42233</v>
      </c>
      <c r="BT105" s="277">
        <v>15.731748580932617</v>
      </c>
      <c r="BU105" s="283">
        <v>42233</v>
      </c>
      <c r="BV105" s="277">
        <v>18.554277420043945</v>
      </c>
      <c r="BW105" s="283">
        <v>42233</v>
      </c>
      <c r="BX105" s="277">
        <v>5.3389129638671875</v>
      </c>
      <c r="BY105" s="283">
        <v>42233</v>
      </c>
      <c r="BZ105"/>
      <c r="CB105" s="266">
        <v>1.92</v>
      </c>
      <c r="CC105"/>
      <c r="CD105" s="277">
        <v>5.2631578947368389</v>
      </c>
      <c r="CE105" s="291" t="s">
        <v>8399</v>
      </c>
      <c r="CF105"/>
      <c r="CG105"/>
      <c r="CH105">
        <v>2</v>
      </c>
      <c r="CI105">
        <v>4</v>
      </c>
      <c r="CK105"/>
      <c r="CL105" s="223">
        <v>2</v>
      </c>
      <c r="CM105" s="259">
        <v>42161</v>
      </c>
      <c r="CN105" s="137" t="s">
        <v>8406</v>
      </c>
    </row>
    <row r="106" spans="1:94">
      <c r="A106" s="258">
        <v>172</v>
      </c>
      <c r="B106" s="235">
        <v>172</v>
      </c>
      <c r="C106" s="235" t="s">
        <v>7631</v>
      </c>
      <c r="D106" s="235" t="s">
        <v>7465</v>
      </c>
      <c r="E106" s="235" t="s">
        <v>7631</v>
      </c>
      <c r="F106" s="235" t="s">
        <v>8611</v>
      </c>
      <c r="G106" s="235" t="str">
        <f t="shared" si="49"/>
        <v>Rapsodyn</v>
      </c>
      <c r="H106" s="235" t="s">
        <v>265</v>
      </c>
      <c r="I106" s="235">
        <v>1</v>
      </c>
      <c r="J106" s="235">
        <v>9021</v>
      </c>
      <c r="K106" s="235">
        <v>26</v>
      </c>
      <c r="L106" s="235">
        <f t="shared" si="48"/>
        <v>26</v>
      </c>
      <c r="M106" s="235">
        <v>3</v>
      </c>
      <c r="N106" s="235">
        <v>7</v>
      </c>
      <c r="O106" s="248">
        <v>42048</v>
      </c>
      <c r="P106">
        <v>3.7</v>
      </c>
      <c r="Q106" s="264">
        <v>42204</v>
      </c>
      <c r="R106"/>
      <c r="S106"/>
      <c r="T106"/>
      <c r="V106" s="219">
        <f t="shared" si="56"/>
        <v>11.201201304686474</v>
      </c>
      <c r="W106" s="219"/>
      <c r="X106">
        <v>15.55</v>
      </c>
      <c r="Y106"/>
      <c r="Z106"/>
      <c r="AA106"/>
      <c r="AB106" s="220">
        <f t="shared" si="57"/>
        <v>3.8039186073357949</v>
      </c>
      <c r="AC106" s="219"/>
      <c r="AD106" s="221">
        <f t="shared" si="58"/>
        <v>48742.324360945924</v>
      </c>
      <c r="AE106" s="219"/>
      <c r="AF106" s="220">
        <f t="shared" si="59"/>
        <v>22.421469206035123</v>
      </c>
      <c r="AG106" s="219"/>
      <c r="AH106" s="220">
        <f t="shared" si="60"/>
        <v>25.14181341784607</v>
      </c>
      <c r="AI106" s="219"/>
      <c r="AJ106">
        <v>4.5999999999999996</v>
      </c>
      <c r="AK106" s="284" t="s">
        <v>8398</v>
      </c>
      <c r="AL106">
        <v>170</v>
      </c>
      <c r="AM106"/>
      <c r="AN106" s="241">
        <v>72</v>
      </c>
      <c r="AO106" s="242">
        <v>42076</v>
      </c>
      <c r="AP106" s="255">
        <v>110</v>
      </c>
      <c r="AQ106" s="242">
        <v>42114</v>
      </c>
      <c r="AR106" s="223">
        <v>133</v>
      </c>
      <c r="AS106" s="297">
        <f t="shared" si="55"/>
        <v>133</v>
      </c>
      <c r="AT106" s="290">
        <v>42137</v>
      </c>
      <c r="AU106" s="298"/>
      <c r="AV106"/>
      <c r="AW106"/>
      <c r="AX106"/>
      <c r="AY106"/>
      <c r="AZ106"/>
      <c r="BA106"/>
      <c r="BB106"/>
      <c r="BC106"/>
      <c r="BD106"/>
      <c r="BE106"/>
      <c r="BF106" s="277">
        <v>35.715724945068359</v>
      </c>
      <c r="BG106" s="283">
        <v>42230</v>
      </c>
      <c r="BH106"/>
      <c r="BI106"/>
      <c r="BJ106"/>
      <c r="BK106"/>
      <c r="BL106" s="277">
        <v>60.079662322998047</v>
      </c>
      <c r="BM106" s="283">
        <v>42230</v>
      </c>
      <c r="BN106"/>
      <c r="BO106"/>
      <c r="BP106" s="277">
        <v>4.2637162208557129</v>
      </c>
      <c r="BQ106" s="283">
        <v>42230</v>
      </c>
      <c r="BR106" s="277">
        <v>49.957481384277344</v>
      </c>
      <c r="BS106" s="283">
        <v>42230</v>
      </c>
      <c r="BT106" s="277">
        <v>16.965518951416016</v>
      </c>
      <c r="BU106" s="283">
        <v>42230</v>
      </c>
      <c r="BV106" s="277">
        <v>58.499343872070312</v>
      </c>
      <c r="BW106" s="283">
        <v>42230</v>
      </c>
      <c r="BX106" s="277">
        <v>5.914276123046875</v>
      </c>
      <c r="BY106" s="283">
        <v>42230</v>
      </c>
      <c r="BZ106"/>
      <c r="CB106" s="266">
        <v>1.29</v>
      </c>
      <c r="CC106"/>
      <c r="CD106" s="277">
        <v>3.8461538461538494</v>
      </c>
      <c r="CE106" s="291" t="s">
        <v>8398</v>
      </c>
      <c r="CF106"/>
      <c r="CG106"/>
      <c r="CH106">
        <v>1</v>
      </c>
      <c r="CI106">
        <v>4</v>
      </c>
      <c r="CK106"/>
      <c r="CL106" s="223">
        <v>3</v>
      </c>
      <c r="CM106" s="259">
        <v>42161</v>
      </c>
      <c r="CN106" s="137" t="s">
        <v>8406</v>
      </c>
    </row>
    <row r="107" spans="1:94">
      <c r="A107" s="258">
        <v>173</v>
      </c>
      <c r="B107" s="235">
        <v>173</v>
      </c>
      <c r="C107" s="235" t="s">
        <v>7576</v>
      </c>
      <c r="D107" s="235"/>
      <c r="E107" s="235"/>
      <c r="F107" s="235"/>
      <c r="G107" s="235"/>
      <c r="H107" s="235" t="s">
        <v>265</v>
      </c>
      <c r="I107" s="235">
        <v>1</v>
      </c>
      <c r="K107" s="235">
        <v>27</v>
      </c>
      <c r="L107" s="235">
        <f t="shared" si="48"/>
        <v>27</v>
      </c>
      <c r="M107" s="235">
        <v>3</v>
      </c>
      <c r="O107" s="248">
        <v>42048</v>
      </c>
      <c r="P107"/>
      <c r="Q107" s="219"/>
      <c r="R107"/>
      <c r="S107"/>
      <c r="T107"/>
      <c r="V107" s="219"/>
      <c r="W107" s="219"/>
      <c r="X107">
        <v>15.55</v>
      </c>
      <c r="Y107"/>
      <c r="Z107"/>
      <c r="AA107"/>
      <c r="AB107" s="220"/>
      <c r="AC107" s="219"/>
      <c r="AD107" s="221"/>
      <c r="AE107" s="219"/>
      <c r="AF107" s="220"/>
      <c r="AG107" s="219"/>
      <c r="AH107" s="220"/>
      <c r="AI107" s="219"/>
      <c r="AJ107" s="286"/>
      <c r="AK107" s="284"/>
      <c r="AL107"/>
      <c r="AM107"/>
      <c r="AN107" s="241">
        <v>70</v>
      </c>
      <c r="AO107" s="242">
        <v>42074</v>
      </c>
      <c r="AP107" s="255">
        <v>104</v>
      </c>
      <c r="AQ107" s="242">
        <v>42108</v>
      </c>
      <c r="AR107"/>
      <c r="AS107" s="297"/>
      <c r="AT107" s="290"/>
      <c r="AU107" s="298"/>
      <c r="AV107"/>
      <c r="AW107"/>
      <c r="AX107"/>
      <c r="AY107"/>
      <c r="AZ107"/>
      <c r="BA107"/>
      <c r="BB107"/>
      <c r="BC107"/>
      <c r="BD107"/>
      <c r="BE107"/>
      <c r="BF107" s="277"/>
      <c r="BG107" s="235"/>
      <c r="BH107"/>
      <c r="BI107"/>
      <c r="BJ107"/>
      <c r="BK107"/>
      <c r="BL107" s="277"/>
      <c r="BM107" s="235"/>
      <c r="BN107"/>
      <c r="BO107"/>
      <c r="BP107" s="277"/>
      <c r="BQ107" s="235"/>
      <c r="BR107" s="277"/>
      <c r="BS107" s="235"/>
      <c r="BT107" s="277"/>
      <c r="BU107" s="235"/>
      <c r="BV107" s="277"/>
      <c r="BW107" s="235"/>
      <c r="BX107" s="277"/>
      <c r="BY107" s="235"/>
      <c r="BZ107"/>
      <c r="CB107" s="266"/>
      <c r="CC107"/>
      <c r="CD107" s="277"/>
      <c r="CE107" s="291"/>
      <c r="CF107"/>
      <c r="CG107"/>
      <c r="CH107"/>
      <c r="CI107"/>
      <c r="CK107"/>
      <c r="CL107" s="223">
        <v>2</v>
      </c>
      <c r="CM107" s="259">
        <v>42161</v>
      </c>
    </row>
    <row r="108" spans="1:94">
      <c r="A108" s="258">
        <v>174</v>
      </c>
      <c r="B108" s="235">
        <v>174</v>
      </c>
      <c r="C108" s="235" t="s">
        <v>7576</v>
      </c>
      <c r="D108" s="235"/>
      <c r="E108" s="235"/>
      <c r="F108" s="235"/>
      <c r="G108" s="235"/>
      <c r="H108" s="235" t="s">
        <v>265</v>
      </c>
      <c r="I108" s="235">
        <v>1</v>
      </c>
      <c r="K108" s="235">
        <v>28</v>
      </c>
      <c r="L108" s="235">
        <f t="shared" si="48"/>
        <v>28</v>
      </c>
      <c r="M108" s="235">
        <v>3</v>
      </c>
      <c r="O108" s="248">
        <v>42048</v>
      </c>
      <c r="P108" s="223"/>
      <c r="Q108" s="224"/>
      <c r="R108" s="223"/>
      <c r="S108" s="223"/>
      <c r="T108" s="223"/>
      <c r="U108" s="225"/>
      <c r="V108" s="219"/>
      <c r="W108" s="224"/>
      <c r="X108">
        <v>15.55</v>
      </c>
      <c r="Y108" s="223"/>
      <c r="Z108" s="223"/>
      <c r="AA108" s="223"/>
      <c r="AB108" s="220"/>
      <c r="AC108" s="224"/>
      <c r="AD108" s="221"/>
      <c r="AE108" s="224"/>
      <c r="AF108" s="220"/>
      <c r="AG108" s="224"/>
      <c r="AH108" s="220"/>
      <c r="AI108" s="224"/>
      <c r="AJ108" s="286"/>
      <c r="AK108" s="290"/>
      <c r="AL108" s="223"/>
      <c r="AM108" s="223"/>
      <c r="AN108" s="241">
        <v>70</v>
      </c>
      <c r="AO108" s="242">
        <v>42074</v>
      </c>
      <c r="AP108" s="255">
        <v>104</v>
      </c>
      <c r="AQ108" s="242">
        <v>42108</v>
      </c>
      <c r="AR108" s="223"/>
      <c r="AS108" s="297"/>
      <c r="AT108" s="290"/>
      <c r="AU108" s="298"/>
      <c r="AV108" s="223"/>
      <c r="AW108" s="223"/>
      <c r="AX108" s="223"/>
      <c r="AY108" s="223"/>
      <c r="AZ108" s="223"/>
      <c r="BA108" s="223"/>
      <c r="BB108" s="223"/>
      <c r="BC108" s="223"/>
      <c r="BD108" s="223"/>
      <c r="BE108" s="223"/>
      <c r="BF108" s="281"/>
      <c r="BG108" s="235"/>
      <c r="BH108" s="223"/>
      <c r="BI108" s="223"/>
      <c r="BJ108" s="223"/>
      <c r="BK108" s="223"/>
      <c r="BL108" s="281"/>
      <c r="BM108" s="235"/>
      <c r="BN108" s="223"/>
      <c r="BO108" s="223"/>
      <c r="BP108" s="281"/>
      <c r="BQ108" s="235"/>
      <c r="BR108" s="281"/>
      <c r="BS108" s="235"/>
      <c r="BT108" s="281"/>
      <c r="BU108" s="235"/>
      <c r="BV108" s="281"/>
      <c r="BW108" s="235"/>
      <c r="BX108" s="281"/>
      <c r="BY108" s="235"/>
      <c r="BZ108" s="223"/>
      <c r="CA108" s="226"/>
      <c r="CB108" s="266"/>
      <c r="CC108" s="223"/>
      <c r="CD108" s="281"/>
      <c r="CE108" s="291"/>
      <c r="CF108" s="223"/>
      <c r="CG108" s="223"/>
      <c r="CH108" s="223"/>
      <c r="CI108" s="223"/>
      <c r="CK108" s="223"/>
      <c r="CL108" s="223">
        <v>1</v>
      </c>
      <c r="CM108" s="259">
        <v>42161</v>
      </c>
    </row>
    <row r="109" spans="1:94">
      <c r="A109" s="258">
        <v>177</v>
      </c>
      <c r="B109" s="235">
        <v>177</v>
      </c>
      <c r="C109" s="235" t="s">
        <v>7653</v>
      </c>
      <c r="D109" s="235" t="s">
        <v>7484</v>
      </c>
      <c r="E109" s="235" t="s">
        <v>7653</v>
      </c>
      <c r="F109" s="235" t="s">
        <v>8431</v>
      </c>
      <c r="G109" s="235" t="str">
        <f t="shared" ref="G109:G117" si="61">IF(MID(C109,1,3)="BGA","Complement","Rapsodyn")</f>
        <v>Rapsodyn</v>
      </c>
      <c r="H109" s="235" t="s">
        <v>265</v>
      </c>
      <c r="I109" s="235">
        <v>1</v>
      </c>
      <c r="J109" s="235">
        <v>9037</v>
      </c>
      <c r="K109" s="235">
        <v>31</v>
      </c>
      <c r="L109" s="235">
        <f t="shared" si="48"/>
        <v>31</v>
      </c>
      <c r="M109" s="235">
        <v>3</v>
      </c>
      <c r="N109" s="235">
        <v>7</v>
      </c>
      <c r="O109" s="248">
        <v>42048</v>
      </c>
      <c r="P109">
        <v>3.65</v>
      </c>
      <c r="Q109" s="264">
        <v>42204</v>
      </c>
      <c r="R109"/>
      <c r="S109"/>
      <c r="T109"/>
      <c r="V109" s="219">
        <f t="shared" ref="V109:V117" si="62">+BR109*AF109/100</f>
        <v>10.100012429412155</v>
      </c>
      <c r="W109" s="219"/>
      <c r="X109">
        <v>15.55</v>
      </c>
      <c r="Y109"/>
      <c r="Z109"/>
      <c r="AA109"/>
      <c r="AB109" s="220">
        <f t="shared" ref="AB109:AB117" si="63">+AF109*BT109/100</f>
        <v>3.9791906694277306</v>
      </c>
      <c r="AC109" s="219"/>
      <c r="AD109" s="221">
        <f t="shared" ref="AD109:AD117" si="64">+(AF109/AJ109)*10000</f>
        <v>41815.083659048469</v>
      </c>
      <c r="AE109" s="219"/>
      <c r="AF109" s="220">
        <f t="shared" ref="AF109:AF117" si="65">($P109/$X109)*(((100-$CD109)/100*(100-2)/100))*100</f>
        <v>20.94935691318328</v>
      </c>
      <c r="AG109" s="219"/>
      <c r="AH109" s="220">
        <f t="shared" ref="AH109:AH117" si="66">($P109/$X109)*(((100-$CD109)/(100-9)*(100-2)/(100-2))*100)</f>
        <v>23.491093197110651</v>
      </c>
      <c r="AI109" s="219"/>
      <c r="AJ109">
        <v>5.01</v>
      </c>
      <c r="AK109" s="284" t="s">
        <v>8401</v>
      </c>
      <c r="AL109">
        <v>175</v>
      </c>
      <c r="AM109"/>
      <c r="AN109" s="241">
        <v>70</v>
      </c>
      <c r="AO109" s="242">
        <v>42074</v>
      </c>
      <c r="AP109" s="255">
        <v>106</v>
      </c>
      <c r="AQ109" s="242">
        <v>42110</v>
      </c>
      <c r="AR109" s="223">
        <v>127</v>
      </c>
      <c r="AS109" s="297">
        <f t="shared" ref="AS109:AS117" si="67">IF(AR109=0,,AR109)</f>
        <v>127</v>
      </c>
      <c r="AT109" s="290">
        <v>42131</v>
      </c>
      <c r="AU109" s="298"/>
      <c r="AV109"/>
      <c r="AW109"/>
      <c r="AX109"/>
      <c r="AY109"/>
      <c r="AZ109"/>
      <c r="BA109"/>
      <c r="BB109"/>
      <c r="BC109"/>
      <c r="BD109"/>
      <c r="BE109"/>
      <c r="BF109" s="277">
        <v>-0.4998529851436615</v>
      </c>
      <c r="BG109" s="283">
        <v>42233</v>
      </c>
      <c r="BH109"/>
      <c r="BI109"/>
      <c r="BJ109"/>
      <c r="BK109"/>
      <c r="BL109" s="277">
        <v>58.842174530029297</v>
      </c>
      <c r="BM109" s="283">
        <v>42233</v>
      </c>
      <c r="BN109"/>
      <c r="BO109"/>
      <c r="BP109" s="277">
        <v>3.677588939666748</v>
      </c>
      <c r="BQ109" s="283">
        <v>42233</v>
      </c>
      <c r="BR109" s="277">
        <v>48.211563110351563</v>
      </c>
      <c r="BS109" s="283">
        <v>42233</v>
      </c>
      <c r="BT109" s="277">
        <v>18.994333267211914</v>
      </c>
      <c r="BU109" s="283">
        <v>42233</v>
      </c>
      <c r="BV109" s="277">
        <v>23.303682327270508</v>
      </c>
      <c r="BW109" s="283">
        <v>42233</v>
      </c>
      <c r="BX109" s="277">
        <v>5.1778717041015625</v>
      </c>
      <c r="BY109" s="283">
        <v>42233</v>
      </c>
      <c r="BZ109"/>
      <c r="CB109" s="266">
        <v>1.49</v>
      </c>
      <c r="CC109"/>
      <c r="CD109" s="277">
        <v>8.9285714285714288</v>
      </c>
      <c r="CE109" s="291" t="s">
        <v>8401</v>
      </c>
      <c r="CF109"/>
      <c r="CG109"/>
      <c r="CH109">
        <v>4</v>
      </c>
      <c r="CI109">
        <v>4</v>
      </c>
      <c r="CK109"/>
      <c r="CL109" s="223">
        <v>2</v>
      </c>
      <c r="CM109" s="259">
        <v>42161</v>
      </c>
      <c r="CN109" s="137" t="s">
        <v>8406</v>
      </c>
    </row>
    <row r="110" spans="1:94">
      <c r="A110" s="258">
        <v>179</v>
      </c>
      <c r="B110" s="96">
        <v>179</v>
      </c>
      <c r="C110" s="235" t="s">
        <v>8238</v>
      </c>
      <c r="D110" s="235" t="s">
        <v>7562</v>
      </c>
      <c r="E110" s="235" t="s">
        <v>8461</v>
      </c>
      <c r="F110" s="235" t="s">
        <v>8469</v>
      </c>
      <c r="G110" s="235" t="str">
        <f t="shared" si="61"/>
        <v>Rapsodyn</v>
      </c>
      <c r="H110" s="235" t="s">
        <v>265</v>
      </c>
      <c r="I110" s="235">
        <v>1</v>
      </c>
      <c r="J110" s="235">
        <v>9355</v>
      </c>
      <c r="K110" s="235">
        <v>33</v>
      </c>
      <c r="L110" s="235">
        <f t="shared" si="48"/>
        <v>33</v>
      </c>
      <c r="M110" s="235">
        <v>3</v>
      </c>
      <c r="N110" s="235">
        <v>7</v>
      </c>
      <c r="O110" s="248">
        <v>42048</v>
      </c>
      <c r="P110">
        <v>4.5999999999999996</v>
      </c>
      <c r="Q110" s="264">
        <v>42204</v>
      </c>
      <c r="R110" s="261"/>
      <c r="S110"/>
      <c r="T110"/>
      <c r="V110" s="219">
        <f t="shared" si="62"/>
        <v>13.680094075463591</v>
      </c>
      <c r="W110" s="219"/>
      <c r="X110">
        <v>15.55</v>
      </c>
      <c r="Y110"/>
      <c r="Z110"/>
      <c r="AA110"/>
      <c r="AB110" s="220">
        <f t="shared" si="63"/>
        <v>4.5299734923310595</v>
      </c>
      <c r="AC110" s="219"/>
      <c r="AD110" s="221">
        <f t="shared" si="64"/>
        <v>60701.989016304811</v>
      </c>
      <c r="AE110" s="219"/>
      <c r="AF110" s="220">
        <f t="shared" si="65"/>
        <v>27.437299035369772</v>
      </c>
      <c r="AG110" s="219"/>
      <c r="AH110" s="220">
        <f t="shared" si="66"/>
        <v>30.766202102903982</v>
      </c>
      <c r="AI110" s="219"/>
      <c r="AJ110">
        <v>4.5199999999999996</v>
      </c>
      <c r="AK110" s="284" t="s">
        <v>8401</v>
      </c>
      <c r="AL110">
        <v>165</v>
      </c>
      <c r="AM110"/>
      <c r="AN110" s="241">
        <v>70</v>
      </c>
      <c r="AO110" s="242">
        <v>42074</v>
      </c>
      <c r="AP110" s="255">
        <v>104</v>
      </c>
      <c r="AQ110" s="242">
        <v>42108</v>
      </c>
      <c r="AR110" s="223">
        <v>132</v>
      </c>
      <c r="AS110" s="297">
        <f t="shared" si="67"/>
        <v>132</v>
      </c>
      <c r="AT110" s="290">
        <v>42136</v>
      </c>
      <c r="AU110" s="298"/>
      <c r="AV110"/>
      <c r="AW110"/>
      <c r="AX110"/>
      <c r="AY110"/>
      <c r="AZ110"/>
      <c r="BA110"/>
      <c r="BB110"/>
      <c r="BC110"/>
      <c r="BD110"/>
      <c r="BE110"/>
      <c r="BF110" s="277">
        <v>-2.20790696144104</v>
      </c>
      <c r="BG110" s="283">
        <v>42230</v>
      </c>
      <c r="BH110"/>
      <c r="BI110"/>
      <c r="BJ110"/>
      <c r="BK110"/>
      <c r="BL110" s="277">
        <v>63.189277648925781</v>
      </c>
      <c r="BM110" s="283">
        <v>42230</v>
      </c>
      <c r="BN110"/>
      <c r="BO110"/>
      <c r="BP110" s="277">
        <v>3.8577799797058105</v>
      </c>
      <c r="BQ110" s="283">
        <v>42230</v>
      </c>
      <c r="BR110" s="277">
        <v>49.859477996826172</v>
      </c>
      <c r="BS110" s="283">
        <v>42230</v>
      </c>
      <c r="BT110" s="277">
        <v>16.510274887084961</v>
      </c>
      <c r="BU110" s="283">
        <v>42230</v>
      </c>
      <c r="BV110" s="277">
        <v>23.515518188476562</v>
      </c>
      <c r="BW110" s="283">
        <v>42230</v>
      </c>
      <c r="BX110" s="277">
        <v>5.1867446899414062</v>
      </c>
      <c r="BY110" s="283">
        <v>42230</v>
      </c>
      <c r="BZ110"/>
      <c r="CB110" s="266">
        <v>1.91</v>
      </c>
      <c r="CC110"/>
      <c r="CD110" s="277">
        <v>5.3571428571428541</v>
      </c>
      <c r="CE110" s="291" t="s">
        <v>8401</v>
      </c>
      <c r="CF110"/>
      <c r="CG110"/>
      <c r="CH110">
        <v>2</v>
      </c>
      <c r="CI110">
        <v>4</v>
      </c>
      <c r="CK110"/>
      <c r="CL110" s="223">
        <v>1</v>
      </c>
      <c r="CM110" s="259">
        <v>42161</v>
      </c>
      <c r="CN110" s="137" t="s">
        <v>8406</v>
      </c>
    </row>
    <row r="111" spans="1:94">
      <c r="A111" s="258">
        <v>180</v>
      </c>
      <c r="B111" s="235">
        <v>180</v>
      </c>
      <c r="C111" s="235" t="s">
        <v>7772</v>
      </c>
      <c r="D111" s="235" t="s">
        <v>7570</v>
      </c>
      <c r="E111" s="235" t="s">
        <v>7772</v>
      </c>
      <c r="F111" s="235" t="s">
        <v>8486</v>
      </c>
      <c r="G111" s="235" t="str">
        <f t="shared" si="61"/>
        <v>Rapsodyn</v>
      </c>
      <c r="H111" s="235" t="s">
        <v>265</v>
      </c>
      <c r="I111" s="235">
        <v>1</v>
      </c>
      <c r="J111" s="235">
        <v>9143</v>
      </c>
      <c r="K111" s="235">
        <v>34</v>
      </c>
      <c r="L111" s="235">
        <f t="shared" si="48"/>
        <v>34</v>
      </c>
      <c r="M111" s="235">
        <v>3</v>
      </c>
      <c r="N111" s="235">
        <v>7</v>
      </c>
      <c r="O111" s="248">
        <v>42048</v>
      </c>
      <c r="P111">
        <v>5.25</v>
      </c>
      <c r="Q111" s="264">
        <v>42204</v>
      </c>
      <c r="R111"/>
      <c r="S111"/>
      <c r="T111"/>
      <c r="V111" s="219">
        <f t="shared" si="62"/>
        <v>16.708587622259209</v>
      </c>
      <c r="W111" s="219"/>
      <c r="X111">
        <v>15.55</v>
      </c>
      <c r="Y111"/>
      <c r="Z111"/>
      <c r="AA111"/>
      <c r="AB111" s="220">
        <f t="shared" si="63"/>
        <v>4.4908404414676788</v>
      </c>
      <c r="AC111" s="219"/>
      <c r="AD111" s="221">
        <f t="shared" si="64"/>
        <v>76511.138356196083</v>
      </c>
      <c r="AE111" s="219"/>
      <c r="AF111" s="220">
        <f t="shared" si="65"/>
        <v>31.905144694533767</v>
      </c>
      <c r="AG111" s="219"/>
      <c r="AH111" s="220">
        <f t="shared" si="66"/>
        <v>35.776120985124201</v>
      </c>
      <c r="AI111" s="219"/>
      <c r="AJ111">
        <v>4.17</v>
      </c>
      <c r="AK111" s="284" t="s">
        <v>8401</v>
      </c>
      <c r="AL111">
        <v>175</v>
      </c>
      <c r="AM111"/>
      <c r="AN111" s="241">
        <v>65</v>
      </c>
      <c r="AO111" s="242">
        <v>42069</v>
      </c>
      <c r="AP111" s="255">
        <v>106</v>
      </c>
      <c r="AQ111" s="242">
        <v>42110</v>
      </c>
      <c r="AR111" s="223">
        <v>136</v>
      </c>
      <c r="AS111" s="297">
        <f t="shared" si="67"/>
        <v>136</v>
      </c>
      <c r="AT111" s="290">
        <v>42140</v>
      </c>
      <c r="AU111" s="298"/>
      <c r="AV111"/>
      <c r="AW111"/>
      <c r="AX111"/>
      <c r="AY111"/>
      <c r="AZ111"/>
      <c r="BA111"/>
      <c r="BB111"/>
      <c r="BC111"/>
      <c r="BD111"/>
      <c r="BE111"/>
      <c r="BF111" s="277">
        <v>-2.4329359531402588</v>
      </c>
      <c r="BG111" s="283">
        <v>42230</v>
      </c>
      <c r="BH111"/>
      <c r="BI111"/>
      <c r="BJ111"/>
      <c r="BK111"/>
      <c r="BL111" s="277">
        <v>66.499443054199219</v>
      </c>
      <c r="BM111" s="283">
        <v>42230</v>
      </c>
      <c r="BN111"/>
      <c r="BO111"/>
      <c r="BP111" s="277">
        <v>4.2967000007629395</v>
      </c>
      <c r="BQ111" s="283">
        <v>42230</v>
      </c>
      <c r="BR111" s="277">
        <v>52.369571685791016</v>
      </c>
      <c r="BS111" s="283">
        <v>42230</v>
      </c>
      <c r="BT111" s="277">
        <v>14.075599670410156</v>
      </c>
      <c r="BU111" s="283">
        <v>42230</v>
      </c>
      <c r="BV111" s="277">
        <v>10.607439041137695</v>
      </c>
      <c r="BW111" s="283">
        <v>42230</v>
      </c>
      <c r="BX111" s="277">
        <v>5.2194747924804687</v>
      </c>
      <c r="BY111" s="283">
        <v>42230</v>
      </c>
      <c r="BZ111"/>
      <c r="CB111" s="266">
        <v>2.4</v>
      </c>
      <c r="CC111"/>
      <c r="CD111" s="277">
        <v>3.5714285714285587</v>
      </c>
      <c r="CE111" s="291" t="s">
        <v>8401</v>
      </c>
      <c r="CF111"/>
      <c r="CG111"/>
      <c r="CH111">
        <v>2</v>
      </c>
      <c r="CI111">
        <v>2</v>
      </c>
      <c r="CK111"/>
      <c r="CL111" s="223">
        <v>1</v>
      </c>
      <c r="CM111" s="259">
        <v>42161</v>
      </c>
      <c r="CN111" s="137" t="s">
        <v>8406</v>
      </c>
    </row>
    <row r="112" spans="1:94">
      <c r="A112" s="258">
        <v>182</v>
      </c>
      <c r="B112" s="235">
        <v>182</v>
      </c>
      <c r="C112" s="235" t="s">
        <v>7696</v>
      </c>
      <c r="D112" s="235" t="s">
        <v>7522</v>
      </c>
      <c r="E112" s="235" t="s">
        <v>7696</v>
      </c>
      <c r="F112" s="235" t="s">
        <v>8443</v>
      </c>
      <c r="G112" s="235" t="str">
        <f t="shared" si="61"/>
        <v>Rapsodyn</v>
      </c>
      <c r="H112" s="235" t="s">
        <v>265</v>
      </c>
      <c r="I112" s="235">
        <v>1</v>
      </c>
      <c r="J112" s="235">
        <v>9078</v>
      </c>
      <c r="K112" s="235">
        <v>36</v>
      </c>
      <c r="L112" s="235">
        <f t="shared" si="48"/>
        <v>36</v>
      </c>
      <c r="M112" s="235">
        <v>3</v>
      </c>
      <c r="N112" s="235">
        <v>7</v>
      </c>
      <c r="O112" s="248">
        <v>42048</v>
      </c>
      <c r="P112" s="223">
        <v>5.4</v>
      </c>
      <c r="Q112" s="264">
        <v>42204</v>
      </c>
      <c r="R112" s="223"/>
      <c r="S112" s="223"/>
      <c r="T112" s="223"/>
      <c r="U112" s="225"/>
      <c r="V112" s="219">
        <f t="shared" si="62"/>
        <v>16.109593135938113</v>
      </c>
      <c r="W112" s="224"/>
      <c r="X112">
        <v>15.55</v>
      </c>
      <c r="Y112" s="223"/>
      <c r="Z112" s="223"/>
      <c r="AA112" s="223"/>
      <c r="AB112" s="220">
        <f t="shared" si="63"/>
        <v>5.1343549163907225</v>
      </c>
      <c r="AC112" s="224"/>
      <c r="AD112" s="221">
        <f t="shared" si="64"/>
        <v>72451.155091945097</v>
      </c>
      <c r="AE112" s="224"/>
      <c r="AF112" s="220">
        <f t="shared" si="65"/>
        <v>32.747922101559176</v>
      </c>
      <c r="AG112" s="224"/>
      <c r="AH112" s="220">
        <f t="shared" si="66"/>
        <v>36.721150596052013</v>
      </c>
      <c r="AI112" s="224"/>
      <c r="AJ112">
        <v>4.5199999999999996</v>
      </c>
      <c r="AK112" s="290" t="s">
        <v>8402</v>
      </c>
      <c r="AL112" s="223">
        <v>155</v>
      </c>
      <c r="AM112" s="223"/>
      <c r="AN112" s="241">
        <v>70</v>
      </c>
      <c r="AO112" s="242">
        <v>42074</v>
      </c>
      <c r="AP112" s="255">
        <v>104</v>
      </c>
      <c r="AQ112" s="242">
        <v>42108</v>
      </c>
      <c r="AR112" s="223">
        <v>125</v>
      </c>
      <c r="AS112" s="297">
        <f t="shared" si="67"/>
        <v>125</v>
      </c>
      <c r="AT112" s="290">
        <v>42129</v>
      </c>
      <c r="AU112" s="298"/>
      <c r="AV112" s="223"/>
      <c r="AW112" s="223"/>
      <c r="AX112" s="223"/>
      <c r="AY112" s="223"/>
      <c r="AZ112" s="223"/>
      <c r="BA112" s="223"/>
      <c r="BB112" s="223"/>
      <c r="BC112" s="223"/>
      <c r="BD112" s="223"/>
      <c r="BE112" s="223"/>
      <c r="BF112" s="281">
        <v>1.5030039548873901</v>
      </c>
      <c r="BG112" s="283">
        <v>42233</v>
      </c>
      <c r="BH112" s="223"/>
      <c r="BI112" s="223"/>
      <c r="BJ112" s="223"/>
      <c r="BK112" s="223"/>
      <c r="BL112" s="281">
        <v>62.461093902587891</v>
      </c>
      <c r="BM112" s="283">
        <v>42233</v>
      </c>
      <c r="BN112" s="223"/>
      <c r="BO112" s="223"/>
      <c r="BP112" s="281">
        <v>2.8749279975891113</v>
      </c>
      <c r="BQ112" s="283">
        <v>42233</v>
      </c>
      <c r="BR112" s="281">
        <v>49.192718505859375</v>
      </c>
      <c r="BS112" s="283">
        <v>42233</v>
      </c>
      <c r="BT112" s="281">
        <v>15.678414344787598</v>
      </c>
      <c r="BU112" s="283">
        <v>42233</v>
      </c>
      <c r="BV112" s="281">
        <v>14.334859848022461</v>
      </c>
      <c r="BW112" s="283">
        <v>42233</v>
      </c>
      <c r="BX112" s="281">
        <v>5.22845458984375</v>
      </c>
      <c r="BY112" s="283">
        <v>42233</v>
      </c>
      <c r="BZ112" s="223"/>
      <c r="CA112" s="226"/>
      <c r="CB112" s="266">
        <v>2.2799999999999998</v>
      </c>
      <c r="CC112" s="223"/>
      <c r="CD112" s="281">
        <v>3.7735849056603805</v>
      </c>
      <c r="CE112" s="291" t="s">
        <v>8402</v>
      </c>
      <c r="CF112" s="223"/>
      <c r="CG112" s="223"/>
      <c r="CH112" s="223">
        <v>2</v>
      </c>
      <c r="CI112" s="223">
        <v>2</v>
      </c>
      <c r="CK112" s="223"/>
      <c r="CL112" s="223">
        <v>2</v>
      </c>
      <c r="CM112" s="259">
        <v>42161</v>
      </c>
      <c r="CN112" s="137" t="s">
        <v>8406</v>
      </c>
    </row>
    <row r="113" spans="1:92">
      <c r="A113" s="258">
        <v>183</v>
      </c>
      <c r="B113" s="235">
        <v>183</v>
      </c>
      <c r="C113" s="235" t="s">
        <v>7642</v>
      </c>
      <c r="D113" s="235" t="s">
        <v>7474</v>
      </c>
      <c r="E113" s="235" t="s">
        <v>7642</v>
      </c>
      <c r="F113" s="235" t="s">
        <v>8476</v>
      </c>
      <c r="G113" s="235" t="str">
        <f t="shared" si="61"/>
        <v>Rapsodyn</v>
      </c>
      <c r="H113" s="235" t="s">
        <v>265</v>
      </c>
      <c r="I113" s="235">
        <v>1</v>
      </c>
      <c r="J113" s="235">
        <v>9030</v>
      </c>
      <c r="K113" s="235">
        <v>37</v>
      </c>
      <c r="L113" s="235">
        <f t="shared" si="48"/>
        <v>37</v>
      </c>
      <c r="M113" s="235">
        <v>3</v>
      </c>
      <c r="N113" s="235">
        <v>7</v>
      </c>
      <c r="O113" s="248">
        <v>42048</v>
      </c>
      <c r="P113">
        <v>4.5</v>
      </c>
      <c r="Q113" s="264">
        <v>42204</v>
      </c>
      <c r="R113"/>
      <c r="S113"/>
      <c r="T113"/>
      <c r="V113" s="219">
        <f t="shared" si="62"/>
        <v>12.788490026273841</v>
      </c>
      <c r="W113" s="219"/>
      <c r="X113">
        <v>15.55</v>
      </c>
      <c r="Y113"/>
      <c r="Z113"/>
      <c r="AA113"/>
      <c r="AB113" s="220">
        <f t="shared" si="63"/>
        <v>4.9170604335826171</v>
      </c>
      <c r="AC113" s="219"/>
      <c r="AD113" s="221">
        <f t="shared" si="64"/>
        <v>55513.897538222998</v>
      </c>
      <c r="AE113" s="219"/>
      <c r="AF113" s="220">
        <f t="shared" si="65"/>
        <v>26.813212510961709</v>
      </c>
      <c r="AG113" s="219"/>
      <c r="AH113" s="220">
        <f t="shared" si="66"/>
        <v>30.06639662588216</v>
      </c>
      <c r="AI113" s="219"/>
      <c r="AJ113">
        <v>4.83</v>
      </c>
      <c r="AK113" s="284" t="s">
        <v>8400</v>
      </c>
      <c r="AL113">
        <v>185</v>
      </c>
      <c r="AM113"/>
      <c r="AN113" s="241">
        <v>70</v>
      </c>
      <c r="AO113" s="242">
        <v>42074</v>
      </c>
      <c r="AP113" s="255">
        <v>106</v>
      </c>
      <c r="AQ113" s="242">
        <v>42110</v>
      </c>
      <c r="AR113" s="223">
        <v>138</v>
      </c>
      <c r="AS113" s="297">
        <f t="shared" si="67"/>
        <v>138</v>
      </c>
      <c r="AT113" s="290">
        <v>42142</v>
      </c>
      <c r="AU113" s="298"/>
      <c r="AV113"/>
      <c r="AW113"/>
      <c r="AX113"/>
      <c r="AY113"/>
      <c r="AZ113"/>
      <c r="BA113"/>
      <c r="BB113"/>
      <c r="BC113"/>
      <c r="BD113"/>
      <c r="BE113"/>
      <c r="BF113" s="277">
        <v>-4.1677188873291016</v>
      </c>
      <c r="BG113" s="283">
        <v>42233</v>
      </c>
      <c r="BH113"/>
      <c r="BI113"/>
      <c r="BJ113"/>
      <c r="BK113"/>
      <c r="BL113" s="277">
        <v>62.135391235351563</v>
      </c>
      <c r="BM113" s="283">
        <v>42233</v>
      </c>
      <c r="BN113"/>
      <c r="BO113"/>
      <c r="BP113" s="277">
        <v>3.2414870262145996</v>
      </c>
      <c r="BQ113" s="283">
        <v>42233</v>
      </c>
      <c r="BR113" s="277">
        <v>47.694732666015625</v>
      </c>
      <c r="BS113" s="283">
        <v>42233</v>
      </c>
      <c r="BT113" s="277">
        <v>18.338199615478516</v>
      </c>
      <c r="BU113" s="283">
        <v>42233</v>
      </c>
      <c r="BV113" s="277">
        <v>48.521896362304688</v>
      </c>
      <c r="BW113" s="283">
        <v>42233</v>
      </c>
      <c r="BX113" s="277">
        <v>5.424774169921875</v>
      </c>
      <c r="BY113" s="283">
        <v>42233</v>
      </c>
      <c r="BZ113"/>
      <c r="CB113" s="266">
        <v>2.0699999999999998</v>
      </c>
      <c r="CC113"/>
      <c r="CD113" s="277">
        <v>5.4545454545454515</v>
      </c>
      <c r="CE113" s="291" t="s">
        <v>8400</v>
      </c>
      <c r="CF113"/>
      <c r="CG113"/>
      <c r="CH113">
        <v>2</v>
      </c>
      <c r="CI113">
        <v>2</v>
      </c>
      <c r="CK113"/>
      <c r="CL113" s="223">
        <v>3</v>
      </c>
      <c r="CM113" s="259">
        <v>42161</v>
      </c>
      <c r="CN113" s="137" t="s">
        <v>8406</v>
      </c>
    </row>
    <row r="114" spans="1:92">
      <c r="A114" s="258">
        <v>186</v>
      </c>
      <c r="B114" s="235">
        <v>186</v>
      </c>
      <c r="C114" s="235" t="s">
        <v>7692</v>
      </c>
      <c r="D114" s="235" t="s">
        <v>7518</v>
      </c>
      <c r="E114" s="235" t="s">
        <v>7692</v>
      </c>
      <c r="F114" s="235" t="s">
        <v>8515</v>
      </c>
      <c r="G114" s="235" t="str">
        <f t="shared" si="61"/>
        <v>Rapsodyn</v>
      </c>
      <c r="H114" s="235" t="s">
        <v>265</v>
      </c>
      <c r="I114" s="235">
        <v>1</v>
      </c>
      <c r="J114" s="235">
        <v>9074</v>
      </c>
      <c r="K114" s="235">
        <v>40</v>
      </c>
      <c r="L114" s="235">
        <f t="shared" si="48"/>
        <v>40</v>
      </c>
      <c r="M114" s="235">
        <v>3</v>
      </c>
      <c r="N114" s="235">
        <v>9</v>
      </c>
      <c r="O114" s="248">
        <v>42048</v>
      </c>
      <c r="P114" s="223">
        <v>4.3</v>
      </c>
      <c r="Q114" s="264">
        <v>42204</v>
      </c>
      <c r="R114" s="223"/>
      <c r="S114" s="223"/>
      <c r="T114" s="223"/>
      <c r="U114" s="225"/>
      <c r="V114" s="219">
        <f t="shared" si="62"/>
        <v>12.939444352517233</v>
      </c>
      <c r="W114" s="224"/>
      <c r="X114">
        <v>15.55</v>
      </c>
      <c r="Y114" s="223"/>
      <c r="Z114" s="223"/>
      <c r="AA114" s="223"/>
      <c r="AB114" s="220">
        <f t="shared" si="63"/>
        <v>4.4389681166243848</v>
      </c>
      <c r="AC114" s="224"/>
      <c r="AD114" s="221">
        <f t="shared" si="64"/>
        <v>52219.204672020263</v>
      </c>
      <c r="AE114" s="224"/>
      <c r="AF114" s="220">
        <f t="shared" si="65"/>
        <v>26.057383131338113</v>
      </c>
      <c r="AG114" s="224"/>
      <c r="AH114" s="220">
        <f t="shared" si="66"/>
        <v>29.218864242361644</v>
      </c>
      <c r="AI114" s="224"/>
      <c r="AJ114">
        <v>4.99</v>
      </c>
      <c r="AK114" s="290" t="s">
        <v>8400</v>
      </c>
      <c r="AL114" s="223">
        <v>155</v>
      </c>
      <c r="AM114" s="223"/>
      <c r="AN114" s="241">
        <v>75</v>
      </c>
      <c r="AO114" s="242">
        <v>42079</v>
      </c>
      <c r="AP114" s="255">
        <v>106</v>
      </c>
      <c r="AQ114" s="242">
        <v>42110</v>
      </c>
      <c r="AR114" s="223">
        <v>127</v>
      </c>
      <c r="AS114" s="297">
        <f t="shared" si="67"/>
        <v>127</v>
      </c>
      <c r="AT114" s="290">
        <v>42131</v>
      </c>
      <c r="AU114" s="298"/>
      <c r="AV114" s="223"/>
      <c r="AW114" s="223"/>
      <c r="AX114" s="223"/>
      <c r="AY114" s="223"/>
      <c r="AZ114" s="223"/>
      <c r="BA114" s="223"/>
      <c r="BB114" s="223"/>
      <c r="BC114" s="223"/>
      <c r="BD114" s="223"/>
      <c r="BE114" s="223"/>
      <c r="BF114" s="281">
        <v>-7.4337830543518066</v>
      </c>
      <c r="BG114" s="283">
        <v>42234</v>
      </c>
      <c r="BH114" s="223"/>
      <c r="BI114" s="223"/>
      <c r="BJ114" s="223"/>
      <c r="BK114" s="223"/>
      <c r="BL114" s="281">
        <v>63.822795867919922</v>
      </c>
      <c r="BM114" s="283">
        <v>42234</v>
      </c>
      <c r="BN114" s="223"/>
      <c r="BO114" s="223"/>
      <c r="BP114" s="281">
        <v>3.4549789428710937</v>
      </c>
      <c r="BQ114" s="283">
        <v>42234</v>
      </c>
      <c r="BR114" s="281">
        <v>49.657497406005859</v>
      </c>
      <c r="BS114" s="283">
        <v>42234</v>
      </c>
      <c r="BT114" s="281">
        <v>17.035356521606445</v>
      </c>
      <c r="BU114" s="283">
        <v>42234</v>
      </c>
      <c r="BV114" s="281">
        <v>13.582845687866211</v>
      </c>
      <c r="BW114" s="283">
        <v>42234</v>
      </c>
      <c r="BX114" s="281">
        <v>5.5175323486328125</v>
      </c>
      <c r="BY114" s="283">
        <v>42234</v>
      </c>
      <c r="BZ114" s="223"/>
      <c r="CA114" s="226"/>
      <c r="CB114" s="266">
        <v>1.29</v>
      </c>
      <c r="CC114" s="223"/>
      <c r="CD114" s="281">
        <v>3.8461538461538494</v>
      </c>
      <c r="CE114" s="291" t="s">
        <v>8400</v>
      </c>
      <c r="CF114" s="223"/>
      <c r="CG114" s="223"/>
      <c r="CH114" s="223">
        <v>2</v>
      </c>
      <c r="CI114" s="223">
        <v>2</v>
      </c>
      <c r="CK114" s="223"/>
      <c r="CL114" s="223">
        <v>1</v>
      </c>
      <c r="CM114" s="259">
        <v>42161</v>
      </c>
      <c r="CN114" s="137" t="s">
        <v>8406</v>
      </c>
    </row>
    <row r="115" spans="1:92">
      <c r="A115" s="258">
        <v>191</v>
      </c>
      <c r="B115" s="235">
        <v>191</v>
      </c>
      <c r="C115" s="235" t="s">
        <v>7650</v>
      </c>
      <c r="D115" s="235" t="s">
        <v>260</v>
      </c>
      <c r="E115" s="235" t="s">
        <v>7650</v>
      </c>
      <c r="F115" s="235" t="s">
        <v>8543</v>
      </c>
      <c r="G115" s="235" t="str">
        <f t="shared" si="61"/>
        <v>Rapsodyn</v>
      </c>
      <c r="H115" s="235" t="s">
        <v>265</v>
      </c>
      <c r="I115" s="235">
        <v>1</v>
      </c>
      <c r="J115" s="235">
        <v>9035</v>
      </c>
      <c r="K115" s="235">
        <v>45</v>
      </c>
      <c r="L115" s="235">
        <f t="shared" si="48"/>
        <v>45</v>
      </c>
      <c r="M115" s="235">
        <v>3</v>
      </c>
      <c r="N115" s="235">
        <v>7</v>
      </c>
      <c r="O115" s="248">
        <v>42048</v>
      </c>
      <c r="P115">
        <v>4.55</v>
      </c>
      <c r="Q115" s="264">
        <v>42204</v>
      </c>
      <c r="R115"/>
      <c r="S115"/>
      <c r="T115"/>
      <c r="V115" s="219">
        <f t="shared" si="62"/>
        <v>13.631694384760438</v>
      </c>
      <c r="W115" s="219"/>
      <c r="X115">
        <v>15.55</v>
      </c>
      <c r="Y115"/>
      <c r="Z115"/>
      <c r="AA115"/>
      <c r="AB115" s="220">
        <f t="shared" si="63"/>
        <v>4.8896445831121076</v>
      </c>
      <c r="AC115" s="219"/>
      <c r="AD115" s="221">
        <f t="shared" si="64"/>
        <v>70817.053140265387</v>
      </c>
      <c r="AE115" s="219"/>
      <c r="AF115" s="220">
        <f t="shared" si="65"/>
        <v>27.05211429958138</v>
      </c>
      <c r="AG115" s="219"/>
      <c r="AH115" s="220">
        <f t="shared" si="66"/>
        <v>30.334283807559299</v>
      </c>
      <c r="AI115" s="219"/>
      <c r="AJ115">
        <v>3.82</v>
      </c>
      <c r="AK115" s="284" t="s">
        <v>8400</v>
      </c>
      <c r="AL115">
        <v>135</v>
      </c>
      <c r="AM115"/>
      <c r="AN115" s="241">
        <v>72</v>
      </c>
      <c r="AO115" s="242">
        <v>42076</v>
      </c>
      <c r="AP115" s="255">
        <v>104</v>
      </c>
      <c r="AQ115" s="242">
        <v>42108</v>
      </c>
      <c r="AR115" s="223">
        <v>131</v>
      </c>
      <c r="AS115" s="297">
        <f t="shared" si="67"/>
        <v>131</v>
      </c>
      <c r="AT115" s="290">
        <v>42135</v>
      </c>
      <c r="AU115" s="298"/>
      <c r="AV115"/>
      <c r="AW115"/>
      <c r="AX115"/>
      <c r="AY115"/>
      <c r="AZ115"/>
      <c r="BA115"/>
      <c r="BB115"/>
      <c r="BC115"/>
      <c r="BD115"/>
      <c r="BE115"/>
      <c r="BF115" s="277">
        <v>-8.0605354309082031</v>
      </c>
      <c r="BG115" s="283">
        <v>42234</v>
      </c>
      <c r="BH115"/>
      <c r="BI115"/>
      <c r="BJ115"/>
      <c r="BK115"/>
      <c r="BL115" s="277">
        <v>61.525665283203125</v>
      </c>
      <c r="BM115" s="283">
        <v>42234</v>
      </c>
      <c r="BN115"/>
      <c r="BO115"/>
      <c r="BP115" s="277">
        <v>2.2363569736480713</v>
      </c>
      <c r="BQ115" s="283">
        <v>42234</v>
      </c>
      <c r="BR115" s="277">
        <v>50.390495300292969</v>
      </c>
      <c r="BS115" s="283">
        <v>42234</v>
      </c>
      <c r="BT115" s="277">
        <v>18.074907302856445</v>
      </c>
      <c r="BU115" s="283">
        <v>42234</v>
      </c>
      <c r="BV115" s="277">
        <v>50.314155578613281</v>
      </c>
      <c r="BW115" s="283">
        <v>42234</v>
      </c>
      <c r="BX115" s="277">
        <v>5.4680404663085938</v>
      </c>
      <c r="BY115" s="283">
        <v>42234</v>
      </c>
      <c r="BZ115"/>
      <c r="CB115" s="266">
        <v>1.86</v>
      </c>
      <c r="CC115"/>
      <c r="CD115" s="277">
        <v>5.660377358490563</v>
      </c>
      <c r="CE115" s="291" t="s">
        <v>8400</v>
      </c>
      <c r="CF115"/>
      <c r="CG115"/>
      <c r="CH115">
        <v>1</v>
      </c>
      <c r="CI115">
        <v>2</v>
      </c>
      <c r="CK115"/>
      <c r="CL115" s="223">
        <v>1</v>
      </c>
      <c r="CM115" s="259">
        <v>42161</v>
      </c>
      <c r="CN115" s="137" t="s">
        <v>8406</v>
      </c>
    </row>
    <row r="116" spans="1:92">
      <c r="A116" s="258">
        <v>193</v>
      </c>
      <c r="B116" s="235">
        <v>193</v>
      </c>
      <c r="C116" s="235" t="s">
        <v>7643</v>
      </c>
      <c r="D116" s="235" t="s">
        <v>7475</v>
      </c>
      <c r="E116" s="235" t="s">
        <v>7643</v>
      </c>
      <c r="F116" s="235" t="s">
        <v>8592</v>
      </c>
      <c r="G116" s="235" t="str">
        <f t="shared" si="61"/>
        <v>Rapsodyn</v>
      </c>
      <c r="H116" s="235" t="s">
        <v>265</v>
      </c>
      <c r="I116" s="235">
        <v>1</v>
      </c>
      <c r="J116" s="235">
        <v>9031</v>
      </c>
      <c r="K116" s="235">
        <v>47</v>
      </c>
      <c r="L116" s="235">
        <f t="shared" si="48"/>
        <v>47</v>
      </c>
      <c r="M116" s="235">
        <v>3</v>
      </c>
      <c r="N116" s="236">
        <v>5</v>
      </c>
      <c r="O116" s="248">
        <v>42048</v>
      </c>
      <c r="P116" s="223">
        <v>4.6500000000000004</v>
      </c>
      <c r="Q116" s="264">
        <v>42204</v>
      </c>
      <c r="R116" s="223"/>
      <c r="S116" s="223"/>
      <c r="T116" s="223"/>
      <c r="U116" s="225"/>
      <c r="V116" s="219">
        <f t="shared" si="62"/>
        <v>13.640295439410442</v>
      </c>
      <c r="W116" s="224"/>
      <c r="X116">
        <v>15.55</v>
      </c>
      <c r="Y116" s="223"/>
      <c r="Z116" s="223"/>
      <c r="AA116" s="223"/>
      <c r="AB116" s="220">
        <f t="shared" si="63"/>
        <v>4.8615581416163804</v>
      </c>
      <c r="AC116" s="224"/>
      <c r="AD116" s="221">
        <f t="shared" si="64"/>
        <v>58145.766345123258</v>
      </c>
      <c r="AE116" s="224"/>
      <c r="AF116" s="220">
        <f t="shared" si="65"/>
        <v>28.258842443729908</v>
      </c>
      <c r="AG116" s="224"/>
      <c r="AH116" s="220">
        <f t="shared" si="66"/>
        <v>31.687421443967153</v>
      </c>
      <c r="AI116" s="224"/>
      <c r="AJ116">
        <v>4.8600000000000003</v>
      </c>
      <c r="AK116" s="290" t="s">
        <v>8401</v>
      </c>
      <c r="AL116" s="223">
        <v>145</v>
      </c>
      <c r="AM116" s="223"/>
      <c r="AN116" s="241">
        <v>72</v>
      </c>
      <c r="AO116" s="242">
        <v>42076</v>
      </c>
      <c r="AP116" s="255">
        <v>104</v>
      </c>
      <c r="AQ116" s="242">
        <v>42108</v>
      </c>
      <c r="AR116" s="223">
        <v>127</v>
      </c>
      <c r="AS116" s="297">
        <f t="shared" si="67"/>
        <v>127</v>
      </c>
      <c r="AT116" s="290">
        <v>42131</v>
      </c>
      <c r="AU116" s="298"/>
      <c r="AV116" s="223"/>
      <c r="AW116" s="223"/>
      <c r="AX116" s="223"/>
      <c r="AY116" s="223"/>
      <c r="AZ116" s="223"/>
      <c r="BA116" s="223"/>
      <c r="BB116" s="223"/>
      <c r="BC116" s="223"/>
      <c r="BD116" s="223"/>
      <c r="BE116" s="223"/>
      <c r="BF116" s="281">
        <v>-0.57409101724624634</v>
      </c>
      <c r="BG116" s="283">
        <v>42230</v>
      </c>
      <c r="BH116" s="223"/>
      <c r="BI116" s="223"/>
      <c r="BJ116" s="223"/>
      <c r="BK116" s="223"/>
      <c r="BL116" s="281">
        <v>62.691429138183594</v>
      </c>
      <c r="BM116" s="283">
        <v>42230</v>
      </c>
      <c r="BN116" s="223"/>
      <c r="BO116" s="223"/>
      <c r="BP116" s="281">
        <v>2.5885078907012939</v>
      </c>
      <c r="BQ116" s="283">
        <v>42230</v>
      </c>
      <c r="BR116" s="281">
        <v>48.269123077392578</v>
      </c>
      <c r="BS116" s="283">
        <v>42230</v>
      </c>
      <c r="BT116" s="281">
        <v>17.203670501708984</v>
      </c>
      <c r="BU116" s="283">
        <v>42230</v>
      </c>
      <c r="BV116" s="281">
        <v>49.568466186523438</v>
      </c>
      <c r="BW116" s="283">
        <v>42230</v>
      </c>
      <c r="BX116" s="281">
        <v>5.4644622802734375</v>
      </c>
      <c r="BY116" s="283">
        <v>42230</v>
      </c>
      <c r="BZ116" s="223"/>
      <c r="CA116" s="226"/>
      <c r="CB116" s="266">
        <v>2.04</v>
      </c>
      <c r="CC116" s="223"/>
      <c r="CD116" s="281">
        <v>3.5714285714285587</v>
      </c>
      <c r="CE116" s="291" t="s">
        <v>8401</v>
      </c>
      <c r="CF116" s="223"/>
      <c r="CG116" s="223"/>
      <c r="CH116" s="223">
        <v>1</v>
      </c>
      <c r="CI116" s="223">
        <v>3</v>
      </c>
      <c r="CK116" s="223"/>
      <c r="CL116" s="223">
        <v>2</v>
      </c>
      <c r="CM116" s="259">
        <v>42161</v>
      </c>
      <c r="CN116" s="137" t="s">
        <v>8406</v>
      </c>
    </row>
    <row r="117" spans="1:92">
      <c r="A117" s="258">
        <v>194</v>
      </c>
      <c r="B117" s="235">
        <v>194</v>
      </c>
      <c r="C117" s="235" t="s">
        <v>7775</v>
      </c>
      <c r="D117" s="235" t="s">
        <v>7573</v>
      </c>
      <c r="E117" s="235" t="s">
        <v>7775</v>
      </c>
      <c r="F117" s="235" t="s">
        <v>8571</v>
      </c>
      <c r="G117" s="235" t="str">
        <f t="shared" si="61"/>
        <v>Rapsodyn</v>
      </c>
      <c r="H117" s="235" t="s">
        <v>265</v>
      </c>
      <c r="I117" s="235">
        <v>1</v>
      </c>
      <c r="J117" s="235">
        <v>9146</v>
      </c>
      <c r="K117" s="235">
        <v>48</v>
      </c>
      <c r="L117" s="235">
        <f t="shared" ref="L117:L152" si="68">K117</f>
        <v>48</v>
      </c>
      <c r="M117" s="235">
        <v>3</v>
      </c>
      <c r="N117" s="235">
        <v>7</v>
      </c>
      <c r="O117" s="248">
        <v>42048</v>
      </c>
      <c r="P117">
        <v>5.55</v>
      </c>
      <c r="Q117" s="264">
        <v>42204</v>
      </c>
      <c r="R117"/>
      <c r="S117"/>
      <c r="T117"/>
      <c r="V117" s="219">
        <f t="shared" si="62"/>
        <v>16.393786325178731</v>
      </c>
      <c r="W117" s="219"/>
      <c r="X117">
        <v>15.55</v>
      </c>
      <c r="Y117"/>
      <c r="Z117"/>
      <c r="AA117"/>
      <c r="AB117" s="220">
        <f t="shared" si="63"/>
        <v>5.5065853186594858</v>
      </c>
      <c r="AC117" s="219"/>
      <c r="AD117" s="221">
        <f t="shared" si="64"/>
        <v>69977.83382775294</v>
      </c>
      <c r="AE117" s="219"/>
      <c r="AF117" s="220">
        <f t="shared" si="65"/>
        <v>32.959559732871632</v>
      </c>
      <c r="AG117" s="219"/>
      <c r="AH117" s="220">
        <f t="shared" si="66"/>
        <v>36.958465724233726</v>
      </c>
      <c r="AI117" s="219"/>
      <c r="AJ117">
        <v>4.71</v>
      </c>
      <c r="AK117" s="284" t="s">
        <v>8401</v>
      </c>
      <c r="AL117">
        <v>165</v>
      </c>
      <c r="AM117"/>
      <c r="AN117" s="241">
        <v>70</v>
      </c>
      <c r="AO117" s="242">
        <v>42074</v>
      </c>
      <c r="AP117" s="255">
        <v>104</v>
      </c>
      <c r="AQ117" s="242">
        <v>42108</v>
      </c>
      <c r="AR117" s="223">
        <v>131</v>
      </c>
      <c r="AS117" s="297">
        <f t="shared" si="67"/>
        <v>131</v>
      </c>
      <c r="AT117" s="290">
        <v>42135</v>
      </c>
      <c r="AU117" s="298"/>
      <c r="AV117"/>
      <c r="AW117"/>
      <c r="AX117"/>
      <c r="AY117"/>
      <c r="AZ117"/>
      <c r="BA117"/>
      <c r="BB117"/>
      <c r="BC117"/>
      <c r="BD117"/>
      <c r="BE117"/>
      <c r="BF117" s="277">
        <v>-4.4075450897216797</v>
      </c>
      <c r="BG117" s="283">
        <v>42230</v>
      </c>
      <c r="BH117"/>
      <c r="BI117"/>
      <c r="BJ117"/>
      <c r="BK117"/>
      <c r="BL117" s="277">
        <v>63.655467987060547</v>
      </c>
      <c r="BM117" s="283">
        <v>42230</v>
      </c>
      <c r="BN117"/>
      <c r="BO117"/>
      <c r="BP117" s="277">
        <v>3.8891520500183105</v>
      </c>
      <c r="BQ117" s="283">
        <v>42230</v>
      </c>
      <c r="BR117" s="277">
        <v>49.739093780517578</v>
      </c>
      <c r="BS117" s="283">
        <v>42230</v>
      </c>
      <c r="BT117" s="277">
        <v>16.707096099853516</v>
      </c>
      <c r="BU117" s="283">
        <v>42230</v>
      </c>
      <c r="BV117" s="277">
        <v>14.331270217895508</v>
      </c>
      <c r="BW117" s="283">
        <v>42230</v>
      </c>
      <c r="BX117" s="277">
        <v>5.2971267700195313</v>
      </c>
      <c r="BY117" s="283">
        <v>42230</v>
      </c>
      <c r="BZ117"/>
      <c r="CB117" s="266">
        <v>1.39</v>
      </c>
      <c r="CC117"/>
      <c r="CD117" s="277">
        <v>5.7692307692307656</v>
      </c>
      <c r="CE117" s="291" t="s">
        <v>8401</v>
      </c>
      <c r="CF117"/>
      <c r="CG117"/>
      <c r="CH117">
        <v>1</v>
      </c>
      <c r="CI117">
        <v>4</v>
      </c>
      <c r="CK117"/>
      <c r="CL117" s="223">
        <v>1</v>
      </c>
      <c r="CM117" s="259">
        <v>42161</v>
      </c>
      <c r="CN117" s="137" t="s">
        <v>8406</v>
      </c>
    </row>
    <row r="118" spans="1:92">
      <c r="A118" s="258">
        <v>195</v>
      </c>
      <c r="B118" s="235">
        <v>195</v>
      </c>
      <c r="C118" s="235" t="s">
        <v>7576</v>
      </c>
      <c r="D118" s="235"/>
      <c r="E118" s="235"/>
      <c r="F118" s="235"/>
      <c r="G118" s="235"/>
      <c r="H118" s="235" t="s">
        <v>265</v>
      </c>
      <c r="I118" s="235">
        <v>1</v>
      </c>
      <c r="K118" s="235">
        <v>49</v>
      </c>
      <c r="L118" s="235">
        <f t="shared" si="68"/>
        <v>49</v>
      </c>
      <c r="M118" s="235">
        <v>3</v>
      </c>
      <c r="O118" s="248">
        <v>42048</v>
      </c>
      <c r="P118"/>
      <c r="Q118" s="219"/>
      <c r="R118"/>
      <c r="S118"/>
      <c r="T118"/>
      <c r="V118" s="219"/>
      <c r="W118" s="219"/>
      <c r="X118">
        <v>15.55</v>
      </c>
      <c r="Y118"/>
      <c r="Z118"/>
      <c r="AA118"/>
      <c r="AB118" s="220"/>
      <c r="AC118" s="219"/>
      <c r="AD118" s="221"/>
      <c r="AE118" s="219"/>
      <c r="AF118" s="220"/>
      <c r="AG118" s="219"/>
      <c r="AH118" s="220"/>
      <c r="AI118" s="219"/>
      <c r="AJ118" s="286"/>
      <c r="AK118" s="284"/>
      <c r="AL118"/>
      <c r="AM118"/>
      <c r="AN118" s="241">
        <v>70</v>
      </c>
      <c r="AO118" s="242">
        <v>42074</v>
      </c>
      <c r="AP118" s="255">
        <v>104</v>
      </c>
      <c r="AQ118" s="242">
        <v>42108</v>
      </c>
      <c r="AR118"/>
      <c r="AS118" s="297"/>
      <c r="AT118" s="290"/>
      <c r="AU118" s="298"/>
      <c r="AV118"/>
      <c r="AW118"/>
      <c r="AX118"/>
      <c r="AY118"/>
      <c r="AZ118"/>
      <c r="BA118"/>
      <c r="BB118"/>
      <c r="BC118"/>
      <c r="BD118"/>
      <c r="BE118"/>
      <c r="BF118" s="277"/>
      <c r="BG118" s="235"/>
      <c r="BH118"/>
      <c r="BI118"/>
      <c r="BJ118"/>
      <c r="BK118"/>
      <c r="BL118" s="277"/>
      <c r="BM118" s="235"/>
      <c r="BN118"/>
      <c r="BO118"/>
      <c r="BP118" s="277"/>
      <c r="BQ118" s="235"/>
      <c r="BR118" s="277"/>
      <c r="BS118" s="235"/>
      <c r="BT118" s="277"/>
      <c r="BU118" s="235"/>
      <c r="BV118" s="277"/>
      <c r="BW118" s="235"/>
      <c r="BX118" s="277"/>
      <c r="BY118" s="235"/>
      <c r="BZ118"/>
      <c r="CB118" s="266"/>
      <c r="CC118"/>
      <c r="CD118" s="277"/>
      <c r="CE118" s="291"/>
      <c r="CF118"/>
      <c r="CG118"/>
      <c r="CH118"/>
      <c r="CI118"/>
      <c r="CK118"/>
      <c r="CL118" s="223">
        <v>1</v>
      </c>
      <c r="CM118" s="259">
        <v>42161</v>
      </c>
    </row>
    <row r="119" spans="1:92">
      <c r="A119" s="258">
        <v>196</v>
      </c>
      <c r="B119" s="235">
        <v>196</v>
      </c>
      <c r="C119" s="235" t="s">
        <v>7576</v>
      </c>
      <c r="D119" s="235"/>
      <c r="E119" s="235"/>
      <c r="F119" s="235"/>
      <c r="G119" s="235"/>
      <c r="H119" s="235" t="s">
        <v>265</v>
      </c>
      <c r="I119" s="235">
        <v>1</v>
      </c>
      <c r="K119" s="235">
        <v>50</v>
      </c>
      <c r="L119" s="235">
        <f t="shared" si="68"/>
        <v>50</v>
      </c>
      <c r="M119" s="235">
        <v>3</v>
      </c>
      <c r="O119" s="248">
        <v>42048</v>
      </c>
      <c r="P119"/>
      <c r="Q119" s="219"/>
      <c r="R119"/>
      <c r="S119"/>
      <c r="T119"/>
      <c r="V119" s="219"/>
      <c r="W119" s="219"/>
      <c r="X119">
        <v>15.55</v>
      </c>
      <c r="Y119"/>
      <c r="Z119"/>
      <c r="AA119"/>
      <c r="AB119" s="220"/>
      <c r="AC119" s="219"/>
      <c r="AD119" s="221"/>
      <c r="AE119" s="219"/>
      <c r="AF119" s="220"/>
      <c r="AG119" s="219"/>
      <c r="AH119" s="220"/>
      <c r="AI119" s="219"/>
      <c r="AJ119" s="286"/>
      <c r="AK119" s="284"/>
      <c r="AL119"/>
      <c r="AM119"/>
      <c r="AN119" s="241">
        <v>70</v>
      </c>
      <c r="AO119" s="242">
        <v>42074</v>
      </c>
      <c r="AP119" s="255">
        <v>104</v>
      </c>
      <c r="AQ119" s="242">
        <v>42108</v>
      </c>
      <c r="AR119"/>
      <c r="AS119" s="297"/>
      <c r="AT119" s="290"/>
      <c r="AU119" s="298"/>
      <c r="AV119"/>
      <c r="AW119"/>
      <c r="AX119"/>
      <c r="AY119"/>
      <c r="AZ119"/>
      <c r="BA119"/>
      <c r="BB119"/>
      <c r="BC119"/>
      <c r="BD119"/>
      <c r="BE119"/>
      <c r="BF119" s="277"/>
      <c r="BG119" s="235"/>
      <c r="BH119"/>
      <c r="BI119"/>
      <c r="BJ119"/>
      <c r="BK119"/>
      <c r="BL119" s="277"/>
      <c r="BM119" s="235"/>
      <c r="BN119"/>
      <c r="BO119"/>
      <c r="BP119" s="277"/>
      <c r="BQ119" s="235"/>
      <c r="BR119" s="277"/>
      <c r="BS119" s="235"/>
      <c r="BT119" s="277"/>
      <c r="BU119" s="235"/>
      <c r="BV119" s="277"/>
      <c r="BW119" s="235"/>
      <c r="BX119" s="277"/>
      <c r="BY119" s="235"/>
      <c r="BZ119"/>
      <c r="CB119" s="266"/>
      <c r="CC119"/>
      <c r="CD119" s="277"/>
      <c r="CE119" s="291"/>
      <c r="CF119"/>
      <c r="CG119"/>
      <c r="CH119"/>
      <c r="CI119"/>
      <c r="CK119"/>
      <c r="CL119" s="223">
        <v>2</v>
      </c>
      <c r="CM119" s="259">
        <v>42161</v>
      </c>
    </row>
    <row r="120" spans="1:92">
      <c r="A120" s="258">
        <v>197</v>
      </c>
      <c r="B120" s="235">
        <v>197</v>
      </c>
      <c r="C120" s="235" t="s">
        <v>7802</v>
      </c>
      <c r="D120" s="235" t="s">
        <v>7847</v>
      </c>
      <c r="E120" s="235" t="s">
        <v>7802</v>
      </c>
      <c r="F120" s="235" t="s">
        <v>8531</v>
      </c>
      <c r="G120" s="235" t="str">
        <f t="shared" ref="G120:G128" si="69">IF(MID(C120,1,3)="BGA","Complement","Rapsodyn")</f>
        <v>Rapsodyn</v>
      </c>
      <c r="H120" s="235" t="s">
        <v>265</v>
      </c>
      <c r="I120" s="235">
        <v>1</v>
      </c>
      <c r="J120" s="235">
        <v>9173</v>
      </c>
      <c r="K120" s="235">
        <v>51</v>
      </c>
      <c r="L120" s="235">
        <f t="shared" si="68"/>
        <v>51</v>
      </c>
      <c r="M120" s="235">
        <v>3</v>
      </c>
      <c r="N120" s="235">
        <v>7</v>
      </c>
      <c r="O120" s="248">
        <v>42048</v>
      </c>
      <c r="P120">
        <v>5.85</v>
      </c>
      <c r="Q120" s="264">
        <v>42204</v>
      </c>
      <c r="R120"/>
      <c r="S120"/>
      <c r="T120"/>
      <c r="V120" s="219">
        <f t="shared" ref="V120:V128" si="70">+BR120*AF120/100</f>
        <v>18.469531826742969</v>
      </c>
      <c r="W120" s="219"/>
      <c r="X120">
        <v>15.55</v>
      </c>
      <c r="Y120"/>
      <c r="Z120"/>
      <c r="AA120"/>
      <c r="AB120" s="220">
        <f t="shared" ref="AB120:AB128" si="71">+AF120*BT120/100</f>
        <v>5.7589146009978744</v>
      </c>
      <c r="AC120" s="219"/>
      <c r="AD120" s="221">
        <f t="shared" ref="AD120:AD128" si="72">+(AF120/AJ120)*10000</f>
        <v>70126.789467999348</v>
      </c>
      <c r="AE120" s="219"/>
      <c r="AF120" s="220">
        <f t="shared" ref="AF120:AF128" si="73">($P120/$X120)*(((100-$CD120)/100*(100-2)/100))*100</f>
        <v>36.185423365487665</v>
      </c>
      <c r="AG120" s="219"/>
      <c r="AH120" s="220">
        <f t="shared" ref="AH120:AH128" si="74">($P120/$X120)*(((100-$CD120)/(100-9)*(100-2)/(100-2))*100)</f>
        <v>40.575715816873362</v>
      </c>
      <c r="AI120" s="219"/>
      <c r="AJ120">
        <v>5.16</v>
      </c>
      <c r="AK120" s="284" t="s">
        <v>8401</v>
      </c>
      <c r="AL120">
        <v>170</v>
      </c>
      <c r="AM120"/>
      <c r="AN120" s="241">
        <v>65</v>
      </c>
      <c r="AO120" s="242">
        <v>42069</v>
      </c>
      <c r="AP120" s="255">
        <v>106</v>
      </c>
      <c r="AQ120" s="242">
        <v>42110</v>
      </c>
      <c r="AR120" s="223">
        <v>127</v>
      </c>
      <c r="AS120" s="297">
        <f t="shared" ref="AS120:AS128" si="75">IF(AR120=0,,AR120)</f>
        <v>127</v>
      </c>
      <c r="AT120" s="290">
        <v>42131</v>
      </c>
      <c r="AU120" s="298"/>
      <c r="AV120"/>
      <c r="AW120"/>
      <c r="AX120"/>
      <c r="AY120"/>
      <c r="AZ120"/>
      <c r="BA120"/>
      <c r="BB120"/>
      <c r="BC120"/>
      <c r="BD120"/>
      <c r="BE120"/>
      <c r="BF120" s="277">
        <v>-5.9664340019226074</v>
      </c>
      <c r="BG120" s="283">
        <v>42233</v>
      </c>
      <c r="BH120"/>
      <c r="BI120"/>
      <c r="BJ120"/>
      <c r="BK120"/>
      <c r="BL120" s="277">
        <v>65.297149658203125</v>
      </c>
      <c r="BM120" s="283">
        <v>42233</v>
      </c>
      <c r="BN120"/>
      <c r="BO120"/>
      <c r="BP120" s="277">
        <v>3.837960958480835</v>
      </c>
      <c r="BQ120" s="283">
        <v>42233</v>
      </c>
      <c r="BR120" s="277">
        <v>51.041358947753906</v>
      </c>
      <c r="BS120" s="283">
        <v>42233</v>
      </c>
      <c r="BT120" s="277">
        <v>15.915012359619141</v>
      </c>
      <c r="BU120" s="283">
        <v>42233</v>
      </c>
      <c r="BV120" s="277">
        <v>16.501312255859375</v>
      </c>
      <c r="BW120" s="283">
        <v>42233</v>
      </c>
      <c r="BX120" s="277">
        <v>5.4961471557617188</v>
      </c>
      <c r="BY120" s="283">
        <v>42233</v>
      </c>
      <c r="BZ120"/>
      <c r="CB120" s="266">
        <v>2.2000000000000002</v>
      </c>
      <c r="CC120"/>
      <c r="CD120" s="277">
        <v>1.8518518518518614</v>
      </c>
      <c r="CE120" s="291" t="s">
        <v>8401</v>
      </c>
      <c r="CF120"/>
      <c r="CG120"/>
      <c r="CH120">
        <v>2</v>
      </c>
      <c r="CI120">
        <v>3</v>
      </c>
      <c r="CK120"/>
      <c r="CL120" s="223">
        <v>1</v>
      </c>
      <c r="CM120" s="259">
        <v>42161</v>
      </c>
      <c r="CN120" s="137" t="s">
        <v>8406</v>
      </c>
    </row>
    <row r="121" spans="1:92">
      <c r="A121" s="258">
        <v>198</v>
      </c>
      <c r="B121" s="235">
        <v>198</v>
      </c>
      <c r="C121" s="235" t="s">
        <v>7716</v>
      </c>
      <c r="D121" s="235" t="s">
        <v>7540</v>
      </c>
      <c r="E121" s="235" t="s">
        <v>7716</v>
      </c>
      <c r="F121" s="235" t="s">
        <v>8502</v>
      </c>
      <c r="G121" s="235" t="str">
        <f t="shared" si="69"/>
        <v>Rapsodyn</v>
      </c>
      <c r="H121" s="235" t="s">
        <v>265</v>
      </c>
      <c r="I121" s="235">
        <v>1</v>
      </c>
      <c r="J121" s="235">
        <v>9098</v>
      </c>
      <c r="K121" s="235">
        <v>52</v>
      </c>
      <c r="L121" s="235">
        <f t="shared" si="68"/>
        <v>52</v>
      </c>
      <c r="M121" s="235">
        <v>3</v>
      </c>
      <c r="N121" s="235">
        <v>5</v>
      </c>
      <c r="O121" s="248">
        <v>42048</v>
      </c>
      <c r="P121" s="223">
        <v>4.55</v>
      </c>
      <c r="Q121" s="264">
        <v>42204</v>
      </c>
      <c r="R121" s="223"/>
      <c r="S121" s="223"/>
      <c r="T121" s="223"/>
      <c r="U121" s="225"/>
      <c r="V121" s="219">
        <f t="shared" si="70"/>
        <v>14.318390361208483</v>
      </c>
      <c r="W121" s="224"/>
      <c r="X121">
        <v>15.55</v>
      </c>
      <c r="Y121" s="223"/>
      <c r="Z121" s="223"/>
      <c r="AA121" s="223"/>
      <c r="AB121" s="220">
        <f t="shared" si="71"/>
        <v>4.3492673203137935</v>
      </c>
      <c r="AC121" s="224"/>
      <c r="AD121" s="221">
        <f t="shared" si="72"/>
        <v>65434.111821701161</v>
      </c>
      <c r="AE121" s="224"/>
      <c r="AF121" s="220">
        <f t="shared" si="73"/>
        <v>27.613195188757889</v>
      </c>
      <c r="AG121" s="224"/>
      <c r="AH121" s="220">
        <f t="shared" si="74"/>
        <v>30.963439323567933</v>
      </c>
      <c r="AI121" s="224"/>
      <c r="AJ121">
        <v>4.22</v>
      </c>
      <c r="AK121" s="290" t="s">
        <v>8401</v>
      </c>
      <c r="AL121" s="223">
        <v>145</v>
      </c>
      <c r="AM121" s="223"/>
      <c r="AN121" s="241">
        <v>70</v>
      </c>
      <c r="AO121" s="242">
        <v>42074</v>
      </c>
      <c r="AP121" s="255">
        <v>97</v>
      </c>
      <c r="AQ121" s="242">
        <v>42101</v>
      </c>
      <c r="AR121" s="223">
        <v>127</v>
      </c>
      <c r="AS121" s="297">
        <f t="shared" si="75"/>
        <v>127</v>
      </c>
      <c r="AT121" s="290">
        <v>42131</v>
      </c>
      <c r="AU121" s="298"/>
      <c r="AV121" s="223"/>
      <c r="AW121" s="223"/>
      <c r="AX121" s="223"/>
      <c r="AY121" s="223"/>
      <c r="AZ121" s="223"/>
      <c r="BA121" s="223"/>
      <c r="BB121" s="223"/>
      <c r="BC121" s="223"/>
      <c r="BD121" s="223"/>
      <c r="BE121" s="223"/>
      <c r="BF121" s="281">
        <v>-3.3662450313568115</v>
      </c>
      <c r="BG121" s="283">
        <v>42233</v>
      </c>
      <c r="BH121" s="223"/>
      <c r="BI121" s="223"/>
      <c r="BJ121" s="223"/>
      <c r="BK121" s="223"/>
      <c r="BL121" s="281">
        <v>64.972862243652344</v>
      </c>
      <c r="BM121" s="283">
        <v>42233</v>
      </c>
      <c r="BN121" s="223"/>
      <c r="BO121" s="223"/>
      <c r="BP121" s="281">
        <v>4.132965087890625</v>
      </c>
      <c r="BQ121" s="283">
        <v>42233</v>
      </c>
      <c r="BR121" s="281">
        <v>51.853435516357422</v>
      </c>
      <c r="BS121" s="283">
        <v>42233</v>
      </c>
      <c r="BT121" s="281">
        <v>15.75068473815918</v>
      </c>
      <c r="BU121" s="283">
        <v>42233</v>
      </c>
      <c r="BV121" s="281">
        <v>15.294095993041992</v>
      </c>
      <c r="BW121" s="283">
        <v>42233</v>
      </c>
      <c r="BX121" s="281">
        <v>5.314910888671875</v>
      </c>
      <c r="BY121" s="283">
        <v>42233</v>
      </c>
      <c r="BZ121" s="223"/>
      <c r="CA121" s="226"/>
      <c r="CB121" s="266">
        <v>1.88</v>
      </c>
      <c r="CC121" s="223"/>
      <c r="CD121" s="281">
        <v>3.7037037037037068</v>
      </c>
      <c r="CE121" s="291" t="s">
        <v>8401</v>
      </c>
      <c r="CF121" s="223"/>
      <c r="CG121" s="223"/>
      <c r="CH121" s="223">
        <v>1</v>
      </c>
      <c r="CI121" s="223">
        <v>4</v>
      </c>
      <c r="CK121" s="223"/>
      <c r="CL121" s="223">
        <v>1</v>
      </c>
      <c r="CM121" s="259">
        <v>42161</v>
      </c>
      <c r="CN121" s="137" t="s">
        <v>8406</v>
      </c>
    </row>
    <row r="122" spans="1:92">
      <c r="A122" s="258">
        <v>199</v>
      </c>
      <c r="B122" s="235">
        <v>199</v>
      </c>
      <c r="C122" s="235" t="s">
        <v>7693</v>
      </c>
      <c r="D122" s="235" t="s">
        <v>7519</v>
      </c>
      <c r="E122" s="235" t="s">
        <v>7693</v>
      </c>
      <c r="F122" s="235" t="s">
        <v>8526</v>
      </c>
      <c r="G122" s="235" t="str">
        <f t="shared" si="69"/>
        <v>Rapsodyn</v>
      </c>
      <c r="H122" s="235" t="s">
        <v>265</v>
      </c>
      <c r="I122" s="235">
        <v>1</v>
      </c>
      <c r="J122" s="235">
        <v>9075</v>
      </c>
      <c r="K122" s="235">
        <v>53</v>
      </c>
      <c r="L122" s="235">
        <f t="shared" si="68"/>
        <v>53</v>
      </c>
      <c r="M122" s="235">
        <v>3</v>
      </c>
      <c r="N122" s="236">
        <v>5</v>
      </c>
      <c r="O122" s="248">
        <v>42048</v>
      </c>
      <c r="P122">
        <v>4.25</v>
      </c>
      <c r="Q122" s="264">
        <v>42204</v>
      </c>
      <c r="R122"/>
      <c r="S122"/>
      <c r="T122"/>
      <c r="V122" s="219">
        <f t="shared" si="70"/>
        <v>12.714593491943146</v>
      </c>
      <c r="W122" s="219"/>
      <c r="X122">
        <v>15.55</v>
      </c>
      <c r="Y122"/>
      <c r="Z122"/>
      <c r="AA122"/>
      <c r="AB122" s="220">
        <f t="shared" si="71"/>
        <v>4.4514474929323402</v>
      </c>
      <c r="AC122" s="219"/>
      <c r="AD122" s="221">
        <f t="shared" si="72"/>
        <v>53312.820197233807</v>
      </c>
      <c r="AE122" s="219"/>
      <c r="AF122" s="220">
        <f t="shared" si="73"/>
        <v>25.323589593686059</v>
      </c>
      <c r="AG122" s="219"/>
      <c r="AH122" s="220">
        <f t="shared" si="74"/>
        <v>28.396041257777593</v>
      </c>
      <c r="AI122" s="219"/>
      <c r="AJ122">
        <v>4.75</v>
      </c>
      <c r="AK122" s="284" t="s">
        <v>8399</v>
      </c>
      <c r="AL122">
        <v>140</v>
      </c>
      <c r="AM122"/>
      <c r="AN122" s="241">
        <v>72</v>
      </c>
      <c r="AO122" s="242">
        <v>42076</v>
      </c>
      <c r="AP122" s="255">
        <v>104</v>
      </c>
      <c r="AQ122" s="242">
        <v>42108</v>
      </c>
      <c r="AR122" s="223">
        <v>131</v>
      </c>
      <c r="AS122" s="297">
        <f t="shared" si="75"/>
        <v>131</v>
      </c>
      <c r="AT122" s="290">
        <v>42135</v>
      </c>
      <c r="AU122" s="298"/>
      <c r="AV122"/>
      <c r="AW122"/>
      <c r="AX122"/>
      <c r="AY122"/>
      <c r="AZ122"/>
      <c r="BA122"/>
      <c r="BB122"/>
      <c r="BC122"/>
      <c r="BD122"/>
      <c r="BE122"/>
      <c r="BF122" s="277">
        <v>-3.2875399589538574</v>
      </c>
      <c r="BG122" s="283">
        <v>42233</v>
      </c>
      <c r="BH122"/>
      <c r="BI122"/>
      <c r="BJ122"/>
      <c r="BK122"/>
      <c r="BL122" s="277">
        <v>63.015060424804688</v>
      </c>
      <c r="BM122" s="283">
        <v>42233</v>
      </c>
      <c r="BN122"/>
      <c r="BO122"/>
      <c r="BP122" s="277">
        <v>3.3093130588531494</v>
      </c>
      <c r="BQ122" s="283">
        <v>42233</v>
      </c>
      <c r="BR122" s="277">
        <v>50.20849609375</v>
      </c>
      <c r="BS122" s="283">
        <v>42233</v>
      </c>
      <c r="BT122" s="277">
        <v>17.578264236450195</v>
      </c>
      <c r="BU122" s="283">
        <v>42233</v>
      </c>
      <c r="BV122" s="277">
        <v>14.727809906005859</v>
      </c>
      <c r="BW122" s="283">
        <v>42233</v>
      </c>
      <c r="BX122" s="277">
        <v>5.4210891723632812</v>
      </c>
      <c r="BY122" s="283">
        <v>42233</v>
      </c>
      <c r="BZ122"/>
      <c r="CB122" s="266">
        <v>1.89</v>
      </c>
      <c r="CC122"/>
      <c r="CD122" s="277">
        <v>5.4545454545454515</v>
      </c>
      <c r="CE122" s="291" t="s">
        <v>8399</v>
      </c>
      <c r="CF122"/>
      <c r="CG122"/>
      <c r="CH122">
        <v>1</v>
      </c>
      <c r="CI122">
        <v>2</v>
      </c>
      <c r="CK122"/>
      <c r="CL122" s="223">
        <v>1</v>
      </c>
      <c r="CM122" s="259">
        <v>42161</v>
      </c>
      <c r="CN122" s="137" t="s">
        <v>8406</v>
      </c>
    </row>
    <row r="123" spans="1:92">
      <c r="A123" s="258">
        <v>201</v>
      </c>
      <c r="B123" s="235">
        <v>201</v>
      </c>
      <c r="C123" s="235" t="s">
        <v>7622</v>
      </c>
      <c r="D123" s="235" t="s">
        <v>7457</v>
      </c>
      <c r="E123" s="235" t="s">
        <v>7622</v>
      </c>
      <c r="F123" s="235" t="s">
        <v>8586</v>
      </c>
      <c r="G123" s="235" t="str">
        <f t="shared" si="69"/>
        <v>Rapsodyn</v>
      </c>
      <c r="H123" s="235" t="s">
        <v>265</v>
      </c>
      <c r="I123" s="235">
        <v>1</v>
      </c>
      <c r="J123" s="235">
        <v>9015</v>
      </c>
      <c r="K123" s="235">
        <v>55</v>
      </c>
      <c r="L123" s="235">
        <f t="shared" si="68"/>
        <v>55</v>
      </c>
      <c r="M123" s="235">
        <v>3</v>
      </c>
      <c r="N123" s="235">
        <v>7</v>
      </c>
      <c r="O123" s="248">
        <v>42048</v>
      </c>
      <c r="P123" s="223">
        <v>3.25</v>
      </c>
      <c r="Q123" s="264">
        <v>42204</v>
      </c>
      <c r="R123" s="223"/>
      <c r="S123" s="223"/>
      <c r="T123" s="223"/>
      <c r="U123" s="225"/>
      <c r="V123" s="219">
        <f t="shared" si="70"/>
        <v>9.1912211738087599</v>
      </c>
      <c r="W123" s="224"/>
      <c r="X123">
        <v>15.55</v>
      </c>
      <c r="Y123" s="223"/>
      <c r="Z123" s="223"/>
      <c r="AA123" s="223"/>
      <c r="AB123" s="220">
        <f t="shared" si="71"/>
        <v>3.9965703080406612</v>
      </c>
      <c r="AC123" s="224"/>
      <c r="AD123" s="221">
        <f t="shared" si="72"/>
        <v>36498.884372451073</v>
      </c>
      <c r="AE123" s="224"/>
      <c r="AF123" s="220">
        <f t="shared" si="73"/>
        <v>19.34440871739907</v>
      </c>
      <c r="AG123" s="224"/>
      <c r="AH123" s="220">
        <f t="shared" si="74"/>
        <v>21.691420405246767</v>
      </c>
      <c r="AI123" s="224"/>
      <c r="AJ123">
        <v>5.3</v>
      </c>
      <c r="AK123" s="290" t="s">
        <v>8399</v>
      </c>
      <c r="AL123" s="223">
        <v>185</v>
      </c>
      <c r="AM123" s="223"/>
      <c r="AN123" s="241">
        <v>70</v>
      </c>
      <c r="AO123" s="242">
        <v>42074</v>
      </c>
      <c r="AP123" s="255">
        <v>110</v>
      </c>
      <c r="AQ123" s="242">
        <v>42114</v>
      </c>
      <c r="AR123" s="223">
        <v>138</v>
      </c>
      <c r="AS123" s="297">
        <f t="shared" si="75"/>
        <v>138</v>
      </c>
      <c r="AT123" s="290">
        <v>42142</v>
      </c>
      <c r="AU123" s="298"/>
      <c r="AV123" s="223"/>
      <c r="AW123" s="223"/>
      <c r="AX123" s="223"/>
      <c r="AY123" s="223"/>
      <c r="AZ123" s="223"/>
      <c r="BA123" s="223"/>
      <c r="BB123" s="223"/>
      <c r="BC123" s="223"/>
      <c r="BD123" s="223"/>
      <c r="BE123" s="223"/>
      <c r="BF123" s="281">
        <v>19.546016693115234</v>
      </c>
      <c r="BG123" s="283">
        <v>42234</v>
      </c>
      <c r="BH123" s="223"/>
      <c r="BI123" s="223"/>
      <c r="BJ123" s="223"/>
      <c r="BK123" s="223"/>
      <c r="BL123" s="281">
        <v>63.361858367919922</v>
      </c>
      <c r="BM123" s="283">
        <v>42234</v>
      </c>
      <c r="BN123" s="223"/>
      <c r="BO123" s="223"/>
      <c r="BP123" s="281">
        <v>3.8325181007385254</v>
      </c>
      <c r="BQ123" s="283">
        <v>42234</v>
      </c>
      <c r="BR123" s="281">
        <v>47.513580322265625</v>
      </c>
      <c r="BS123" s="283">
        <v>42234</v>
      </c>
      <c r="BT123" s="281">
        <v>20.660079956054688</v>
      </c>
      <c r="BU123" s="283">
        <v>42234</v>
      </c>
      <c r="BV123" s="281">
        <v>65.0435791015625</v>
      </c>
      <c r="BW123" s="283">
        <v>42234</v>
      </c>
      <c r="BX123" s="281">
        <v>5.5587158203125</v>
      </c>
      <c r="BY123" s="283">
        <v>42234</v>
      </c>
      <c r="BZ123" s="223"/>
      <c r="CA123" s="226"/>
      <c r="CB123" s="266">
        <v>1.8</v>
      </c>
      <c r="CC123" s="223"/>
      <c r="CD123" s="281">
        <v>5.5555555555555687</v>
      </c>
      <c r="CE123" s="291" t="s">
        <v>8399</v>
      </c>
      <c r="CF123" s="223"/>
      <c r="CG123" s="223"/>
      <c r="CH123" s="223">
        <v>5</v>
      </c>
      <c r="CI123" s="223">
        <v>2</v>
      </c>
      <c r="CK123" s="223"/>
      <c r="CL123" s="223">
        <v>3</v>
      </c>
      <c r="CM123" s="259">
        <v>42161</v>
      </c>
      <c r="CN123" s="137" t="s">
        <v>8406</v>
      </c>
    </row>
    <row r="124" spans="1:92">
      <c r="A124" s="258">
        <v>204</v>
      </c>
      <c r="B124" s="235">
        <v>204</v>
      </c>
      <c r="C124" s="235" t="s">
        <v>7733</v>
      </c>
      <c r="D124" s="235" t="s">
        <v>7556</v>
      </c>
      <c r="E124" s="235" t="s">
        <v>7733</v>
      </c>
      <c r="F124" s="235" t="s">
        <v>8598</v>
      </c>
      <c r="G124" s="235" t="str">
        <f t="shared" si="69"/>
        <v>Rapsodyn</v>
      </c>
      <c r="H124" s="235" t="s">
        <v>265</v>
      </c>
      <c r="I124" s="235">
        <v>1</v>
      </c>
      <c r="J124" s="235">
        <v>9114</v>
      </c>
      <c r="K124" s="235">
        <v>58</v>
      </c>
      <c r="L124" s="235">
        <f t="shared" si="68"/>
        <v>58</v>
      </c>
      <c r="M124" s="235">
        <v>3</v>
      </c>
      <c r="N124" s="235">
        <v>7</v>
      </c>
      <c r="O124" s="248">
        <v>42048</v>
      </c>
      <c r="P124" s="223">
        <v>4.55</v>
      </c>
      <c r="Q124" s="264">
        <v>42204</v>
      </c>
      <c r="R124" s="223"/>
      <c r="S124" s="223"/>
      <c r="T124" s="223"/>
      <c r="U124" s="225"/>
      <c r="V124" s="219">
        <f t="shared" si="70"/>
        <v>13.629211497988099</v>
      </c>
      <c r="W124" s="224"/>
      <c r="X124">
        <v>15.55</v>
      </c>
      <c r="Y124" s="223"/>
      <c r="Z124" s="223"/>
      <c r="AA124" s="223"/>
      <c r="AB124" s="220">
        <f t="shared" si="71"/>
        <v>4.1910050322779062</v>
      </c>
      <c r="AC124" s="224"/>
      <c r="AD124" s="221">
        <f t="shared" si="72"/>
        <v>65501.487408187364</v>
      </c>
      <c r="AE124" s="224"/>
      <c r="AF124" s="220">
        <f t="shared" si="73"/>
        <v>27.05211429958138</v>
      </c>
      <c r="AG124" s="224"/>
      <c r="AH124" s="220">
        <f t="shared" si="74"/>
        <v>30.334283807559299</v>
      </c>
      <c r="AI124" s="224"/>
      <c r="AJ124">
        <v>4.13</v>
      </c>
      <c r="AK124" s="290" t="s">
        <v>8401</v>
      </c>
      <c r="AL124" s="223">
        <v>170</v>
      </c>
      <c r="AM124" s="223"/>
      <c r="AN124" s="241">
        <v>70</v>
      </c>
      <c r="AO124" s="242">
        <v>42074</v>
      </c>
      <c r="AP124" s="255">
        <v>106</v>
      </c>
      <c r="AQ124" s="242">
        <v>42110</v>
      </c>
      <c r="AR124" s="223">
        <v>133</v>
      </c>
      <c r="AS124" s="297">
        <f t="shared" si="75"/>
        <v>133</v>
      </c>
      <c r="AT124" s="290">
        <v>42137</v>
      </c>
      <c r="AU124" s="298"/>
      <c r="AV124" s="223"/>
      <c r="AW124" s="223"/>
      <c r="AX124" s="223"/>
      <c r="AY124" s="223"/>
      <c r="AZ124" s="223"/>
      <c r="BA124" s="223"/>
      <c r="BB124" s="223"/>
      <c r="BC124" s="223"/>
      <c r="BD124" s="223"/>
      <c r="BE124" s="223"/>
      <c r="BF124" s="281">
        <v>-1.9080300331115723</v>
      </c>
      <c r="BG124" s="283">
        <v>42233</v>
      </c>
      <c r="BH124" s="223"/>
      <c r="BI124" s="223"/>
      <c r="BJ124" s="223"/>
      <c r="BK124" s="223"/>
      <c r="BL124" s="281">
        <v>59.430107116699219</v>
      </c>
      <c r="BM124" s="283">
        <v>42233</v>
      </c>
      <c r="BN124" s="223"/>
      <c r="BO124" s="223"/>
      <c r="BP124" s="281">
        <v>3.6795659065246582</v>
      </c>
      <c r="BQ124" s="283">
        <v>42233</v>
      </c>
      <c r="BR124" s="281">
        <v>50.381317138671875</v>
      </c>
      <c r="BS124" s="283">
        <v>42233</v>
      </c>
      <c r="BT124" s="281">
        <v>15.492338180541992</v>
      </c>
      <c r="BU124" s="283">
        <v>42233</v>
      </c>
      <c r="BV124" s="281">
        <v>15.721548080444336</v>
      </c>
      <c r="BW124" s="283">
        <v>42233</v>
      </c>
      <c r="BX124" s="281">
        <v>5.2515182495117187</v>
      </c>
      <c r="BY124" s="283">
        <v>42233</v>
      </c>
      <c r="BZ124" s="223"/>
      <c r="CA124" s="226"/>
      <c r="CB124" s="266">
        <v>2.0299999999999998</v>
      </c>
      <c r="CC124" s="223"/>
      <c r="CD124" s="281">
        <v>5.660377358490563</v>
      </c>
      <c r="CE124" s="291" t="s">
        <v>8401</v>
      </c>
      <c r="CF124" s="223"/>
      <c r="CG124" s="223"/>
      <c r="CH124" s="223">
        <v>2</v>
      </c>
      <c r="CI124" s="223">
        <v>6</v>
      </c>
      <c r="CK124" s="223"/>
      <c r="CL124" s="223">
        <v>2</v>
      </c>
      <c r="CM124" s="259">
        <v>42161</v>
      </c>
      <c r="CN124" s="137" t="s">
        <v>8406</v>
      </c>
    </row>
    <row r="125" spans="1:92">
      <c r="A125" s="258">
        <v>208</v>
      </c>
      <c r="B125" s="235">
        <v>208</v>
      </c>
      <c r="C125" s="235" t="s">
        <v>7722</v>
      </c>
      <c r="D125" s="235" t="s">
        <v>7546</v>
      </c>
      <c r="E125" s="235" t="s">
        <v>7722</v>
      </c>
      <c r="F125" s="235" t="s">
        <v>8584</v>
      </c>
      <c r="G125" s="235" t="str">
        <f t="shared" si="69"/>
        <v>Rapsodyn</v>
      </c>
      <c r="H125" s="235" t="s">
        <v>265</v>
      </c>
      <c r="I125" s="235">
        <v>1</v>
      </c>
      <c r="J125" s="235">
        <v>9104</v>
      </c>
      <c r="K125" s="235">
        <v>62</v>
      </c>
      <c r="L125" s="235">
        <f t="shared" si="68"/>
        <v>62</v>
      </c>
      <c r="M125" s="235">
        <v>3</v>
      </c>
      <c r="N125" s="235">
        <v>7</v>
      </c>
      <c r="O125" s="248">
        <v>42048</v>
      </c>
      <c r="P125">
        <v>5.6</v>
      </c>
      <c r="Q125" s="264">
        <v>42204</v>
      </c>
      <c r="R125"/>
      <c r="S125"/>
      <c r="T125"/>
      <c r="V125" s="219">
        <f t="shared" si="70"/>
        <v>17.494243252412719</v>
      </c>
      <c r="W125" s="219"/>
      <c r="X125">
        <v>15.55</v>
      </c>
      <c r="Y125"/>
      <c r="Z125"/>
      <c r="AA125"/>
      <c r="AB125" s="220">
        <f t="shared" si="71"/>
        <v>5.564617810447535</v>
      </c>
      <c r="AC125" s="219"/>
      <c r="AD125" s="221">
        <f t="shared" si="72"/>
        <v>83697.876288397762</v>
      </c>
      <c r="AE125" s="219"/>
      <c r="AF125" s="220">
        <f t="shared" si="73"/>
        <v>34.650920783396671</v>
      </c>
      <c r="AG125" s="219"/>
      <c r="AH125" s="220">
        <f t="shared" si="74"/>
        <v>38.855035639601553</v>
      </c>
      <c r="AI125" s="219"/>
      <c r="AJ125">
        <v>4.1399999999999997</v>
      </c>
      <c r="AK125" s="284" t="s">
        <v>8398</v>
      </c>
      <c r="AL125">
        <v>170</v>
      </c>
      <c r="AM125"/>
      <c r="AN125" s="241">
        <v>70</v>
      </c>
      <c r="AO125" s="242">
        <v>42074</v>
      </c>
      <c r="AP125" s="255">
        <v>106</v>
      </c>
      <c r="AQ125" s="242">
        <v>42110</v>
      </c>
      <c r="AR125" s="223">
        <v>127</v>
      </c>
      <c r="AS125" s="297">
        <f t="shared" si="75"/>
        <v>127</v>
      </c>
      <c r="AT125" s="290">
        <v>42131</v>
      </c>
      <c r="AU125" s="298"/>
      <c r="AV125"/>
      <c r="AW125"/>
      <c r="AX125"/>
      <c r="AY125"/>
      <c r="AZ125"/>
      <c r="BA125"/>
      <c r="BB125"/>
      <c r="BC125"/>
      <c r="BD125"/>
      <c r="BE125"/>
      <c r="BF125" s="277">
        <v>-0.18025800585746765</v>
      </c>
      <c r="BG125" s="283">
        <v>42230</v>
      </c>
      <c r="BH125"/>
      <c r="BI125"/>
      <c r="BJ125"/>
      <c r="BK125"/>
      <c r="BL125" s="277">
        <v>62.208099365234375</v>
      </c>
      <c r="BM125" s="283">
        <v>42230</v>
      </c>
      <c r="BN125"/>
      <c r="BO125"/>
      <c r="BP125" s="277">
        <v>3.2239210605621338</v>
      </c>
      <c r="BQ125" s="283">
        <v>42230</v>
      </c>
      <c r="BR125" s="277">
        <v>50.487094879150391</v>
      </c>
      <c r="BS125" s="283">
        <v>42230</v>
      </c>
      <c r="BT125" s="277">
        <v>16.059076309204102</v>
      </c>
      <c r="BU125" s="283">
        <v>42230</v>
      </c>
      <c r="BV125" s="277">
        <v>18.225215911865234</v>
      </c>
      <c r="BW125" s="283">
        <v>42230</v>
      </c>
      <c r="BX125" s="277">
        <v>5.2687530517578125</v>
      </c>
      <c r="BY125" s="283">
        <v>42230</v>
      </c>
      <c r="BZ125"/>
      <c r="CB125" s="266">
        <v>2.58</v>
      </c>
      <c r="CC125"/>
      <c r="CD125" s="277">
        <v>1.8181818181818119</v>
      </c>
      <c r="CE125" s="291" t="s">
        <v>8398</v>
      </c>
      <c r="CF125"/>
      <c r="CG125"/>
      <c r="CH125">
        <v>2</v>
      </c>
      <c r="CI125">
        <v>3</v>
      </c>
      <c r="CK125"/>
      <c r="CL125" s="223">
        <v>1</v>
      </c>
      <c r="CM125" s="259">
        <v>42161</v>
      </c>
      <c r="CN125" s="137" t="s">
        <v>8406</v>
      </c>
    </row>
    <row r="126" spans="1:92">
      <c r="A126" s="258">
        <v>209</v>
      </c>
      <c r="B126" s="235">
        <v>209</v>
      </c>
      <c r="C126" s="235" t="s">
        <v>7662</v>
      </c>
      <c r="D126" s="235" t="s">
        <v>7492</v>
      </c>
      <c r="E126" s="235" t="s">
        <v>7662</v>
      </c>
      <c r="F126" s="235" t="s">
        <v>8539</v>
      </c>
      <c r="G126" s="235" t="str">
        <f t="shared" si="69"/>
        <v>Rapsodyn</v>
      </c>
      <c r="H126" s="235" t="s">
        <v>265</v>
      </c>
      <c r="I126" s="235">
        <v>1</v>
      </c>
      <c r="J126" s="235">
        <v>9045</v>
      </c>
      <c r="K126" s="235">
        <v>63</v>
      </c>
      <c r="L126" s="235">
        <f t="shared" si="68"/>
        <v>63</v>
      </c>
      <c r="M126" s="235">
        <v>3</v>
      </c>
      <c r="N126" s="235">
        <v>7</v>
      </c>
      <c r="O126" s="248">
        <v>42048</v>
      </c>
      <c r="P126">
        <v>4.8499999999999996</v>
      </c>
      <c r="Q126" s="264">
        <v>42204</v>
      </c>
      <c r="R126"/>
      <c r="S126"/>
      <c r="T126"/>
      <c r="V126" s="219">
        <f t="shared" si="70"/>
        <v>15.361179702979575</v>
      </c>
      <c r="W126" s="219"/>
      <c r="X126">
        <v>15.55</v>
      </c>
      <c r="Y126"/>
      <c r="Z126"/>
      <c r="AA126"/>
      <c r="AB126" s="220">
        <f t="shared" si="71"/>
        <v>4.6243676973845798</v>
      </c>
      <c r="AC126" s="219"/>
      <c r="AD126" s="221">
        <f t="shared" si="72"/>
        <v>68069.922695914982</v>
      </c>
      <c r="AE126" s="219"/>
      <c r="AF126" s="220">
        <f t="shared" si="73"/>
        <v>29.474276527331188</v>
      </c>
      <c r="AG126" s="219"/>
      <c r="AH126" s="220">
        <f t="shared" si="74"/>
        <v>33.0503212910195</v>
      </c>
      <c r="AI126" s="219"/>
      <c r="AJ126">
        <v>4.33</v>
      </c>
      <c r="AK126" s="284" t="s">
        <v>8401</v>
      </c>
      <c r="AL126">
        <v>175</v>
      </c>
      <c r="AM126"/>
      <c r="AN126" s="241">
        <v>65</v>
      </c>
      <c r="AO126" s="242">
        <v>42069</v>
      </c>
      <c r="AP126" s="255">
        <v>104</v>
      </c>
      <c r="AQ126" s="242">
        <v>42108</v>
      </c>
      <c r="AR126" s="223">
        <v>127</v>
      </c>
      <c r="AS126" s="297">
        <f t="shared" si="75"/>
        <v>127</v>
      </c>
      <c r="AT126" s="290">
        <v>42131</v>
      </c>
      <c r="AU126" s="298"/>
      <c r="AV126"/>
      <c r="AW126"/>
      <c r="AX126"/>
      <c r="AY126"/>
      <c r="AZ126"/>
      <c r="BA126"/>
      <c r="BB126"/>
      <c r="BC126"/>
      <c r="BD126"/>
      <c r="BE126"/>
      <c r="BF126" s="277">
        <v>-2.3774340152740479</v>
      </c>
      <c r="BG126" s="283">
        <v>42233</v>
      </c>
      <c r="BH126"/>
      <c r="BI126"/>
      <c r="BJ126"/>
      <c r="BK126"/>
      <c r="BL126" s="277">
        <v>68.101959228515625</v>
      </c>
      <c r="BM126" s="283">
        <v>42233</v>
      </c>
      <c r="BN126"/>
      <c r="BO126"/>
      <c r="BP126" s="277">
        <v>3.3289179801940918</v>
      </c>
      <c r="BQ126" s="283">
        <v>42233</v>
      </c>
      <c r="BR126" s="277">
        <v>52.117240905761719</v>
      </c>
      <c r="BS126" s="283">
        <v>42233</v>
      </c>
      <c r="BT126" s="277">
        <v>15.68950366973877</v>
      </c>
      <c r="BU126" s="283">
        <v>42233</v>
      </c>
      <c r="BV126" s="277">
        <v>14.869025230407715</v>
      </c>
      <c r="BW126" s="283">
        <v>42233</v>
      </c>
      <c r="BX126" s="277">
        <v>5.179656982421875</v>
      </c>
      <c r="BY126" s="283">
        <v>42233</v>
      </c>
      <c r="BZ126"/>
      <c r="CB126" s="266">
        <v>2.48</v>
      </c>
      <c r="CC126"/>
      <c r="CD126" s="277">
        <v>3.5714285714285587</v>
      </c>
      <c r="CE126" s="291" t="s">
        <v>8401</v>
      </c>
      <c r="CF126"/>
      <c r="CG126"/>
      <c r="CH126">
        <v>1</v>
      </c>
      <c r="CI126">
        <v>2</v>
      </c>
      <c r="CK126"/>
      <c r="CL126" s="223">
        <v>1</v>
      </c>
      <c r="CM126" s="259">
        <v>42161</v>
      </c>
      <c r="CN126" s="137" t="s">
        <v>8406</v>
      </c>
    </row>
    <row r="127" spans="1:92">
      <c r="A127" s="258">
        <v>211</v>
      </c>
      <c r="B127" s="235">
        <v>211</v>
      </c>
      <c r="C127" s="235" t="s">
        <v>7788</v>
      </c>
      <c r="D127" s="235" t="s">
        <v>7586</v>
      </c>
      <c r="E127" s="235" t="s">
        <v>7788</v>
      </c>
      <c r="F127" s="235" t="s">
        <v>8555</v>
      </c>
      <c r="G127" s="235" t="str">
        <f t="shared" si="69"/>
        <v>Rapsodyn</v>
      </c>
      <c r="H127" s="235" t="s">
        <v>265</v>
      </c>
      <c r="I127" s="235">
        <v>1</v>
      </c>
      <c r="J127" s="235">
        <v>9159</v>
      </c>
      <c r="K127" s="235">
        <v>65</v>
      </c>
      <c r="L127" s="235">
        <f t="shared" si="68"/>
        <v>65</v>
      </c>
      <c r="M127" s="235">
        <v>3</v>
      </c>
      <c r="N127" s="235">
        <v>3</v>
      </c>
      <c r="O127" s="248">
        <v>42048</v>
      </c>
      <c r="P127">
        <v>4.5999999999999996</v>
      </c>
      <c r="Q127" s="264">
        <v>42204</v>
      </c>
      <c r="R127"/>
      <c r="S127"/>
      <c r="T127"/>
      <c r="V127" s="219">
        <f t="shared" si="70"/>
        <v>13.794702512437993</v>
      </c>
      <c r="W127" s="219"/>
      <c r="X127">
        <v>15.55</v>
      </c>
      <c r="Y127"/>
      <c r="Z127"/>
      <c r="AA127"/>
      <c r="AB127" s="220">
        <f t="shared" si="71"/>
        <v>4.3388799142442114</v>
      </c>
      <c r="AC127" s="219"/>
      <c r="AD127" s="221">
        <f t="shared" si="72"/>
        <v>53225.863582158869</v>
      </c>
      <c r="AE127" s="219"/>
      <c r="AF127" s="220">
        <f t="shared" si="73"/>
        <v>27.464545608393976</v>
      </c>
      <c r="AG127" s="219"/>
      <c r="AH127" s="220">
        <f t="shared" si="74"/>
        <v>30.796754438656624</v>
      </c>
      <c r="AI127" s="219"/>
      <c r="AJ127">
        <v>5.16</v>
      </c>
      <c r="AK127" s="284" t="s">
        <v>8399</v>
      </c>
      <c r="AL127">
        <v>165</v>
      </c>
      <c r="AM127"/>
      <c r="AN127" s="241">
        <v>70</v>
      </c>
      <c r="AO127" s="242">
        <v>42074</v>
      </c>
      <c r="AP127" s="255">
        <v>106</v>
      </c>
      <c r="AQ127" s="242">
        <v>42110</v>
      </c>
      <c r="AR127" s="223">
        <v>134</v>
      </c>
      <c r="AS127" s="297">
        <f t="shared" si="75"/>
        <v>134</v>
      </c>
      <c r="AT127" s="290">
        <v>42138</v>
      </c>
      <c r="AU127" s="298"/>
      <c r="AV127"/>
      <c r="AW127"/>
      <c r="AX127"/>
      <c r="AY127"/>
      <c r="AZ127"/>
      <c r="BA127"/>
      <c r="BB127"/>
      <c r="BC127"/>
      <c r="BD127"/>
      <c r="BE127"/>
      <c r="BF127" s="277">
        <v>-4.4577670097351074</v>
      </c>
      <c r="BG127" s="283">
        <v>42233</v>
      </c>
      <c r="BH127"/>
      <c r="BI127"/>
      <c r="BJ127"/>
      <c r="BK127"/>
      <c r="BL127" s="277">
        <v>63.134334564208984</v>
      </c>
      <c r="BM127" s="283">
        <v>42233</v>
      </c>
      <c r="BN127"/>
      <c r="BO127"/>
      <c r="BP127" s="277">
        <v>3.8663110733032227</v>
      </c>
      <c r="BQ127" s="283">
        <v>42233</v>
      </c>
      <c r="BR127" s="277">
        <v>50.227310180664063</v>
      </c>
      <c r="BS127" s="283">
        <v>42233</v>
      </c>
      <c r="BT127" s="277">
        <v>15.798112869262695</v>
      </c>
      <c r="BU127" s="283">
        <v>42233</v>
      </c>
      <c r="BV127" s="277">
        <v>13.355776786804199</v>
      </c>
      <c r="BW127" s="283">
        <v>42233</v>
      </c>
      <c r="BX127" s="277">
        <v>5.5962066650390625</v>
      </c>
      <c r="BY127" s="283">
        <v>42233</v>
      </c>
      <c r="BZ127"/>
      <c r="CB127" s="266">
        <v>1.52</v>
      </c>
      <c r="CC127"/>
      <c r="CD127" s="277">
        <v>5.2631578947368389</v>
      </c>
      <c r="CE127" s="291" t="s">
        <v>8399</v>
      </c>
      <c r="CF127"/>
      <c r="CG127"/>
      <c r="CH127">
        <v>1</v>
      </c>
      <c r="CI127">
        <v>3</v>
      </c>
      <c r="CK127"/>
      <c r="CL127" s="223">
        <v>1</v>
      </c>
      <c r="CM127" s="259">
        <v>42161</v>
      </c>
      <c r="CN127" s="137" t="s">
        <v>8406</v>
      </c>
    </row>
    <row r="128" spans="1:92">
      <c r="A128" s="258">
        <v>215</v>
      </c>
      <c r="B128" s="235">
        <v>215</v>
      </c>
      <c r="C128" s="235" t="s">
        <v>7786</v>
      </c>
      <c r="D128" s="235" t="s">
        <v>7584</v>
      </c>
      <c r="E128" s="235" t="s">
        <v>7786</v>
      </c>
      <c r="F128" s="235" t="s">
        <v>8438</v>
      </c>
      <c r="G128" s="235" t="str">
        <f t="shared" si="69"/>
        <v>Rapsodyn</v>
      </c>
      <c r="H128" s="235" t="s">
        <v>265</v>
      </c>
      <c r="I128" s="235">
        <v>1</v>
      </c>
      <c r="J128" s="235">
        <v>9157</v>
      </c>
      <c r="K128" s="235">
        <v>69</v>
      </c>
      <c r="L128" s="235">
        <f t="shared" si="68"/>
        <v>69</v>
      </c>
      <c r="M128" s="235">
        <v>3</v>
      </c>
      <c r="N128" s="236">
        <v>5</v>
      </c>
      <c r="O128" s="248">
        <v>42048</v>
      </c>
      <c r="P128">
        <v>5.65</v>
      </c>
      <c r="Q128" s="264">
        <v>42204</v>
      </c>
      <c r="R128"/>
      <c r="S128"/>
      <c r="T128"/>
      <c r="V128" s="219">
        <f t="shared" si="70"/>
        <v>17.896885963660729</v>
      </c>
      <c r="W128" s="219"/>
      <c r="X128">
        <v>15.55</v>
      </c>
      <c r="Y128"/>
      <c r="Z128"/>
      <c r="AA128"/>
      <c r="AB128" s="220">
        <f t="shared" si="71"/>
        <v>5.1809772645208225</v>
      </c>
      <c r="AC128" s="219"/>
      <c r="AD128" s="221">
        <f t="shared" si="72"/>
        <v>76187.682859708584</v>
      </c>
      <c r="AE128" s="219"/>
      <c r="AF128" s="220">
        <f t="shared" si="73"/>
        <v>33.827331189710613</v>
      </c>
      <c r="AG128" s="219"/>
      <c r="AH128" s="220">
        <f t="shared" si="74"/>
        <v>37.931521854351445</v>
      </c>
      <c r="AI128" s="219"/>
      <c r="AJ128">
        <v>4.4400000000000004</v>
      </c>
      <c r="AK128" s="284" t="s">
        <v>8403</v>
      </c>
      <c r="AL128">
        <v>175</v>
      </c>
      <c r="AM128"/>
      <c r="AN128" s="241">
        <v>65</v>
      </c>
      <c r="AO128" s="242">
        <v>42069</v>
      </c>
      <c r="AP128" s="255">
        <v>106</v>
      </c>
      <c r="AQ128" s="242">
        <v>42110</v>
      </c>
      <c r="AR128" s="223">
        <v>132</v>
      </c>
      <c r="AS128" s="297">
        <f t="shared" si="75"/>
        <v>132</v>
      </c>
      <c r="AT128" s="290">
        <v>42136</v>
      </c>
      <c r="AU128" s="298"/>
      <c r="AV128"/>
      <c r="AW128"/>
      <c r="AX128"/>
      <c r="AY128"/>
      <c r="AZ128"/>
      <c r="BA128"/>
      <c r="BB128"/>
      <c r="BC128"/>
      <c r="BD128"/>
      <c r="BE128"/>
      <c r="BF128" s="277">
        <v>-5.1021981239318848</v>
      </c>
      <c r="BG128" s="283">
        <v>42233</v>
      </c>
      <c r="BH128"/>
      <c r="BI128"/>
      <c r="BJ128"/>
      <c r="BK128"/>
      <c r="BL128" s="277">
        <v>64.047126770019531</v>
      </c>
      <c r="BM128" s="283">
        <v>42233</v>
      </c>
      <c r="BN128"/>
      <c r="BO128"/>
      <c r="BP128" s="277">
        <v>3.9643309116363525</v>
      </c>
      <c r="BQ128" s="283">
        <v>42233</v>
      </c>
      <c r="BR128" s="277">
        <v>52.906585693359375</v>
      </c>
      <c r="BS128" s="283">
        <v>42233</v>
      </c>
      <c r="BT128" s="277">
        <v>15.315950393676758</v>
      </c>
      <c r="BU128" s="283">
        <v>42233</v>
      </c>
      <c r="BV128" s="277">
        <v>12.683163642883301</v>
      </c>
      <c r="BW128" s="283">
        <v>42233</v>
      </c>
      <c r="BX128" s="277">
        <v>5.2559661865234375</v>
      </c>
      <c r="BY128" s="283">
        <v>42233</v>
      </c>
      <c r="BZ128"/>
      <c r="CB128" s="266">
        <v>2.19</v>
      </c>
      <c r="CC128"/>
      <c r="CD128" s="277">
        <v>4.9999999999999964</v>
      </c>
      <c r="CE128" s="291" t="s">
        <v>8403</v>
      </c>
      <c r="CF128"/>
      <c r="CG128"/>
      <c r="CH128">
        <v>2</v>
      </c>
      <c r="CI128">
        <v>2</v>
      </c>
      <c r="CK128"/>
      <c r="CL128" s="223">
        <v>1</v>
      </c>
      <c r="CM128" s="259">
        <v>42161</v>
      </c>
      <c r="CN128" s="137" t="s">
        <v>8406</v>
      </c>
    </row>
    <row r="129" spans="1:92">
      <c r="A129" s="258">
        <v>217</v>
      </c>
      <c r="B129" s="235">
        <v>217</v>
      </c>
      <c r="C129" s="235" t="s">
        <v>7576</v>
      </c>
      <c r="D129" s="235"/>
      <c r="E129" s="235"/>
      <c r="F129" s="235"/>
      <c r="G129" s="235"/>
      <c r="H129" s="235" t="s">
        <v>265</v>
      </c>
      <c r="I129" s="235">
        <v>1</v>
      </c>
      <c r="K129" s="235">
        <v>71</v>
      </c>
      <c r="L129" s="235">
        <f t="shared" si="68"/>
        <v>71</v>
      </c>
      <c r="M129" s="235">
        <v>3</v>
      </c>
      <c r="O129" s="248">
        <v>42048</v>
      </c>
      <c r="P129"/>
      <c r="Q129" s="219"/>
      <c r="R129"/>
      <c r="S129"/>
      <c r="T129"/>
      <c r="V129" s="219"/>
      <c r="W129" s="219"/>
      <c r="X129">
        <v>15.55</v>
      </c>
      <c r="Y129"/>
      <c r="Z129"/>
      <c r="AA129"/>
      <c r="AB129" s="220"/>
      <c r="AC129" s="219"/>
      <c r="AD129" s="221"/>
      <c r="AE129" s="219"/>
      <c r="AF129" s="220"/>
      <c r="AG129" s="219"/>
      <c r="AH129" s="220"/>
      <c r="AI129" s="219"/>
      <c r="AJ129" s="286"/>
      <c r="AK129" s="284"/>
      <c r="AL129"/>
      <c r="AM129"/>
      <c r="AN129" s="241">
        <v>70</v>
      </c>
      <c r="AO129" s="242">
        <v>42074</v>
      </c>
      <c r="AP129" s="255">
        <v>104</v>
      </c>
      <c r="AQ129" s="242">
        <v>42108</v>
      </c>
      <c r="AR129"/>
      <c r="AS129" s="297"/>
      <c r="AT129" s="290"/>
      <c r="AU129" s="298"/>
      <c r="AV129"/>
      <c r="AW129"/>
      <c r="AX129"/>
      <c r="AY129"/>
      <c r="AZ129"/>
      <c r="BA129"/>
      <c r="BB129"/>
      <c r="BC129"/>
      <c r="BD129"/>
      <c r="BE129"/>
      <c r="BF129" s="277"/>
      <c r="BG129" s="235"/>
      <c r="BH129"/>
      <c r="BI129"/>
      <c r="BJ129"/>
      <c r="BK129"/>
      <c r="BL129" s="277"/>
      <c r="BM129" s="235"/>
      <c r="BN129"/>
      <c r="BO129"/>
      <c r="BP129" s="277"/>
      <c r="BQ129" s="235"/>
      <c r="BR129" s="277"/>
      <c r="BS129" s="235"/>
      <c r="BT129" s="277"/>
      <c r="BU129" s="235"/>
      <c r="BV129" s="277"/>
      <c r="BW129" s="235"/>
      <c r="BX129" s="277"/>
      <c r="BY129" s="235"/>
      <c r="BZ129"/>
      <c r="CB129" s="266"/>
      <c r="CC129"/>
      <c r="CD129" s="277"/>
      <c r="CE129" s="291"/>
      <c r="CF129"/>
      <c r="CG129"/>
      <c r="CH129"/>
      <c r="CI129"/>
      <c r="CK129"/>
      <c r="CL129" s="223">
        <v>1</v>
      </c>
      <c r="CM129" s="259">
        <v>42161</v>
      </c>
    </row>
    <row r="130" spans="1:92">
      <c r="A130" s="258">
        <v>218</v>
      </c>
      <c r="B130" s="235">
        <v>218</v>
      </c>
      <c r="C130" s="235" t="s">
        <v>7576</v>
      </c>
      <c r="D130" s="235"/>
      <c r="E130" s="235"/>
      <c r="F130" s="235"/>
      <c r="G130" s="235"/>
      <c r="H130" s="235" t="s">
        <v>265</v>
      </c>
      <c r="I130" s="235">
        <v>1</v>
      </c>
      <c r="K130" s="235">
        <v>72</v>
      </c>
      <c r="L130" s="235">
        <f t="shared" si="68"/>
        <v>72</v>
      </c>
      <c r="M130" s="235">
        <v>3</v>
      </c>
      <c r="O130" s="248">
        <v>42048</v>
      </c>
      <c r="P130" s="223"/>
      <c r="Q130" s="224"/>
      <c r="R130" s="223"/>
      <c r="S130" s="223"/>
      <c r="T130" s="223"/>
      <c r="U130" s="225"/>
      <c r="V130" s="219"/>
      <c r="W130" s="224"/>
      <c r="X130">
        <v>15.55</v>
      </c>
      <c r="Y130" s="223"/>
      <c r="Z130" s="223"/>
      <c r="AA130" s="223"/>
      <c r="AB130" s="220"/>
      <c r="AC130" s="224"/>
      <c r="AD130" s="221"/>
      <c r="AE130" s="224"/>
      <c r="AF130" s="220"/>
      <c r="AG130" s="224"/>
      <c r="AH130" s="220"/>
      <c r="AI130" s="224"/>
      <c r="AJ130" s="286"/>
      <c r="AK130" s="290"/>
      <c r="AL130" s="223"/>
      <c r="AM130" s="223"/>
      <c r="AN130" s="241">
        <v>70</v>
      </c>
      <c r="AO130" s="242">
        <v>42074</v>
      </c>
      <c r="AP130" s="255">
        <v>104</v>
      </c>
      <c r="AQ130" s="242">
        <v>42108</v>
      </c>
      <c r="AR130" s="223"/>
      <c r="AS130" s="297"/>
      <c r="AT130" s="290"/>
      <c r="AU130" s="298"/>
      <c r="AV130" s="223"/>
      <c r="AW130" s="223"/>
      <c r="AX130" s="223"/>
      <c r="AY130" s="223"/>
      <c r="AZ130" s="223"/>
      <c r="BA130" s="223"/>
      <c r="BB130" s="223"/>
      <c r="BC130" s="223"/>
      <c r="BD130" s="223"/>
      <c r="BE130" s="223"/>
      <c r="BF130" s="281"/>
      <c r="BG130" s="235"/>
      <c r="BH130" s="223"/>
      <c r="BI130" s="223"/>
      <c r="BJ130" s="223"/>
      <c r="BK130" s="223"/>
      <c r="BL130" s="281"/>
      <c r="BM130" s="235"/>
      <c r="BN130" s="223"/>
      <c r="BO130" s="223"/>
      <c r="BP130" s="281"/>
      <c r="BQ130" s="235"/>
      <c r="BR130" s="281"/>
      <c r="BS130" s="235"/>
      <c r="BT130" s="281"/>
      <c r="BU130" s="235"/>
      <c r="BV130" s="281"/>
      <c r="BW130" s="235"/>
      <c r="BX130" s="281"/>
      <c r="BY130" s="235"/>
      <c r="BZ130" s="223"/>
      <c r="CA130" s="226"/>
      <c r="CB130" s="266"/>
      <c r="CC130" s="223"/>
      <c r="CD130" s="281"/>
      <c r="CE130" s="291"/>
      <c r="CF130" s="223"/>
      <c r="CG130" s="223"/>
      <c r="CH130" s="223"/>
      <c r="CI130" s="223"/>
      <c r="CK130" s="223"/>
      <c r="CL130" s="223">
        <v>1</v>
      </c>
      <c r="CM130" s="259">
        <v>42161</v>
      </c>
    </row>
    <row r="131" spans="1:92">
      <c r="A131" s="258">
        <v>219</v>
      </c>
      <c r="B131" s="235">
        <v>219</v>
      </c>
      <c r="C131" s="235" t="s">
        <v>7576</v>
      </c>
      <c r="D131" s="235"/>
      <c r="E131" s="235"/>
      <c r="F131" s="235"/>
      <c r="G131" s="235"/>
      <c r="H131" s="235" t="s">
        <v>265</v>
      </c>
      <c r="I131" s="235">
        <v>1</v>
      </c>
      <c r="K131" s="235">
        <v>73</v>
      </c>
      <c r="L131" s="235">
        <f t="shared" si="68"/>
        <v>73</v>
      </c>
      <c r="M131" s="235">
        <v>3</v>
      </c>
      <c r="O131" s="248">
        <v>42048</v>
      </c>
      <c r="P131" s="223"/>
      <c r="Q131" s="224"/>
      <c r="R131" s="223"/>
      <c r="S131" s="223"/>
      <c r="T131" s="223"/>
      <c r="U131" s="225"/>
      <c r="V131" s="219"/>
      <c r="W131" s="224"/>
      <c r="X131">
        <v>15.55</v>
      </c>
      <c r="Y131" s="223"/>
      <c r="Z131" s="223"/>
      <c r="AA131" s="223"/>
      <c r="AB131" s="220"/>
      <c r="AC131" s="224"/>
      <c r="AD131" s="221"/>
      <c r="AE131" s="224"/>
      <c r="AF131" s="220"/>
      <c r="AG131" s="224"/>
      <c r="AH131" s="220"/>
      <c r="AI131" s="224"/>
      <c r="AJ131" s="286"/>
      <c r="AK131" s="290"/>
      <c r="AL131" s="223"/>
      <c r="AM131" s="223"/>
      <c r="AN131" s="241">
        <v>70</v>
      </c>
      <c r="AO131" s="242">
        <v>42074</v>
      </c>
      <c r="AP131" s="255">
        <v>104</v>
      </c>
      <c r="AQ131" s="242">
        <v>42108</v>
      </c>
      <c r="AR131" s="223"/>
      <c r="AS131" s="297"/>
      <c r="AT131" s="290"/>
      <c r="AU131" s="298"/>
      <c r="AV131" s="223"/>
      <c r="AW131" s="223"/>
      <c r="AX131" s="223"/>
      <c r="AY131" s="223"/>
      <c r="AZ131" s="223"/>
      <c r="BA131" s="223"/>
      <c r="BB131" s="223"/>
      <c r="BC131" s="223"/>
      <c r="BD131" s="223"/>
      <c r="BE131" s="223"/>
      <c r="BF131" s="281"/>
      <c r="BG131" s="235"/>
      <c r="BH131" s="223"/>
      <c r="BI131" s="223"/>
      <c r="BJ131" s="223"/>
      <c r="BK131" s="223"/>
      <c r="BL131" s="281"/>
      <c r="BM131" s="235"/>
      <c r="BN131" s="223"/>
      <c r="BO131" s="223"/>
      <c r="BP131" s="281"/>
      <c r="BQ131" s="235"/>
      <c r="BR131" s="281"/>
      <c r="BS131" s="235"/>
      <c r="BT131" s="281"/>
      <c r="BU131" s="235"/>
      <c r="BV131" s="281"/>
      <c r="BW131" s="235"/>
      <c r="BX131" s="281"/>
      <c r="BY131" s="235"/>
      <c r="BZ131" s="223"/>
      <c r="CA131" s="226"/>
      <c r="CB131" s="266"/>
      <c r="CC131" s="223"/>
      <c r="CD131" s="281"/>
      <c r="CE131" s="291"/>
      <c r="CF131" s="223"/>
      <c r="CG131" s="223"/>
      <c r="CH131" s="223"/>
      <c r="CI131" s="223"/>
      <c r="CK131" s="223"/>
      <c r="CL131" s="223">
        <v>1</v>
      </c>
      <c r="CM131" s="259">
        <v>42161</v>
      </c>
    </row>
    <row r="132" spans="1:92">
      <c r="A132" s="258">
        <v>220</v>
      </c>
      <c r="B132" s="235">
        <v>220</v>
      </c>
      <c r="C132" s="235" t="s">
        <v>7576</v>
      </c>
      <c r="D132" s="235"/>
      <c r="E132" s="235"/>
      <c r="F132" s="235"/>
      <c r="G132" s="235"/>
      <c r="H132" s="235" t="s">
        <v>265</v>
      </c>
      <c r="I132" s="235">
        <v>1</v>
      </c>
      <c r="K132" s="235">
        <v>73</v>
      </c>
      <c r="L132" s="235">
        <f t="shared" si="68"/>
        <v>73</v>
      </c>
      <c r="M132" s="235">
        <v>4</v>
      </c>
      <c r="O132" s="248">
        <v>42048</v>
      </c>
      <c r="P132" s="223"/>
      <c r="Q132" s="224"/>
      <c r="R132" s="223"/>
      <c r="S132" s="223"/>
      <c r="T132" s="223"/>
      <c r="U132" s="225"/>
      <c r="V132" s="219"/>
      <c r="W132" s="224"/>
      <c r="X132">
        <v>15.55</v>
      </c>
      <c r="Y132" s="223"/>
      <c r="Z132" s="223"/>
      <c r="AA132" s="223"/>
      <c r="AB132" s="220"/>
      <c r="AC132" s="224"/>
      <c r="AD132" s="221"/>
      <c r="AE132" s="224"/>
      <c r="AF132" s="220"/>
      <c r="AG132" s="224"/>
      <c r="AH132" s="220"/>
      <c r="AI132" s="224"/>
      <c r="AJ132" s="286"/>
      <c r="AK132" s="290"/>
      <c r="AL132" s="223"/>
      <c r="AM132" s="223"/>
      <c r="AN132" s="241">
        <v>70</v>
      </c>
      <c r="AO132" s="242">
        <v>42074</v>
      </c>
      <c r="AP132" s="255">
        <v>104</v>
      </c>
      <c r="AQ132" s="242">
        <v>42108</v>
      </c>
      <c r="AR132" s="223"/>
      <c r="AS132" s="297"/>
      <c r="AT132" s="290"/>
      <c r="AU132" s="298"/>
      <c r="AV132" s="223"/>
      <c r="AW132" s="223"/>
      <c r="AX132" s="223"/>
      <c r="AY132" s="223"/>
      <c r="AZ132" s="223"/>
      <c r="BA132" s="223"/>
      <c r="BB132" s="223"/>
      <c r="BC132" s="223"/>
      <c r="BD132" s="223"/>
      <c r="BE132" s="223"/>
      <c r="BF132" s="281"/>
      <c r="BG132" s="235"/>
      <c r="BH132" s="223"/>
      <c r="BI132" s="223"/>
      <c r="BJ132" s="223"/>
      <c r="BK132" s="223"/>
      <c r="BL132" s="281"/>
      <c r="BM132" s="235"/>
      <c r="BN132" s="223"/>
      <c r="BO132" s="223"/>
      <c r="BP132" s="281"/>
      <c r="BQ132" s="235"/>
      <c r="BR132" s="281"/>
      <c r="BS132" s="235"/>
      <c r="BT132" s="281"/>
      <c r="BU132" s="235"/>
      <c r="BV132" s="281"/>
      <c r="BW132" s="235"/>
      <c r="BX132" s="281"/>
      <c r="BY132" s="235"/>
      <c r="BZ132" s="223"/>
      <c r="CA132" s="226"/>
      <c r="CB132" s="266"/>
      <c r="CC132" s="223"/>
      <c r="CD132" s="281"/>
      <c r="CE132" s="291"/>
      <c r="CF132" s="223"/>
      <c r="CG132" s="223"/>
      <c r="CH132" s="223"/>
      <c r="CI132" s="223"/>
      <c r="CK132" s="223"/>
      <c r="CL132" s="223">
        <v>3</v>
      </c>
      <c r="CM132" s="259">
        <v>42161</v>
      </c>
    </row>
    <row r="133" spans="1:92">
      <c r="A133" s="258">
        <v>221</v>
      </c>
      <c r="B133" s="235">
        <v>221</v>
      </c>
      <c r="C133" s="235" t="s">
        <v>7576</v>
      </c>
      <c r="D133" s="235"/>
      <c r="E133" s="235"/>
      <c r="F133" s="235"/>
      <c r="G133" s="235"/>
      <c r="H133" s="235" t="s">
        <v>265</v>
      </c>
      <c r="I133" s="235">
        <v>1</v>
      </c>
      <c r="K133" s="235">
        <v>72</v>
      </c>
      <c r="L133" s="235">
        <f t="shared" si="68"/>
        <v>72</v>
      </c>
      <c r="M133" s="235">
        <v>4</v>
      </c>
      <c r="O133" s="248">
        <v>42048</v>
      </c>
      <c r="P133"/>
      <c r="Q133" s="219"/>
      <c r="R133"/>
      <c r="S133"/>
      <c r="T133"/>
      <c r="V133" s="219"/>
      <c r="W133" s="219"/>
      <c r="X133">
        <v>15.55</v>
      </c>
      <c r="Y133"/>
      <c r="Z133"/>
      <c r="AA133"/>
      <c r="AB133" s="220"/>
      <c r="AC133" s="219"/>
      <c r="AD133" s="221"/>
      <c r="AE133" s="219"/>
      <c r="AF133" s="220"/>
      <c r="AG133" s="219"/>
      <c r="AH133" s="220"/>
      <c r="AI133" s="219"/>
      <c r="AJ133" s="286"/>
      <c r="AK133" s="284"/>
      <c r="AL133"/>
      <c r="AM133"/>
      <c r="AN133" s="241">
        <v>70</v>
      </c>
      <c r="AO133" s="242">
        <v>42074</v>
      </c>
      <c r="AP133" s="255">
        <v>104</v>
      </c>
      <c r="AQ133" s="242">
        <v>42108</v>
      </c>
      <c r="AR133"/>
      <c r="AS133" s="297"/>
      <c r="AT133" s="290"/>
      <c r="AU133" s="298"/>
      <c r="AV133"/>
      <c r="AW133"/>
      <c r="AX133"/>
      <c r="AY133"/>
      <c r="AZ133"/>
      <c r="BA133"/>
      <c r="BB133"/>
      <c r="BC133"/>
      <c r="BD133"/>
      <c r="BE133"/>
      <c r="BF133" s="277"/>
      <c r="BG133" s="235"/>
      <c r="BH133"/>
      <c r="BI133"/>
      <c r="BJ133"/>
      <c r="BK133"/>
      <c r="BL133" s="277"/>
      <c r="BM133" s="235"/>
      <c r="BN133"/>
      <c r="BO133"/>
      <c r="BP133" s="277"/>
      <c r="BQ133" s="235"/>
      <c r="BR133" s="277"/>
      <c r="BS133" s="235"/>
      <c r="BT133" s="277"/>
      <c r="BU133" s="235"/>
      <c r="BV133" s="277"/>
      <c r="BW133" s="235"/>
      <c r="BX133" s="277"/>
      <c r="BY133" s="235"/>
      <c r="BZ133"/>
      <c r="CB133" s="266"/>
      <c r="CC133"/>
      <c r="CD133" s="277"/>
      <c r="CE133" s="291"/>
      <c r="CF133"/>
      <c r="CG133"/>
      <c r="CH133"/>
      <c r="CI133"/>
      <c r="CK133"/>
      <c r="CL133" s="223">
        <v>2</v>
      </c>
      <c r="CM133" s="259">
        <v>42161</v>
      </c>
    </row>
    <row r="134" spans="1:92">
      <c r="A134" s="258">
        <v>222</v>
      </c>
      <c r="B134" s="235">
        <v>222</v>
      </c>
      <c r="C134" s="235" t="s">
        <v>7576</v>
      </c>
      <c r="D134" s="235"/>
      <c r="E134" s="235"/>
      <c r="F134" s="235"/>
      <c r="G134" s="235"/>
      <c r="H134" s="235" t="s">
        <v>265</v>
      </c>
      <c r="I134" s="235">
        <v>1</v>
      </c>
      <c r="K134" s="235">
        <v>71</v>
      </c>
      <c r="L134" s="235">
        <f t="shared" si="68"/>
        <v>71</v>
      </c>
      <c r="M134" s="235">
        <v>4</v>
      </c>
      <c r="O134" s="248">
        <v>42048</v>
      </c>
      <c r="P134"/>
      <c r="Q134" s="219"/>
      <c r="R134"/>
      <c r="S134"/>
      <c r="T134"/>
      <c r="V134" s="219"/>
      <c r="W134" s="219"/>
      <c r="X134">
        <v>15.55</v>
      </c>
      <c r="Y134"/>
      <c r="Z134"/>
      <c r="AA134"/>
      <c r="AB134" s="220"/>
      <c r="AC134" s="219"/>
      <c r="AD134" s="221"/>
      <c r="AE134" s="219"/>
      <c r="AF134" s="220"/>
      <c r="AG134" s="219"/>
      <c r="AH134" s="220"/>
      <c r="AI134" s="219"/>
      <c r="AJ134" s="286"/>
      <c r="AK134" s="284"/>
      <c r="AL134"/>
      <c r="AM134"/>
      <c r="AN134" s="241">
        <v>70</v>
      </c>
      <c r="AO134" s="242">
        <v>42074</v>
      </c>
      <c r="AP134" s="255">
        <v>104</v>
      </c>
      <c r="AQ134" s="242">
        <v>42108</v>
      </c>
      <c r="AR134"/>
      <c r="AS134" s="297"/>
      <c r="AT134" s="290"/>
      <c r="AU134" s="298"/>
      <c r="AV134"/>
      <c r="AW134"/>
      <c r="AX134"/>
      <c r="AY134"/>
      <c r="AZ134"/>
      <c r="BA134"/>
      <c r="BB134"/>
      <c r="BC134"/>
      <c r="BD134"/>
      <c r="BE134"/>
      <c r="BF134" s="277"/>
      <c r="BG134" s="235"/>
      <c r="BH134"/>
      <c r="BI134"/>
      <c r="BJ134"/>
      <c r="BK134"/>
      <c r="BL134" s="277"/>
      <c r="BM134" s="235"/>
      <c r="BN134"/>
      <c r="BO134"/>
      <c r="BP134" s="277"/>
      <c r="BQ134" s="235"/>
      <c r="BR134" s="277"/>
      <c r="BS134" s="235"/>
      <c r="BT134" s="277"/>
      <c r="BU134" s="235"/>
      <c r="BV134" s="277"/>
      <c r="BW134" s="235"/>
      <c r="BX134" s="277"/>
      <c r="BY134" s="235"/>
      <c r="BZ134"/>
      <c r="CB134" s="266"/>
      <c r="CC134"/>
      <c r="CD134" s="277"/>
      <c r="CE134" s="291"/>
      <c r="CF134"/>
      <c r="CG134"/>
      <c r="CH134"/>
      <c r="CI134"/>
      <c r="CK134"/>
      <c r="CL134" s="223">
        <v>1</v>
      </c>
      <c r="CM134" s="259">
        <v>42161</v>
      </c>
    </row>
    <row r="135" spans="1:92">
      <c r="A135" s="258">
        <v>223</v>
      </c>
      <c r="B135" s="235">
        <v>223</v>
      </c>
      <c r="C135" s="235" t="s">
        <v>7809</v>
      </c>
      <c r="D135" s="235" t="s">
        <v>7603</v>
      </c>
      <c r="E135" s="235" t="s">
        <v>7809</v>
      </c>
      <c r="F135" s="235" t="s">
        <v>8572</v>
      </c>
      <c r="G135" s="235" t="str">
        <f t="shared" ref="G135:G143" si="76">IF(MID(C135,1,3)="BGA","Complement","Rapsodyn")</f>
        <v>Rapsodyn</v>
      </c>
      <c r="H135" s="235" t="s">
        <v>265</v>
      </c>
      <c r="I135" s="235">
        <v>1</v>
      </c>
      <c r="J135" s="235">
        <v>9180</v>
      </c>
      <c r="K135" s="235">
        <v>70</v>
      </c>
      <c r="L135" s="235">
        <f t="shared" si="68"/>
        <v>70</v>
      </c>
      <c r="M135" s="235">
        <v>4</v>
      </c>
      <c r="N135" s="235">
        <v>7</v>
      </c>
      <c r="O135" s="248">
        <v>42048</v>
      </c>
      <c r="P135">
        <v>5.45</v>
      </c>
      <c r="Q135" s="264">
        <v>42204</v>
      </c>
      <c r="R135"/>
      <c r="S135"/>
      <c r="T135"/>
      <c r="V135" s="219">
        <f t="shared" ref="V135:V141" si="77">+BR135*AF135/100</f>
        <v>16.60380490586931</v>
      </c>
      <c r="W135" s="219"/>
      <c r="X135">
        <v>15.55</v>
      </c>
      <c r="Y135"/>
      <c r="Z135"/>
      <c r="AA135"/>
      <c r="AB135" s="220">
        <f t="shared" ref="AB135:AB141" si="78">+AF135*BT135/100</f>
        <v>4.7633449075169167</v>
      </c>
      <c r="AC135" s="219"/>
      <c r="AD135" s="221">
        <f t="shared" ref="AD135:AD141" si="79">+(AF135/AJ135)*10000</f>
        <v>69233.012750114329</v>
      </c>
      <c r="AE135" s="219"/>
      <c r="AF135" s="220">
        <f t="shared" ref="AF135:AF141" si="80">($P135/$X135)*(((100-$CD135)/100*(100-2)/100))*100</f>
        <v>32.539515992553738</v>
      </c>
      <c r="AG135" s="219"/>
      <c r="AH135" s="220">
        <f t="shared" ref="AH135:AH141" si="81">($P135/$X135)*(((100-$CD135)/(100-9)*(100-2)/(100-2))*100)</f>
        <v>36.487459063191004</v>
      </c>
      <c r="AI135" s="219"/>
      <c r="AJ135">
        <v>4.7</v>
      </c>
      <c r="AK135" s="284" t="s">
        <v>8403</v>
      </c>
      <c r="AL135">
        <v>160</v>
      </c>
      <c r="AM135"/>
      <c r="AN135" s="241">
        <v>70</v>
      </c>
      <c r="AO135" s="242">
        <v>42074</v>
      </c>
      <c r="AP135" s="255">
        <v>104</v>
      </c>
      <c r="AQ135" s="242">
        <v>42108</v>
      </c>
      <c r="AR135">
        <v>131</v>
      </c>
      <c r="AS135" s="297">
        <f t="shared" ref="AS135:AS143" si="82">IF(AR135=0,,AR135)</f>
        <v>131</v>
      </c>
      <c r="AT135" s="290">
        <v>42135</v>
      </c>
      <c r="AU135" s="298"/>
      <c r="AV135"/>
      <c r="AW135"/>
      <c r="AX135"/>
      <c r="AY135"/>
      <c r="AZ135"/>
      <c r="BA135"/>
      <c r="BB135"/>
      <c r="BC135"/>
      <c r="BD135"/>
      <c r="BE135"/>
      <c r="BF135" s="277">
        <v>-3.3730549812316895</v>
      </c>
      <c r="BG135" s="283">
        <v>42233</v>
      </c>
      <c r="BH135"/>
      <c r="BI135"/>
      <c r="BJ135"/>
      <c r="BK135"/>
      <c r="BL135" s="277">
        <v>63.817573547363281</v>
      </c>
      <c r="BM135" s="283">
        <v>42233</v>
      </c>
      <c r="BN135"/>
      <c r="BO135"/>
      <c r="BP135" s="277">
        <v>3.8325519561767578</v>
      </c>
      <c r="BQ135" s="283">
        <v>42233</v>
      </c>
      <c r="BR135" s="277">
        <v>51.026588439941406</v>
      </c>
      <c r="BS135" s="283">
        <v>42233</v>
      </c>
      <c r="BT135" s="277">
        <v>14.638647079467773</v>
      </c>
      <c r="BU135" s="283">
        <v>42233</v>
      </c>
      <c r="BV135" s="277">
        <v>12.254328727722168</v>
      </c>
      <c r="BW135" s="283">
        <v>42233</v>
      </c>
      <c r="BX135" s="277">
        <v>5.1227493286132812</v>
      </c>
      <c r="BY135" s="283">
        <v>42233</v>
      </c>
      <c r="BZ135"/>
      <c r="CB135" s="266">
        <v>2.25</v>
      </c>
      <c r="CC135"/>
      <c r="CD135" s="277">
        <v>5.2631578947368389</v>
      </c>
      <c r="CE135" s="291" t="s">
        <v>8403</v>
      </c>
      <c r="CF135"/>
      <c r="CG135"/>
      <c r="CH135">
        <v>2</v>
      </c>
      <c r="CI135">
        <v>2</v>
      </c>
      <c r="CK135"/>
      <c r="CL135" s="223">
        <v>1</v>
      </c>
      <c r="CM135" s="259">
        <v>42161</v>
      </c>
      <c r="CN135" s="137" t="s">
        <v>8406</v>
      </c>
    </row>
    <row r="136" spans="1:92">
      <c r="A136" s="258">
        <v>225</v>
      </c>
      <c r="B136" s="235">
        <v>225</v>
      </c>
      <c r="C136" s="235" t="s">
        <v>7728</v>
      </c>
      <c r="D136" s="235" t="s">
        <v>7551</v>
      </c>
      <c r="E136" s="235" t="s">
        <v>7728</v>
      </c>
      <c r="F136" s="235" t="s">
        <v>8530</v>
      </c>
      <c r="G136" s="235" t="str">
        <f t="shared" si="76"/>
        <v>Rapsodyn</v>
      </c>
      <c r="H136" s="235" t="s">
        <v>265</v>
      </c>
      <c r="I136" s="235">
        <v>1</v>
      </c>
      <c r="J136" s="235">
        <v>9110</v>
      </c>
      <c r="K136" s="235">
        <v>68</v>
      </c>
      <c r="L136" s="235">
        <f t="shared" si="68"/>
        <v>68</v>
      </c>
      <c r="M136" s="235">
        <v>4</v>
      </c>
      <c r="N136" s="235">
        <v>7</v>
      </c>
      <c r="O136" s="248">
        <v>42048</v>
      </c>
      <c r="P136">
        <v>4.6500000000000004</v>
      </c>
      <c r="Q136" s="264">
        <v>42204</v>
      </c>
      <c r="R136"/>
      <c r="S136"/>
      <c r="T136"/>
      <c r="V136" s="219">
        <f t="shared" si="77"/>
        <v>14.294441419399055</v>
      </c>
      <c r="W136" s="219"/>
      <c r="X136">
        <v>15.55</v>
      </c>
      <c r="Y136"/>
      <c r="Z136"/>
      <c r="AA136"/>
      <c r="AB136" s="220">
        <f t="shared" si="78"/>
        <v>4.32137434938062</v>
      </c>
      <c r="AC136" s="219"/>
      <c r="AD136" s="221">
        <f t="shared" si="79"/>
        <v>65204.401561814972</v>
      </c>
      <c r="AE136" s="219"/>
      <c r="AF136" s="220">
        <f t="shared" si="80"/>
        <v>27.64666626220955</v>
      </c>
      <c r="AG136" s="219"/>
      <c r="AH136" s="220">
        <f t="shared" si="81"/>
        <v>31.000971363769398</v>
      </c>
      <c r="AI136" s="219"/>
      <c r="AJ136">
        <v>4.24</v>
      </c>
      <c r="AK136" s="284" t="s">
        <v>8399</v>
      </c>
      <c r="AL136">
        <v>160</v>
      </c>
      <c r="AM136"/>
      <c r="AN136" s="241">
        <v>70</v>
      </c>
      <c r="AO136" s="242">
        <v>42074</v>
      </c>
      <c r="AP136" s="255">
        <v>104</v>
      </c>
      <c r="AQ136" s="242">
        <v>42108</v>
      </c>
      <c r="AR136">
        <v>126</v>
      </c>
      <c r="AS136" s="297">
        <f t="shared" si="82"/>
        <v>126</v>
      </c>
      <c r="AT136" s="290">
        <v>42130</v>
      </c>
      <c r="AU136" s="298"/>
      <c r="AV136"/>
      <c r="AW136"/>
      <c r="AX136"/>
      <c r="AY136"/>
      <c r="AZ136"/>
      <c r="BA136"/>
      <c r="BB136"/>
      <c r="BC136"/>
      <c r="BD136"/>
      <c r="BE136"/>
      <c r="BF136" s="277">
        <v>-3.9737339019775391</v>
      </c>
      <c r="BG136" s="283">
        <v>42233</v>
      </c>
      <c r="BH136"/>
      <c r="BI136"/>
      <c r="BJ136"/>
      <c r="BK136"/>
      <c r="BL136" s="277">
        <v>64.983116149902344</v>
      </c>
      <c r="BM136" s="283">
        <v>42233</v>
      </c>
      <c r="BN136"/>
      <c r="BO136"/>
      <c r="BP136" s="277">
        <v>2.8447160720825195</v>
      </c>
      <c r="BQ136" s="283">
        <v>42233</v>
      </c>
      <c r="BR136" s="277">
        <v>51.704032897949219</v>
      </c>
      <c r="BS136" s="283">
        <v>42233</v>
      </c>
      <c r="BT136" s="277">
        <v>15.630724906921387</v>
      </c>
      <c r="BU136" s="283">
        <v>42233</v>
      </c>
      <c r="BV136" s="277">
        <v>17.446628570556641</v>
      </c>
      <c r="BW136" s="283">
        <v>42233</v>
      </c>
      <c r="BX136" s="277">
        <v>5.1233901977539062</v>
      </c>
      <c r="BY136" s="283">
        <v>42233</v>
      </c>
      <c r="BZ136"/>
      <c r="CB136" s="266">
        <v>2.08</v>
      </c>
      <c r="CC136"/>
      <c r="CD136" s="277">
        <v>5.660377358490563</v>
      </c>
      <c r="CE136" s="291" t="s">
        <v>8399</v>
      </c>
      <c r="CF136"/>
      <c r="CG136"/>
      <c r="CH136">
        <v>2</v>
      </c>
      <c r="CI136">
        <v>3</v>
      </c>
      <c r="CK136"/>
      <c r="CL136" s="223">
        <v>1</v>
      </c>
      <c r="CM136" s="259">
        <v>42161</v>
      </c>
      <c r="CN136" s="137" t="s">
        <v>8406</v>
      </c>
    </row>
    <row r="137" spans="1:92">
      <c r="A137" s="258">
        <v>226</v>
      </c>
      <c r="B137" s="235">
        <v>226</v>
      </c>
      <c r="C137" s="236" t="s">
        <v>7803</v>
      </c>
      <c r="D137" s="236" t="s">
        <v>8419</v>
      </c>
      <c r="E137" s="236" t="s">
        <v>7803</v>
      </c>
      <c r="F137" s="236" t="s">
        <v>8436</v>
      </c>
      <c r="G137" s="235" t="str">
        <f t="shared" si="76"/>
        <v>Rapsodyn</v>
      </c>
      <c r="H137" s="235" t="s">
        <v>265</v>
      </c>
      <c r="I137" s="235">
        <v>1</v>
      </c>
      <c r="J137" s="236">
        <v>9174</v>
      </c>
      <c r="K137" s="236">
        <v>67</v>
      </c>
      <c r="L137" s="235">
        <f t="shared" si="68"/>
        <v>67</v>
      </c>
      <c r="M137" s="236">
        <v>4</v>
      </c>
      <c r="N137" s="235">
        <v>7</v>
      </c>
      <c r="O137" s="248">
        <v>42048</v>
      </c>
      <c r="P137" s="223">
        <v>5.3</v>
      </c>
      <c r="Q137" s="264">
        <v>42204</v>
      </c>
      <c r="R137" s="223"/>
      <c r="S137" s="223"/>
      <c r="T137" s="223"/>
      <c r="U137" s="225"/>
      <c r="V137" s="219">
        <f t="shared" si="77"/>
        <v>16.470117733687236</v>
      </c>
      <c r="W137" s="224"/>
      <c r="X137">
        <v>15.55</v>
      </c>
      <c r="Y137" s="223"/>
      <c r="Z137" s="223"/>
      <c r="AA137" s="223"/>
      <c r="AB137" s="220">
        <f t="shared" si="78"/>
        <v>4.5071735516187337</v>
      </c>
      <c r="AC137" s="224"/>
      <c r="AD137" s="221">
        <f t="shared" si="79"/>
        <v>74226.509467667012</v>
      </c>
      <c r="AE137" s="224"/>
      <c r="AF137" s="220">
        <f t="shared" si="80"/>
        <v>31.546266523758483</v>
      </c>
      <c r="AG137" s="224"/>
      <c r="AH137" s="220">
        <f t="shared" si="81"/>
        <v>35.373700968556264</v>
      </c>
      <c r="AI137" s="224"/>
      <c r="AJ137">
        <v>4.25</v>
      </c>
      <c r="AK137" s="290" t="s">
        <v>8399</v>
      </c>
      <c r="AL137" s="223">
        <v>160</v>
      </c>
      <c r="AM137" s="223"/>
      <c r="AN137" s="241">
        <v>61</v>
      </c>
      <c r="AO137" s="243">
        <v>42065</v>
      </c>
      <c r="AP137" s="255">
        <v>104</v>
      </c>
      <c r="AQ137" s="242">
        <v>42108</v>
      </c>
      <c r="AR137" s="223">
        <v>127</v>
      </c>
      <c r="AS137" s="297">
        <f t="shared" si="82"/>
        <v>127</v>
      </c>
      <c r="AT137" s="290">
        <v>42131</v>
      </c>
      <c r="AU137" s="298"/>
      <c r="AV137" s="223"/>
      <c r="AW137" s="223"/>
      <c r="AX137" s="223"/>
      <c r="AY137" s="223"/>
      <c r="AZ137" s="223"/>
      <c r="BA137" s="223"/>
      <c r="BB137" s="223"/>
      <c r="BC137" s="223"/>
      <c r="BD137" s="223"/>
      <c r="BE137" s="223"/>
      <c r="BF137" s="281">
        <v>-3.9236030578613281</v>
      </c>
      <c r="BG137" s="283">
        <v>42233</v>
      </c>
      <c r="BH137" s="223"/>
      <c r="BI137" s="223"/>
      <c r="BJ137" s="223"/>
      <c r="BK137" s="223"/>
      <c r="BL137" s="281">
        <v>64.302406311035156</v>
      </c>
      <c r="BM137" s="283">
        <v>42233</v>
      </c>
      <c r="BN137" s="223"/>
      <c r="BO137" s="223"/>
      <c r="BP137" s="281">
        <v>2.9313669204711914</v>
      </c>
      <c r="BQ137" s="283">
        <v>42233</v>
      </c>
      <c r="BR137" s="281">
        <v>52.209403991699219</v>
      </c>
      <c r="BS137" s="283">
        <v>42233</v>
      </c>
      <c r="BT137" s="281">
        <v>14.287502288818359</v>
      </c>
      <c r="BU137" s="283">
        <v>42233</v>
      </c>
      <c r="BV137" s="281">
        <v>14.375733375549316</v>
      </c>
      <c r="BW137" s="283">
        <v>42233</v>
      </c>
      <c r="BX137" s="281">
        <v>5.4772720336914062</v>
      </c>
      <c r="BY137" s="283">
        <v>42233</v>
      </c>
      <c r="BZ137" s="223"/>
      <c r="CA137" s="226"/>
      <c r="CB137" s="266">
        <v>2.69</v>
      </c>
      <c r="CC137" s="223"/>
      <c r="CD137" s="281">
        <v>5.5555555555555687</v>
      </c>
      <c r="CE137" s="291" t="s">
        <v>8399</v>
      </c>
      <c r="CF137" s="223"/>
      <c r="CG137" s="223"/>
      <c r="CH137" s="223">
        <v>1</v>
      </c>
      <c r="CI137" s="223">
        <v>2</v>
      </c>
      <c r="CK137" s="223"/>
      <c r="CL137" s="223">
        <v>1</v>
      </c>
      <c r="CM137" s="259">
        <v>42161</v>
      </c>
      <c r="CN137" s="137" t="s">
        <v>8406</v>
      </c>
    </row>
    <row r="138" spans="1:92">
      <c r="A138" s="258">
        <v>228</v>
      </c>
      <c r="B138" s="235">
        <v>228</v>
      </c>
      <c r="C138" s="235" t="s">
        <v>7686</v>
      </c>
      <c r="D138" s="235" t="s">
        <v>262</v>
      </c>
      <c r="E138" s="235" t="s">
        <v>7686</v>
      </c>
      <c r="F138" s="235" t="s">
        <v>8582</v>
      </c>
      <c r="G138" s="235" t="str">
        <f t="shared" si="76"/>
        <v>Rapsodyn</v>
      </c>
      <c r="H138" s="235" t="s">
        <v>265</v>
      </c>
      <c r="I138" s="235">
        <v>1</v>
      </c>
      <c r="J138" s="235">
        <v>9068</v>
      </c>
      <c r="K138" s="235">
        <v>65</v>
      </c>
      <c r="L138" s="235">
        <f t="shared" si="68"/>
        <v>65</v>
      </c>
      <c r="M138" s="235">
        <v>4</v>
      </c>
      <c r="N138" s="235">
        <v>7</v>
      </c>
      <c r="O138" s="248">
        <v>42048</v>
      </c>
      <c r="P138">
        <v>4.1500000000000004</v>
      </c>
      <c r="Q138" s="264">
        <v>42204</v>
      </c>
      <c r="R138"/>
      <c r="S138"/>
      <c r="T138"/>
      <c r="V138" s="219">
        <f t="shared" si="77"/>
        <v>12.228288802397339</v>
      </c>
      <c r="W138" s="219"/>
      <c r="X138">
        <v>15.55</v>
      </c>
      <c r="Y138"/>
      <c r="Z138"/>
      <c r="AA138"/>
      <c r="AB138" s="220">
        <f t="shared" si="78"/>
        <v>4.3824159655146788</v>
      </c>
      <c r="AC138" s="219"/>
      <c r="AD138" s="221">
        <f t="shared" si="79"/>
        <v>58963.087230946869</v>
      </c>
      <c r="AE138" s="219"/>
      <c r="AF138" s="220">
        <f t="shared" si="80"/>
        <v>24.410718113612003</v>
      </c>
      <c r="AG138" s="219"/>
      <c r="AH138" s="220">
        <f t="shared" si="81"/>
        <v>27.372413224503255</v>
      </c>
      <c r="AI138" s="219"/>
      <c r="AJ138">
        <v>4.1399999999999997</v>
      </c>
      <c r="AK138" s="284" t="s">
        <v>8399</v>
      </c>
      <c r="AL138">
        <v>145</v>
      </c>
      <c r="AM138"/>
      <c r="AN138" s="241">
        <v>70</v>
      </c>
      <c r="AO138" s="242">
        <v>42074</v>
      </c>
      <c r="AP138" s="255">
        <v>100</v>
      </c>
      <c r="AQ138" s="242">
        <v>42104</v>
      </c>
      <c r="AR138">
        <v>127</v>
      </c>
      <c r="AS138" s="297">
        <f t="shared" si="82"/>
        <v>127</v>
      </c>
      <c r="AT138" s="290">
        <v>42131</v>
      </c>
      <c r="AU138" s="298"/>
      <c r="AV138"/>
      <c r="AW138"/>
      <c r="AX138"/>
      <c r="AY138"/>
      <c r="AZ138"/>
      <c r="BA138"/>
      <c r="BB138"/>
      <c r="BC138"/>
      <c r="BD138"/>
      <c r="BE138"/>
      <c r="BF138" s="277">
        <v>-3.582892894744873</v>
      </c>
      <c r="BG138" s="283">
        <v>42233</v>
      </c>
      <c r="BH138"/>
      <c r="BI138"/>
      <c r="BJ138"/>
      <c r="BK138"/>
      <c r="BL138" s="277">
        <v>65.426925659179687</v>
      </c>
      <c r="BM138" s="283">
        <v>42233</v>
      </c>
      <c r="BN138"/>
      <c r="BO138"/>
      <c r="BP138" s="277">
        <v>3.3545100688934326</v>
      </c>
      <c r="BQ138" s="283">
        <v>42233</v>
      </c>
      <c r="BR138" s="277">
        <v>50.09393310546875</v>
      </c>
      <c r="BS138" s="283">
        <v>42233</v>
      </c>
      <c r="BT138" s="277">
        <v>17.952835083007813</v>
      </c>
      <c r="BU138" s="283">
        <v>42233</v>
      </c>
      <c r="BV138" s="277">
        <v>15.69666862487793</v>
      </c>
      <c r="BW138" s="283">
        <v>42233</v>
      </c>
      <c r="BX138" s="277">
        <v>5.6054763793945313</v>
      </c>
      <c r="BY138" s="283">
        <v>42233</v>
      </c>
      <c r="BZ138"/>
      <c r="CB138" s="266">
        <v>1.41</v>
      </c>
      <c r="CC138"/>
      <c r="CD138" s="277">
        <v>6.6666666666666723</v>
      </c>
      <c r="CE138" s="291" t="s">
        <v>8399</v>
      </c>
      <c r="CF138"/>
      <c r="CG138"/>
      <c r="CH138">
        <v>1</v>
      </c>
      <c r="CI138">
        <v>3</v>
      </c>
      <c r="CK138"/>
      <c r="CL138" s="223">
        <v>1</v>
      </c>
      <c r="CM138" s="259">
        <v>42161</v>
      </c>
      <c r="CN138" s="137" t="s">
        <v>8406</v>
      </c>
    </row>
    <row r="139" spans="1:92">
      <c r="A139" s="258">
        <v>230</v>
      </c>
      <c r="B139" s="235">
        <v>230</v>
      </c>
      <c r="C139" s="235" t="s">
        <v>7701</v>
      </c>
      <c r="D139" s="235" t="s">
        <v>7527</v>
      </c>
      <c r="E139" s="235" t="s">
        <v>7701</v>
      </c>
      <c r="F139" s="235" t="s">
        <v>8458</v>
      </c>
      <c r="G139" s="235" t="str">
        <f t="shared" si="76"/>
        <v>Rapsodyn</v>
      </c>
      <c r="H139" s="235" t="s">
        <v>265</v>
      </c>
      <c r="I139" s="235">
        <v>1</v>
      </c>
      <c r="J139" s="235">
        <v>9083</v>
      </c>
      <c r="K139" s="235">
        <v>63</v>
      </c>
      <c r="L139" s="235">
        <f t="shared" si="68"/>
        <v>63</v>
      </c>
      <c r="M139" s="235">
        <v>4</v>
      </c>
      <c r="N139" s="235">
        <v>7</v>
      </c>
      <c r="O139" s="248">
        <v>42048</v>
      </c>
      <c r="P139">
        <v>4.4000000000000004</v>
      </c>
      <c r="Q139" s="264">
        <v>42204</v>
      </c>
      <c r="R139"/>
      <c r="S139"/>
      <c r="T139"/>
      <c r="V139" s="219">
        <f t="shared" si="77"/>
        <v>13.318234718917756</v>
      </c>
      <c r="W139" s="219"/>
      <c r="X139">
        <v>15.55</v>
      </c>
      <c r="Y139"/>
      <c r="Z139"/>
      <c r="AA139"/>
      <c r="AB139" s="220">
        <f t="shared" si="78"/>
        <v>4.1520139005015393</v>
      </c>
      <c r="AC139" s="219"/>
      <c r="AD139" s="221">
        <f t="shared" si="79"/>
        <v>57467.04899973132</v>
      </c>
      <c r="AE139" s="219"/>
      <c r="AF139" s="220">
        <f t="shared" si="80"/>
        <v>26.319908441876944</v>
      </c>
      <c r="AG139" s="219"/>
      <c r="AH139" s="220">
        <f t="shared" si="81"/>
        <v>29.513241132402936</v>
      </c>
      <c r="AI139" s="219"/>
      <c r="AJ139">
        <v>4.58</v>
      </c>
      <c r="AK139" s="284" t="s">
        <v>8401</v>
      </c>
      <c r="AL139">
        <v>155</v>
      </c>
      <c r="AM139"/>
      <c r="AN139" s="241">
        <v>72</v>
      </c>
      <c r="AO139" s="242">
        <v>42076</v>
      </c>
      <c r="AP139" s="255">
        <v>106</v>
      </c>
      <c r="AQ139" s="242">
        <v>42110</v>
      </c>
      <c r="AR139">
        <v>131</v>
      </c>
      <c r="AS139" s="297">
        <f t="shared" si="82"/>
        <v>131</v>
      </c>
      <c r="AT139" s="290">
        <v>42135</v>
      </c>
      <c r="AU139" s="298"/>
      <c r="AV139"/>
      <c r="AW139"/>
      <c r="AX139"/>
      <c r="AY139"/>
      <c r="AZ139"/>
      <c r="BA139"/>
      <c r="BB139"/>
      <c r="BC139"/>
      <c r="BD139"/>
      <c r="BE139"/>
      <c r="BF139" s="277">
        <v>-0.22328199446201324</v>
      </c>
      <c r="BG139" s="283">
        <v>42233</v>
      </c>
      <c r="BH139"/>
      <c r="BI139"/>
      <c r="BJ139"/>
      <c r="BK139"/>
      <c r="BL139" s="277">
        <v>64.373291015625</v>
      </c>
      <c r="BM139" s="283">
        <v>42233</v>
      </c>
      <c r="BN139"/>
      <c r="BO139"/>
      <c r="BP139" s="277">
        <v>3.5242490768432617</v>
      </c>
      <c r="BQ139" s="283">
        <v>42233</v>
      </c>
      <c r="BR139" s="277">
        <v>50.601371765136719</v>
      </c>
      <c r="BS139" s="283">
        <v>42233</v>
      </c>
      <c r="BT139" s="277">
        <v>15.77518367767334</v>
      </c>
      <c r="BU139" s="283">
        <v>42233</v>
      </c>
      <c r="BV139" s="277">
        <v>17.831035614013672</v>
      </c>
      <c r="BW139" s="283">
        <v>42233</v>
      </c>
      <c r="BX139" s="277">
        <v>5.3887252807617188</v>
      </c>
      <c r="BY139" s="283">
        <v>42233</v>
      </c>
      <c r="BZ139"/>
      <c r="CB139" s="266">
        <v>2.29</v>
      </c>
      <c r="CC139"/>
      <c r="CD139" s="277">
        <v>5.0847457627118757</v>
      </c>
      <c r="CE139" s="291" t="s">
        <v>8401</v>
      </c>
      <c r="CF139"/>
      <c r="CG139"/>
      <c r="CH139">
        <v>2</v>
      </c>
      <c r="CI139">
        <v>5</v>
      </c>
      <c r="CK139"/>
      <c r="CL139" s="223">
        <v>1</v>
      </c>
      <c r="CM139" s="259">
        <v>42161</v>
      </c>
      <c r="CN139" s="137" t="s">
        <v>8406</v>
      </c>
    </row>
    <row r="140" spans="1:92">
      <c r="A140" s="258">
        <v>231</v>
      </c>
      <c r="B140" s="235">
        <v>231</v>
      </c>
      <c r="C140" s="235" t="s">
        <v>7782</v>
      </c>
      <c r="D140" s="235" t="s">
        <v>7580</v>
      </c>
      <c r="E140" s="235" t="s">
        <v>7782</v>
      </c>
      <c r="F140" s="235" t="s">
        <v>8606</v>
      </c>
      <c r="G140" s="235" t="str">
        <f t="shared" si="76"/>
        <v>Rapsodyn</v>
      </c>
      <c r="H140" s="235" t="s">
        <v>265</v>
      </c>
      <c r="I140" s="235">
        <v>1</v>
      </c>
      <c r="J140" s="235">
        <v>9153</v>
      </c>
      <c r="K140" s="235">
        <v>62</v>
      </c>
      <c r="L140" s="235">
        <f t="shared" si="68"/>
        <v>62</v>
      </c>
      <c r="M140" s="235">
        <v>4</v>
      </c>
      <c r="N140" s="235">
        <v>7</v>
      </c>
      <c r="O140" s="248">
        <v>42048</v>
      </c>
      <c r="P140">
        <v>5.0999999999999996</v>
      </c>
      <c r="Q140" s="264">
        <v>42204</v>
      </c>
      <c r="R140"/>
      <c r="S140"/>
      <c r="T140"/>
      <c r="V140" s="219">
        <f t="shared" si="77"/>
        <v>16.350057865021277</v>
      </c>
      <c r="W140" s="219"/>
      <c r="X140">
        <v>15.55</v>
      </c>
      <c r="Y140"/>
      <c r="Z140"/>
      <c r="AA140"/>
      <c r="AB140" s="220">
        <f t="shared" si="78"/>
        <v>4.8968726996249252</v>
      </c>
      <c r="AC140" s="219"/>
      <c r="AD140" s="221">
        <f t="shared" si="79"/>
        <v>70914.805776614361</v>
      </c>
      <c r="AE140" s="219"/>
      <c r="AF140" s="220">
        <f t="shared" si="80"/>
        <v>31.557088570593393</v>
      </c>
      <c r="AG140" s="219"/>
      <c r="AH140" s="220">
        <f t="shared" si="81"/>
        <v>35.385836028922846</v>
      </c>
      <c r="AI140" s="219"/>
      <c r="AJ140">
        <v>4.45</v>
      </c>
      <c r="AK140" s="284" t="s">
        <v>8398</v>
      </c>
      <c r="AL140">
        <v>165</v>
      </c>
      <c r="AM140"/>
      <c r="AN140" s="241">
        <v>70</v>
      </c>
      <c r="AO140" s="242">
        <v>42074</v>
      </c>
      <c r="AP140" s="255">
        <v>104</v>
      </c>
      <c r="AQ140" s="242">
        <v>42108</v>
      </c>
      <c r="AR140">
        <v>123</v>
      </c>
      <c r="AS140" s="297">
        <f t="shared" si="82"/>
        <v>123</v>
      </c>
      <c r="AT140" s="290">
        <v>42127</v>
      </c>
      <c r="AU140" s="298"/>
      <c r="AV140"/>
      <c r="AW140"/>
      <c r="AX140"/>
      <c r="AY140"/>
      <c r="AZ140"/>
      <c r="BA140"/>
      <c r="BB140"/>
      <c r="BC140"/>
      <c r="BD140"/>
      <c r="BE140"/>
      <c r="BF140" s="277">
        <v>-5.2497730255126953</v>
      </c>
      <c r="BG140" s="283">
        <v>42230</v>
      </c>
      <c r="BH140"/>
      <c r="BI140"/>
      <c r="BJ140"/>
      <c r="BK140"/>
      <c r="BL140" s="277">
        <v>65.648361206054688</v>
      </c>
      <c r="BM140" s="283">
        <v>42230</v>
      </c>
      <c r="BN140"/>
      <c r="BO140"/>
      <c r="BP140" s="277">
        <v>2.9291300773620605</v>
      </c>
      <c r="BQ140" s="283">
        <v>42230</v>
      </c>
      <c r="BR140" s="277">
        <v>51.811046600341797</v>
      </c>
      <c r="BS140" s="283">
        <v>42230</v>
      </c>
      <c r="BT140" s="277">
        <v>15.517504692077637</v>
      </c>
      <c r="BU140" s="283">
        <v>42230</v>
      </c>
      <c r="BV140" s="277">
        <v>17.773124694824219</v>
      </c>
      <c r="BW140" s="283">
        <v>42230</v>
      </c>
      <c r="BX140" s="277">
        <v>5.097991943359375</v>
      </c>
      <c r="BY140" s="283">
        <v>42230</v>
      </c>
      <c r="BZ140"/>
      <c r="CB140" s="266">
        <v>2.4300000000000002</v>
      </c>
      <c r="CC140"/>
      <c r="CD140" s="277">
        <v>1.8181818181818119</v>
      </c>
      <c r="CE140" s="291" t="s">
        <v>8398</v>
      </c>
      <c r="CF140"/>
      <c r="CG140"/>
      <c r="CH140">
        <v>2</v>
      </c>
      <c r="CI140">
        <v>2</v>
      </c>
      <c r="CK140"/>
      <c r="CL140" s="223">
        <v>1</v>
      </c>
      <c r="CM140" s="259">
        <v>42161</v>
      </c>
      <c r="CN140" s="137" t="s">
        <v>8406</v>
      </c>
    </row>
    <row r="141" spans="1:92">
      <c r="A141" s="258">
        <v>238</v>
      </c>
      <c r="B141" s="235">
        <v>238</v>
      </c>
      <c r="C141" s="235" t="s">
        <v>7710</v>
      </c>
      <c r="D141" s="235" t="s">
        <v>7535</v>
      </c>
      <c r="E141" s="235" t="s">
        <v>7710</v>
      </c>
      <c r="F141" s="235" t="s">
        <v>8587</v>
      </c>
      <c r="G141" s="235" t="str">
        <f t="shared" si="76"/>
        <v>Rapsodyn</v>
      </c>
      <c r="H141" s="235" t="s">
        <v>265</v>
      </c>
      <c r="I141" s="235">
        <v>1</v>
      </c>
      <c r="J141" s="235">
        <v>9092</v>
      </c>
      <c r="K141" s="235">
        <v>55</v>
      </c>
      <c r="L141" s="235">
        <f t="shared" si="68"/>
        <v>55</v>
      </c>
      <c r="M141" s="235">
        <v>4</v>
      </c>
      <c r="N141" s="235">
        <v>7</v>
      </c>
      <c r="O141" s="248">
        <v>42048</v>
      </c>
      <c r="P141">
        <v>5.35</v>
      </c>
      <c r="Q141" s="264">
        <v>42204</v>
      </c>
      <c r="R141"/>
      <c r="S141"/>
      <c r="T141"/>
      <c r="V141" s="219">
        <f t="shared" si="77"/>
        <v>17.361236133818483</v>
      </c>
      <c r="W141" s="219"/>
      <c r="X141">
        <v>15.55</v>
      </c>
      <c r="Y141"/>
      <c r="Z141"/>
      <c r="AA141"/>
      <c r="AB141" s="220">
        <f t="shared" si="78"/>
        <v>5.011996646897912</v>
      </c>
      <c r="AC141" s="219"/>
      <c r="AD141" s="221">
        <f t="shared" si="79"/>
        <v>71046.526202830064</v>
      </c>
      <c r="AE141" s="219"/>
      <c r="AF141" s="220">
        <f t="shared" si="80"/>
        <v>32.46826247469334</v>
      </c>
      <c r="AG141" s="219"/>
      <c r="AH141" s="220">
        <f t="shared" si="81"/>
        <v>36.407560523316143</v>
      </c>
      <c r="AI141" s="219"/>
      <c r="AJ141">
        <v>4.57</v>
      </c>
      <c r="AK141" s="284" t="s">
        <v>8399</v>
      </c>
      <c r="AL141">
        <v>155</v>
      </c>
      <c r="AM141"/>
      <c r="AN141" s="241">
        <v>70</v>
      </c>
      <c r="AO141" s="242">
        <v>42074</v>
      </c>
      <c r="AP141" s="255">
        <v>104</v>
      </c>
      <c r="AQ141" s="242">
        <v>42108</v>
      </c>
      <c r="AR141">
        <v>126</v>
      </c>
      <c r="AS141" s="297">
        <f t="shared" si="82"/>
        <v>126</v>
      </c>
      <c r="AT141" s="290">
        <v>42130</v>
      </c>
      <c r="AU141" s="298"/>
      <c r="AV141"/>
      <c r="AW141"/>
      <c r="AX141"/>
      <c r="AY141"/>
      <c r="AZ141"/>
      <c r="BA141"/>
      <c r="BB141"/>
      <c r="BC141"/>
      <c r="BD141"/>
      <c r="BE141"/>
      <c r="BF141" s="277">
        <v>-4.6559329032897949</v>
      </c>
      <c r="BG141" s="283">
        <v>42234</v>
      </c>
      <c r="BH141"/>
      <c r="BI141"/>
      <c r="BJ141"/>
      <c r="BK141"/>
      <c r="BL141" s="277">
        <v>68.74176025390625</v>
      </c>
      <c r="BM141" s="283">
        <v>42234</v>
      </c>
      <c r="BN141"/>
      <c r="BO141"/>
      <c r="BP141" s="277">
        <v>3.4906389713287354</v>
      </c>
      <c r="BQ141" s="283">
        <v>42234</v>
      </c>
      <c r="BR141" s="277">
        <v>53.471405029296875</v>
      </c>
      <c r="BS141" s="283">
        <v>42234</v>
      </c>
      <c r="BT141" s="277">
        <v>15.436602592468262</v>
      </c>
      <c r="BU141" s="283">
        <v>42234</v>
      </c>
      <c r="BV141" s="277">
        <v>15.488397598266602</v>
      </c>
      <c r="BW141" s="283">
        <v>42234</v>
      </c>
      <c r="BX141" s="277">
        <v>5.194610595703125</v>
      </c>
      <c r="BY141" s="283">
        <v>42234</v>
      </c>
      <c r="BZ141"/>
      <c r="CB141" s="266">
        <v>2.34</v>
      </c>
      <c r="CC141"/>
      <c r="CD141" s="277">
        <v>3.7037037037037068</v>
      </c>
      <c r="CE141" s="291" t="s">
        <v>8399</v>
      </c>
      <c r="CF141"/>
      <c r="CG141"/>
      <c r="CH141">
        <v>1</v>
      </c>
      <c r="CI141">
        <v>2</v>
      </c>
      <c r="CK141"/>
      <c r="CL141" s="223">
        <v>2</v>
      </c>
      <c r="CM141" s="259">
        <v>42161</v>
      </c>
      <c r="CN141" s="137" t="s">
        <v>8406</v>
      </c>
    </row>
    <row r="142" spans="1:92">
      <c r="A142" s="258">
        <v>239</v>
      </c>
      <c r="B142" s="235">
        <v>239</v>
      </c>
      <c r="C142" s="235" t="s">
        <v>7702</v>
      </c>
      <c r="D142" s="235" t="s">
        <v>7528</v>
      </c>
      <c r="E142" s="235" t="s">
        <v>7702</v>
      </c>
      <c r="F142" s="235" t="s">
        <v>8465</v>
      </c>
      <c r="G142" s="235" t="str">
        <f t="shared" si="76"/>
        <v>Rapsodyn</v>
      </c>
      <c r="H142" s="235" t="s">
        <v>265</v>
      </c>
      <c r="I142" s="235">
        <v>1</v>
      </c>
      <c r="J142" s="235">
        <v>9084</v>
      </c>
      <c r="K142" s="235">
        <v>54</v>
      </c>
      <c r="L142" s="235">
        <f t="shared" si="68"/>
        <v>54</v>
      </c>
      <c r="M142" s="235">
        <v>4</v>
      </c>
      <c r="N142" s="235">
        <v>7</v>
      </c>
      <c r="O142" s="248">
        <v>42048</v>
      </c>
      <c r="P142">
        <v>4.4000000000000004</v>
      </c>
      <c r="Q142" s="264">
        <v>42204</v>
      </c>
      <c r="R142"/>
      <c r="S142"/>
      <c r="T142"/>
      <c r="V142" s="219" t="s">
        <v>8379</v>
      </c>
      <c r="W142" s="219"/>
      <c r="X142">
        <v>15.55</v>
      </c>
      <c r="Y142"/>
      <c r="Z142"/>
      <c r="AA142"/>
      <c r="AB142" t="s">
        <v>8379</v>
      </c>
      <c r="AC142" t="s">
        <v>8379</v>
      </c>
      <c r="AD142" t="s">
        <v>8379</v>
      </c>
      <c r="AE142" t="s">
        <v>8379</v>
      </c>
      <c r="AF142" t="s">
        <v>8379</v>
      </c>
      <c r="AG142" t="s">
        <v>8379</v>
      </c>
      <c r="AH142" t="s">
        <v>8379</v>
      </c>
      <c r="AI142" s="219" t="s">
        <v>8379</v>
      </c>
      <c r="AJ142" t="s">
        <v>8379</v>
      </c>
      <c r="AK142" t="s">
        <v>8379</v>
      </c>
      <c r="AL142">
        <v>145</v>
      </c>
      <c r="AM142"/>
      <c r="AN142" s="241">
        <v>75</v>
      </c>
      <c r="AO142" s="242">
        <v>42079</v>
      </c>
      <c r="AP142" s="255">
        <v>110</v>
      </c>
      <c r="AQ142" s="242">
        <v>42114</v>
      </c>
      <c r="AR142">
        <v>131</v>
      </c>
      <c r="AS142" s="297">
        <f t="shared" si="82"/>
        <v>131</v>
      </c>
      <c r="AT142" s="290">
        <v>42135</v>
      </c>
      <c r="AU142" s="298"/>
      <c r="AV142"/>
      <c r="AW142"/>
      <c r="AX142"/>
      <c r="AY142"/>
      <c r="AZ142"/>
      <c r="BA142"/>
      <c r="BB142"/>
      <c r="BC142"/>
      <c r="BD142"/>
      <c r="BE142"/>
      <c r="BF142" s="219" t="s">
        <v>8379</v>
      </c>
      <c r="BG142" s="219" t="s">
        <v>8379</v>
      </c>
      <c r="BH142" s="219" t="s">
        <v>8379</v>
      </c>
      <c r="BI142" s="219" t="s">
        <v>8379</v>
      </c>
      <c r="BJ142" s="219" t="s">
        <v>8379</v>
      </c>
      <c r="BK142" s="219" t="s">
        <v>8379</v>
      </c>
      <c r="BL142" s="219" t="s">
        <v>8379</v>
      </c>
      <c r="BM142" s="219" t="s">
        <v>8379</v>
      </c>
      <c r="BN142"/>
      <c r="BO142"/>
      <c r="BP142" s="219" t="s">
        <v>8379</v>
      </c>
      <c r="BQ142" s="219" t="s">
        <v>8379</v>
      </c>
      <c r="BR142" s="219" t="s">
        <v>8379</v>
      </c>
      <c r="BS142" s="219" t="s">
        <v>8379</v>
      </c>
      <c r="BT142" s="219" t="s">
        <v>8379</v>
      </c>
      <c r="BU142" s="219" t="s">
        <v>8379</v>
      </c>
      <c r="BV142" s="219" t="s">
        <v>8379</v>
      </c>
      <c r="BW142" s="219" t="s">
        <v>8379</v>
      </c>
      <c r="BX142" s="219" t="s">
        <v>8379</v>
      </c>
      <c r="BY142" s="219" t="s">
        <v>8379</v>
      </c>
      <c r="BZ142"/>
      <c r="CB142" s="266">
        <v>1.53</v>
      </c>
      <c r="CC142"/>
      <c r="CD142" s="277" t="s">
        <v>8379</v>
      </c>
      <c r="CE142" t="s">
        <v>8379</v>
      </c>
      <c r="CF142" s="219" t="s">
        <v>8379</v>
      </c>
      <c r="CG142" s="219" t="s">
        <v>8379</v>
      </c>
      <c r="CH142">
        <v>1</v>
      </c>
      <c r="CI142">
        <v>3</v>
      </c>
      <c r="CK142"/>
      <c r="CL142" s="223">
        <v>1</v>
      </c>
      <c r="CM142" s="259">
        <v>42161</v>
      </c>
      <c r="CN142" s="137" t="s">
        <v>8406</v>
      </c>
    </row>
    <row r="143" spans="1:92">
      <c r="A143" s="258">
        <v>240</v>
      </c>
      <c r="B143" s="235">
        <v>240</v>
      </c>
      <c r="C143" s="235" t="s">
        <v>7669</v>
      </c>
      <c r="D143" s="235" t="s">
        <v>7498</v>
      </c>
      <c r="E143" s="235" t="s">
        <v>7669</v>
      </c>
      <c r="F143" s="235" t="s">
        <v>8466</v>
      </c>
      <c r="G143" s="235" t="str">
        <f t="shared" si="76"/>
        <v>Rapsodyn</v>
      </c>
      <c r="H143" s="235" t="s">
        <v>265</v>
      </c>
      <c r="I143" s="235">
        <v>1</v>
      </c>
      <c r="J143" s="235">
        <v>9051</v>
      </c>
      <c r="K143" s="235">
        <v>53</v>
      </c>
      <c r="L143" s="235">
        <f t="shared" si="68"/>
        <v>53</v>
      </c>
      <c r="M143" s="235">
        <v>4</v>
      </c>
      <c r="N143" s="235">
        <v>7</v>
      </c>
      <c r="O143" s="248">
        <v>42048</v>
      </c>
      <c r="P143">
        <v>4.3</v>
      </c>
      <c r="Q143" s="264">
        <v>42204</v>
      </c>
      <c r="R143"/>
      <c r="S143"/>
      <c r="T143"/>
      <c r="V143" s="219" t="s">
        <v>8379</v>
      </c>
      <c r="W143" s="219"/>
      <c r="X143">
        <v>15.55</v>
      </c>
      <c r="Y143"/>
      <c r="Z143"/>
      <c r="AA143"/>
      <c r="AB143" t="s">
        <v>8379</v>
      </c>
      <c r="AC143" t="s">
        <v>8379</v>
      </c>
      <c r="AD143" t="s">
        <v>8379</v>
      </c>
      <c r="AE143" t="s">
        <v>8379</v>
      </c>
      <c r="AF143" t="s">
        <v>8379</v>
      </c>
      <c r="AG143" t="s">
        <v>8379</v>
      </c>
      <c r="AH143" t="s">
        <v>8379</v>
      </c>
      <c r="AI143" s="219" t="s">
        <v>8379</v>
      </c>
      <c r="AJ143" t="s">
        <v>8379</v>
      </c>
      <c r="AK143" t="s">
        <v>8379</v>
      </c>
      <c r="AL143">
        <v>145</v>
      </c>
      <c r="AM143"/>
      <c r="AN143" s="241">
        <v>65</v>
      </c>
      <c r="AO143" s="242">
        <v>42069</v>
      </c>
      <c r="AP143" s="255">
        <v>104</v>
      </c>
      <c r="AQ143" s="242">
        <v>42108</v>
      </c>
      <c r="AR143">
        <v>125</v>
      </c>
      <c r="AS143" s="297">
        <f t="shared" si="82"/>
        <v>125</v>
      </c>
      <c r="AT143" s="290">
        <v>42129</v>
      </c>
      <c r="AU143" s="298"/>
      <c r="AV143"/>
      <c r="AW143"/>
      <c r="AX143"/>
      <c r="AY143"/>
      <c r="AZ143"/>
      <c r="BA143"/>
      <c r="BB143"/>
      <c r="BC143"/>
      <c r="BD143"/>
      <c r="BE143"/>
      <c r="BF143" s="219" t="s">
        <v>8379</v>
      </c>
      <c r="BG143" s="219" t="s">
        <v>8379</v>
      </c>
      <c r="BH143" s="219" t="s">
        <v>8379</v>
      </c>
      <c r="BI143" s="219" t="s">
        <v>8379</v>
      </c>
      <c r="BJ143" s="219" t="s">
        <v>8379</v>
      </c>
      <c r="BK143" s="219" t="s">
        <v>8379</v>
      </c>
      <c r="BL143" s="219" t="s">
        <v>8379</v>
      </c>
      <c r="BM143" s="219" t="s">
        <v>8379</v>
      </c>
      <c r="BN143"/>
      <c r="BO143"/>
      <c r="BP143" s="219" t="s">
        <v>8379</v>
      </c>
      <c r="BQ143" s="219" t="s">
        <v>8379</v>
      </c>
      <c r="BR143" s="219" t="s">
        <v>8379</v>
      </c>
      <c r="BS143" s="219" t="s">
        <v>8379</v>
      </c>
      <c r="BT143" s="219" t="s">
        <v>8379</v>
      </c>
      <c r="BU143" s="219" t="s">
        <v>8379</v>
      </c>
      <c r="BV143" s="219" t="s">
        <v>8379</v>
      </c>
      <c r="BW143" s="219" t="s">
        <v>8379</v>
      </c>
      <c r="BX143" s="219" t="s">
        <v>8379</v>
      </c>
      <c r="BY143" s="219" t="s">
        <v>8379</v>
      </c>
      <c r="BZ143"/>
      <c r="CB143" s="266">
        <v>2.34</v>
      </c>
      <c r="CC143"/>
      <c r="CD143" s="277" t="s">
        <v>8379</v>
      </c>
      <c r="CE143" t="s">
        <v>8379</v>
      </c>
      <c r="CF143" s="219" t="s">
        <v>8379</v>
      </c>
      <c r="CG143" s="219" t="s">
        <v>8379</v>
      </c>
      <c r="CH143">
        <v>1</v>
      </c>
      <c r="CI143">
        <v>2</v>
      </c>
      <c r="CK143"/>
      <c r="CL143" s="223">
        <v>1</v>
      </c>
      <c r="CM143" s="259">
        <v>42161</v>
      </c>
      <c r="CN143" s="137" t="s">
        <v>8406</v>
      </c>
    </row>
    <row r="144" spans="1:92">
      <c r="A144" s="258">
        <v>243</v>
      </c>
      <c r="B144" s="235">
        <v>243</v>
      </c>
      <c r="C144" s="235" t="s">
        <v>7576</v>
      </c>
      <c r="D144" s="235"/>
      <c r="E144" s="235"/>
      <c r="F144" s="235"/>
      <c r="G144" s="235"/>
      <c r="H144" s="235" t="s">
        <v>265</v>
      </c>
      <c r="I144" s="235">
        <v>1</v>
      </c>
      <c r="K144" s="235">
        <v>50</v>
      </c>
      <c r="L144" s="235">
        <f t="shared" si="68"/>
        <v>50</v>
      </c>
      <c r="M144" s="235">
        <v>4</v>
      </c>
      <c r="O144" s="248">
        <v>42048</v>
      </c>
      <c r="P144"/>
      <c r="Q144" s="219"/>
      <c r="R144"/>
      <c r="S144"/>
      <c r="T144"/>
      <c r="V144" s="219"/>
      <c r="W144" s="219"/>
      <c r="X144">
        <v>15.55</v>
      </c>
      <c r="Y144"/>
      <c r="Z144"/>
      <c r="AA144"/>
      <c r="AB144" s="220"/>
      <c r="AC144" s="219"/>
      <c r="AD144" s="221"/>
      <c r="AE144" s="219"/>
      <c r="AF144" s="220"/>
      <c r="AG144" s="219"/>
      <c r="AH144" s="220"/>
      <c r="AI144" s="219"/>
      <c r="AJ144" s="286"/>
      <c r="AK144" s="284"/>
      <c r="AL144"/>
      <c r="AM144"/>
      <c r="AN144" s="241">
        <v>70</v>
      </c>
      <c r="AO144" s="242">
        <v>42074</v>
      </c>
      <c r="AP144" s="255">
        <v>104</v>
      </c>
      <c r="AQ144" s="242">
        <v>42108</v>
      </c>
      <c r="AR144"/>
      <c r="AS144" s="297"/>
      <c r="AT144" s="290"/>
      <c r="AU144" s="298"/>
      <c r="AV144"/>
      <c r="AW144"/>
      <c r="AX144"/>
      <c r="AY144"/>
      <c r="AZ144"/>
      <c r="BA144"/>
      <c r="BB144"/>
      <c r="BC144"/>
      <c r="BD144"/>
      <c r="BE144"/>
      <c r="BF144" s="277"/>
      <c r="BG144" s="235"/>
      <c r="BH144"/>
      <c r="BI144"/>
      <c r="BJ144"/>
      <c r="BK144"/>
      <c r="BL144" s="277"/>
      <c r="BM144" s="235"/>
      <c r="BN144"/>
      <c r="BO144"/>
      <c r="BP144" s="277"/>
      <c r="BQ144" s="235"/>
      <c r="BR144" s="277"/>
      <c r="BS144" s="235"/>
      <c r="BT144" s="277"/>
      <c r="BU144" s="235"/>
      <c r="BV144" s="277"/>
      <c r="BW144" s="235"/>
      <c r="BX144" s="277"/>
      <c r="BY144" s="235"/>
      <c r="BZ144"/>
      <c r="CB144" s="266"/>
      <c r="CC144"/>
      <c r="CD144" s="277"/>
      <c r="CE144" s="291"/>
      <c r="CF144"/>
      <c r="CG144"/>
      <c r="CH144"/>
      <c r="CI144"/>
      <c r="CK144"/>
      <c r="CL144" s="223">
        <v>1</v>
      </c>
      <c r="CM144" s="259">
        <v>42161</v>
      </c>
    </row>
    <row r="145" spans="1:93">
      <c r="A145" s="258">
        <v>244</v>
      </c>
      <c r="B145" s="235">
        <v>244</v>
      </c>
      <c r="C145" s="235" t="s">
        <v>7576</v>
      </c>
      <c r="D145" s="235"/>
      <c r="E145" s="235"/>
      <c r="F145" s="235"/>
      <c r="G145" s="235"/>
      <c r="H145" s="235" t="s">
        <v>265</v>
      </c>
      <c r="I145" s="235">
        <v>1</v>
      </c>
      <c r="K145" s="235">
        <v>49</v>
      </c>
      <c r="L145" s="235">
        <f t="shared" si="68"/>
        <v>49</v>
      </c>
      <c r="M145" s="235">
        <v>4</v>
      </c>
      <c r="O145" s="248">
        <v>42048</v>
      </c>
      <c r="P145"/>
      <c r="Q145" s="219"/>
      <c r="R145"/>
      <c r="S145"/>
      <c r="T145"/>
      <c r="V145" s="219"/>
      <c r="W145" s="219"/>
      <c r="X145">
        <v>15.55</v>
      </c>
      <c r="Y145"/>
      <c r="Z145"/>
      <c r="AA145"/>
      <c r="AB145" s="220"/>
      <c r="AC145" s="219"/>
      <c r="AD145" s="221"/>
      <c r="AE145" s="219"/>
      <c r="AF145" s="220"/>
      <c r="AG145" s="219"/>
      <c r="AH145" s="220"/>
      <c r="AI145" s="219"/>
      <c r="AJ145" s="286"/>
      <c r="AK145" s="284"/>
      <c r="AL145"/>
      <c r="AM145"/>
      <c r="AN145" s="241">
        <v>70</v>
      </c>
      <c r="AO145" s="242">
        <v>42074</v>
      </c>
      <c r="AP145" s="255">
        <v>104</v>
      </c>
      <c r="AQ145" s="242">
        <v>42108</v>
      </c>
      <c r="AR145"/>
      <c r="AS145" s="297"/>
      <c r="AT145" s="290"/>
      <c r="AU145" s="298"/>
      <c r="AV145"/>
      <c r="AW145"/>
      <c r="AX145"/>
      <c r="AY145"/>
      <c r="AZ145"/>
      <c r="BA145"/>
      <c r="BB145"/>
      <c r="BC145"/>
      <c r="BD145"/>
      <c r="BE145"/>
      <c r="BF145" s="277"/>
      <c r="BG145" s="235"/>
      <c r="BH145"/>
      <c r="BI145"/>
      <c r="BJ145"/>
      <c r="BK145"/>
      <c r="BL145" s="277"/>
      <c r="BM145" s="235"/>
      <c r="BN145"/>
      <c r="BO145"/>
      <c r="BP145" s="277"/>
      <c r="BQ145" s="235"/>
      <c r="BR145" s="277"/>
      <c r="BS145" s="235"/>
      <c r="BT145" s="277"/>
      <c r="BU145" s="235"/>
      <c r="BV145" s="277"/>
      <c r="BW145" s="235"/>
      <c r="BX145" s="277"/>
      <c r="BY145" s="235"/>
      <c r="BZ145"/>
      <c r="CB145" s="266"/>
      <c r="CC145"/>
      <c r="CD145" s="277"/>
      <c r="CE145" s="291"/>
      <c r="CF145"/>
      <c r="CG145"/>
      <c r="CH145"/>
      <c r="CI145"/>
      <c r="CK145"/>
      <c r="CL145" s="223">
        <v>1</v>
      </c>
      <c r="CM145" s="259">
        <v>42161</v>
      </c>
    </row>
    <row r="146" spans="1:93">
      <c r="A146" s="258">
        <v>245</v>
      </c>
      <c r="B146" s="235">
        <v>245</v>
      </c>
      <c r="C146" s="235" t="s">
        <v>7795</v>
      </c>
      <c r="D146" s="235" t="s">
        <v>7593</v>
      </c>
      <c r="E146" s="235" t="s">
        <v>7795</v>
      </c>
      <c r="F146" s="235" t="s">
        <v>8488</v>
      </c>
      <c r="G146" s="235" t="str">
        <f t="shared" ref="G146:G156" si="83">IF(MID(C146,1,3)="BGA","Complement","Rapsodyn")</f>
        <v>Rapsodyn</v>
      </c>
      <c r="H146" s="235" t="s">
        <v>265</v>
      </c>
      <c r="I146" s="235">
        <v>1</v>
      </c>
      <c r="J146" s="235">
        <v>9166</v>
      </c>
      <c r="K146" s="235">
        <v>48</v>
      </c>
      <c r="L146" s="235">
        <f t="shared" si="68"/>
        <v>48</v>
      </c>
      <c r="M146" s="235">
        <v>4</v>
      </c>
      <c r="N146" s="235">
        <v>7</v>
      </c>
      <c r="O146" s="248">
        <v>42048</v>
      </c>
      <c r="P146">
        <v>5.3</v>
      </c>
      <c r="Q146" s="264">
        <v>42204</v>
      </c>
      <c r="R146"/>
      <c r="S146"/>
      <c r="T146"/>
      <c r="V146" s="219">
        <f t="shared" ref="V146:V156" si="84">+BR146*AF146/100</f>
        <v>16.489269012217175</v>
      </c>
      <c r="W146" s="219"/>
      <c r="X146">
        <v>15.55</v>
      </c>
      <c r="Y146"/>
      <c r="Z146"/>
      <c r="AA146"/>
      <c r="AB146" s="220">
        <f t="shared" ref="AB146:AB156" si="85">+AF146*BT146/100</f>
        <v>5.0645084265520914</v>
      </c>
      <c r="AC146" s="219"/>
      <c r="AD146" s="221">
        <f t="shared" ref="AD146:AD156" si="86">+(AF146/AJ146)*10000</f>
        <v>68921.115179205502</v>
      </c>
      <c r="AE146" s="219"/>
      <c r="AF146" s="220">
        <f t="shared" ref="AF146:AF156" si="87">($P146/$X146)*(((100-$CD146)/100*(100-2)/100))*100</f>
        <v>32.117239673509765</v>
      </c>
      <c r="AG146" s="219"/>
      <c r="AH146" s="220">
        <f t="shared" ref="AH146:AH156" si="88">($P146/$X146)*(((100-$CD146)/(100-9)*(100-2)/(100-2))*100)</f>
        <v>36.013948949887606</v>
      </c>
      <c r="AI146" s="219"/>
      <c r="AJ146">
        <v>4.66</v>
      </c>
      <c r="AK146" s="284" t="s">
        <v>8401</v>
      </c>
      <c r="AL146">
        <v>145</v>
      </c>
      <c r="AM146"/>
      <c r="AN146" s="241">
        <v>72</v>
      </c>
      <c r="AO146" s="242">
        <v>42076</v>
      </c>
      <c r="AP146" s="255">
        <v>104</v>
      </c>
      <c r="AQ146" s="242">
        <v>42108</v>
      </c>
      <c r="AR146">
        <v>123</v>
      </c>
      <c r="AS146" s="297">
        <f t="shared" ref="AS146:AS156" si="89">IF(AR146=0,,AR146)</f>
        <v>123</v>
      </c>
      <c r="AT146" s="290">
        <v>42127</v>
      </c>
      <c r="AU146" s="298"/>
      <c r="AV146"/>
      <c r="AW146"/>
      <c r="AX146"/>
      <c r="AY146"/>
      <c r="AZ146"/>
      <c r="BA146"/>
      <c r="BB146"/>
      <c r="BC146"/>
      <c r="BD146"/>
      <c r="BE146"/>
      <c r="BF146" s="277">
        <v>-6.9174289703369141</v>
      </c>
      <c r="BG146" s="283">
        <v>42230</v>
      </c>
      <c r="BH146"/>
      <c r="BI146"/>
      <c r="BJ146"/>
      <c r="BK146"/>
      <c r="BL146" s="277">
        <v>66.538604736328125</v>
      </c>
      <c r="BM146" s="283">
        <v>42230</v>
      </c>
      <c r="BN146"/>
      <c r="BO146"/>
      <c r="BP146" s="277">
        <v>4.1546368598937988</v>
      </c>
      <c r="BQ146" s="283">
        <v>42230</v>
      </c>
      <c r="BR146" s="277">
        <v>51.340866088867188</v>
      </c>
      <c r="BS146" s="283">
        <v>42230</v>
      </c>
      <c r="BT146" s="277">
        <v>15.768815994262695</v>
      </c>
      <c r="BU146" s="283">
        <v>42230</v>
      </c>
      <c r="BV146" s="277">
        <v>10.836872100830078</v>
      </c>
      <c r="BW146" s="283">
        <v>42230</v>
      </c>
      <c r="BX146" s="277">
        <v>5.5383987426757812</v>
      </c>
      <c r="BY146" s="283">
        <v>42230</v>
      </c>
      <c r="BZ146"/>
      <c r="CB146" s="266">
        <v>1.54</v>
      </c>
      <c r="CC146"/>
      <c r="CD146" s="277">
        <v>3.8461538461538494</v>
      </c>
      <c r="CE146" s="291" t="s">
        <v>8401</v>
      </c>
      <c r="CF146"/>
      <c r="CG146"/>
      <c r="CH146">
        <v>2</v>
      </c>
      <c r="CI146">
        <v>3</v>
      </c>
      <c r="CK146"/>
      <c r="CL146" s="223">
        <v>1</v>
      </c>
      <c r="CM146" s="259">
        <v>42161</v>
      </c>
      <c r="CN146" s="137" t="s">
        <v>8406</v>
      </c>
    </row>
    <row r="147" spans="1:93">
      <c r="A147" s="258">
        <v>247</v>
      </c>
      <c r="B147" s="235">
        <v>247</v>
      </c>
      <c r="C147" s="235" t="s">
        <v>7672</v>
      </c>
      <c r="D147" s="235" t="s">
        <v>7501</v>
      </c>
      <c r="E147" s="235" t="s">
        <v>7672</v>
      </c>
      <c r="F147" s="235" t="s">
        <v>8528</v>
      </c>
      <c r="G147" s="235" t="str">
        <f t="shared" si="83"/>
        <v>Rapsodyn</v>
      </c>
      <c r="H147" s="235" t="s">
        <v>265</v>
      </c>
      <c r="I147" s="235">
        <v>1</v>
      </c>
      <c r="J147" s="235">
        <v>9054</v>
      </c>
      <c r="K147" s="235">
        <v>46</v>
      </c>
      <c r="L147" s="235">
        <f t="shared" si="68"/>
        <v>46</v>
      </c>
      <c r="M147" s="235">
        <v>4</v>
      </c>
      <c r="N147" s="235">
        <v>7</v>
      </c>
      <c r="O147" s="248">
        <v>42048</v>
      </c>
      <c r="P147">
        <v>4.25</v>
      </c>
      <c r="Q147" s="264">
        <v>42204</v>
      </c>
      <c r="R147"/>
      <c r="S147"/>
      <c r="T147"/>
      <c r="V147" s="219">
        <f t="shared" si="84"/>
        <v>12.620823073356769</v>
      </c>
      <c r="W147" s="219"/>
      <c r="X147">
        <v>15.55</v>
      </c>
      <c r="Y147"/>
      <c r="Z147"/>
      <c r="AA147"/>
      <c r="AB147" s="220">
        <f t="shared" si="85"/>
        <v>4.2434486697427864</v>
      </c>
      <c r="AC147" s="219"/>
      <c r="AD147" s="221">
        <f t="shared" si="86"/>
        <v>50335.574525292628</v>
      </c>
      <c r="AE147" s="219"/>
      <c r="AF147" s="220">
        <f t="shared" si="87"/>
        <v>25.268458411696898</v>
      </c>
      <c r="AG147" s="219"/>
      <c r="AH147" s="220">
        <f t="shared" si="88"/>
        <v>28.334221138929021</v>
      </c>
      <c r="AI147" s="219"/>
      <c r="AJ147">
        <v>5.0199999999999996</v>
      </c>
      <c r="AK147" s="284" t="s">
        <v>8400</v>
      </c>
      <c r="AL147">
        <v>200</v>
      </c>
      <c r="AM147"/>
      <c r="AN147" s="241">
        <v>65</v>
      </c>
      <c r="AO147" s="242">
        <v>42069</v>
      </c>
      <c r="AP147" s="255">
        <v>106</v>
      </c>
      <c r="AQ147" s="242">
        <v>42110</v>
      </c>
      <c r="AR147">
        <v>131</v>
      </c>
      <c r="AS147" s="297">
        <f t="shared" si="89"/>
        <v>131</v>
      </c>
      <c r="AT147" s="290">
        <v>42135</v>
      </c>
      <c r="AU147" s="298"/>
      <c r="AV147"/>
      <c r="AW147"/>
      <c r="AX147"/>
      <c r="AY147"/>
      <c r="AZ147"/>
      <c r="BA147"/>
      <c r="BB147"/>
      <c r="BC147"/>
      <c r="BD147"/>
      <c r="BE147"/>
      <c r="BF147" s="277">
        <v>5.5473427772521973</v>
      </c>
      <c r="BG147" s="283">
        <v>42234</v>
      </c>
      <c r="BH147"/>
      <c r="BI147"/>
      <c r="BJ147"/>
      <c r="BK147"/>
      <c r="BL147" s="277">
        <v>61.715805053710937</v>
      </c>
      <c r="BM147" s="283">
        <v>42234</v>
      </c>
      <c r="BN147"/>
      <c r="BO147"/>
      <c r="BP147" s="277">
        <v>3.093329906463623</v>
      </c>
      <c r="BQ147" s="283">
        <v>42234</v>
      </c>
      <c r="BR147" s="277">
        <v>49.946945190429688</v>
      </c>
      <c r="BS147" s="283">
        <v>42234</v>
      </c>
      <c r="BT147" s="277">
        <v>16.793460845947266</v>
      </c>
      <c r="BU147" s="283">
        <v>42234</v>
      </c>
      <c r="BV147" s="277">
        <v>17.267009735107422</v>
      </c>
      <c r="BW147" s="283">
        <v>42234</v>
      </c>
      <c r="BX147" s="277">
        <v>5.3760757446289062</v>
      </c>
      <c r="BY147" s="283">
        <v>42234</v>
      </c>
      <c r="BZ147"/>
      <c r="CB147" s="266">
        <v>1.98</v>
      </c>
      <c r="CC147"/>
      <c r="CD147" s="277">
        <v>5.660377358490563</v>
      </c>
      <c r="CE147" s="291" t="s">
        <v>8400</v>
      </c>
      <c r="CF147"/>
      <c r="CG147"/>
      <c r="CH147">
        <v>2</v>
      </c>
      <c r="CI147">
        <v>3</v>
      </c>
      <c r="CK147"/>
      <c r="CL147" s="223">
        <v>1</v>
      </c>
      <c r="CM147" s="259">
        <v>42161</v>
      </c>
      <c r="CN147" s="137" t="s">
        <v>8406</v>
      </c>
    </row>
    <row r="148" spans="1:93">
      <c r="A148" s="258">
        <v>248</v>
      </c>
      <c r="B148" s="235">
        <v>248</v>
      </c>
      <c r="C148" s="235" t="s">
        <v>7784</v>
      </c>
      <c r="D148" s="235" t="s">
        <v>7582</v>
      </c>
      <c r="E148" s="235" t="s">
        <v>7784</v>
      </c>
      <c r="F148" s="235" t="s">
        <v>8429</v>
      </c>
      <c r="G148" s="235" t="str">
        <f t="shared" si="83"/>
        <v>Rapsodyn</v>
      </c>
      <c r="H148" s="235" t="s">
        <v>265</v>
      </c>
      <c r="I148" s="235">
        <v>1</v>
      </c>
      <c r="J148" s="235">
        <v>9155</v>
      </c>
      <c r="K148" s="235">
        <v>45</v>
      </c>
      <c r="L148" s="235">
        <f t="shared" si="68"/>
        <v>45</v>
      </c>
      <c r="M148" s="235">
        <v>4</v>
      </c>
      <c r="N148" s="235">
        <v>7</v>
      </c>
      <c r="O148" s="248">
        <v>42048</v>
      </c>
      <c r="P148">
        <v>6.15</v>
      </c>
      <c r="Q148" s="264">
        <v>42204</v>
      </c>
      <c r="R148"/>
      <c r="S148"/>
      <c r="T148"/>
      <c r="V148" s="219">
        <f t="shared" si="84"/>
        <v>19.233274425550938</v>
      </c>
      <c r="W148" s="219"/>
      <c r="X148">
        <v>15.55</v>
      </c>
      <c r="Y148"/>
      <c r="Z148"/>
      <c r="AA148"/>
      <c r="AB148" s="220">
        <f t="shared" si="85"/>
        <v>5.4125754061459972</v>
      </c>
      <c r="AC148" s="219"/>
      <c r="AD148" s="221">
        <f t="shared" si="86"/>
        <v>82073.607594760819</v>
      </c>
      <c r="AE148" s="219"/>
      <c r="AF148" s="220">
        <f t="shared" si="87"/>
        <v>36.522755379668567</v>
      </c>
      <c r="AG148" s="219"/>
      <c r="AH148" s="220">
        <f t="shared" si="88"/>
        <v>40.953975532258994</v>
      </c>
      <c r="AI148" s="219"/>
      <c r="AJ148">
        <v>4.45</v>
      </c>
      <c r="AK148" s="284" t="s">
        <v>8400</v>
      </c>
      <c r="AL148">
        <v>165</v>
      </c>
      <c r="AM148"/>
      <c r="AN148" s="241">
        <v>70</v>
      </c>
      <c r="AO148" s="242">
        <v>42074</v>
      </c>
      <c r="AP148" s="255">
        <v>106</v>
      </c>
      <c r="AQ148" s="242">
        <v>42110</v>
      </c>
      <c r="AR148">
        <v>131</v>
      </c>
      <c r="AS148" s="297">
        <f t="shared" si="89"/>
        <v>131</v>
      </c>
      <c r="AT148" s="290">
        <v>42135</v>
      </c>
      <c r="AU148" s="298"/>
      <c r="AV148"/>
      <c r="AW148"/>
      <c r="AX148"/>
      <c r="AY148"/>
      <c r="AZ148"/>
      <c r="BA148"/>
      <c r="BB148"/>
      <c r="BC148"/>
      <c r="BD148"/>
      <c r="BE148"/>
      <c r="BF148" s="277">
        <v>-4.3752918243408203</v>
      </c>
      <c r="BG148" s="283">
        <v>42234</v>
      </c>
      <c r="BH148"/>
      <c r="BI148"/>
      <c r="BJ148"/>
      <c r="BK148"/>
      <c r="BL148" s="277">
        <v>67.163009643554687</v>
      </c>
      <c r="BM148" s="283">
        <v>42234</v>
      </c>
      <c r="BN148"/>
      <c r="BO148"/>
      <c r="BP148" s="277">
        <v>2.9275259971618652</v>
      </c>
      <c r="BQ148" s="283">
        <v>42234</v>
      </c>
      <c r="BR148" s="277">
        <v>52.66107177734375</v>
      </c>
      <c r="BS148" s="283">
        <v>42234</v>
      </c>
      <c r="BT148" s="277">
        <v>14.819734573364258</v>
      </c>
      <c r="BU148" s="283">
        <v>42234</v>
      </c>
      <c r="BV148" s="277">
        <v>10.587577819824219</v>
      </c>
      <c r="BW148" s="283">
        <v>42234</v>
      </c>
      <c r="BX148" s="277">
        <v>5.2084808349609375</v>
      </c>
      <c r="BY148" s="283">
        <v>42234</v>
      </c>
      <c r="BZ148"/>
      <c r="CB148" s="266">
        <v>2.4300000000000002</v>
      </c>
      <c r="CC148"/>
      <c r="CD148" s="277">
        <v>5.7692307692307656</v>
      </c>
      <c r="CE148" s="291" t="s">
        <v>8400</v>
      </c>
      <c r="CF148"/>
      <c r="CG148"/>
      <c r="CH148">
        <v>2</v>
      </c>
      <c r="CI148">
        <v>3</v>
      </c>
      <c r="CK148"/>
      <c r="CL148" s="223">
        <v>1</v>
      </c>
      <c r="CM148" s="259">
        <v>42161</v>
      </c>
      <c r="CN148" s="137" t="s">
        <v>8406</v>
      </c>
    </row>
    <row r="149" spans="1:93">
      <c r="A149" s="258">
        <v>249</v>
      </c>
      <c r="B149" s="235">
        <v>249</v>
      </c>
      <c r="C149" s="235" t="s">
        <v>7660</v>
      </c>
      <c r="D149" s="235" t="s">
        <v>7490</v>
      </c>
      <c r="E149" s="235" t="s">
        <v>7660</v>
      </c>
      <c r="F149" s="235" t="s">
        <v>8454</v>
      </c>
      <c r="G149" s="235" t="str">
        <f t="shared" si="83"/>
        <v>Rapsodyn</v>
      </c>
      <c r="H149" s="235" t="s">
        <v>265</v>
      </c>
      <c r="I149" s="235">
        <v>1</v>
      </c>
      <c r="J149" s="235">
        <v>9043</v>
      </c>
      <c r="K149" s="235">
        <v>44</v>
      </c>
      <c r="L149" s="235">
        <f t="shared" si="68"/>
        <v>44</v>
      </c>
      <c r="M149" s="235">
        <v>4</v>
      </c>
      <c r="N149" s="235">
        <v>7</v>
      </c>
      <c r="O149" s="248">
        <v>42048</v>
      </c>
      <c r="P149" s="223">
        <v>4.9000000000000004</v>
      </c>
      <c r="Q149" s="264">
        <v>42204</v>
      </c>
      <c r="R149" s="223"/>
      <c r="S149" s="223"/>
      <c r="T149" s="223"/>
      <c r="U149" s="225"/>
      <c r="V149" s="219">
        <f t="shared" si="84"/>
        <v>15.229529409873003</v>
      </c>
      <c r="W149" s="224"/>
      <c r="X149">
        <v>15.55</v>
      </c>
      <c r="Y149" s="223"/>
      <c r="Z149" s="223"/>
      <c r="AA149" s="223"/>
      <c r="AB149" s="220">
        <f t="shared" si="85"/>
        <v>4.6388798370316735</v>
      </c>
      <c r="AC149" s="224"/>
      <c r="AD149" s="221">
        <f t="shared" si="86"/>
        <v>69366.159515238731</v>
      </c>
      <c r="AE149" s="224"/>
      <c r="AF149" s="220">
        <f t="shared" si="87"/>
        <v>29.758082432037419</v>
      </c>
      <c r="AG149" s="224"/>
      <c r="AH149" s="220">
        <f t="shared" si="88"/>
        <v>33.368560699750404</v>
      </c>
      <c r="AI149" s="224"/>
      <c r="AJ149">
        <v>4.29</v>
      </c>
      <c r="AK149" s="290" t="s">
        <v>8403</v>
      </c>
      <c r="AL149" s="223">
        <v>165</v>
      </c>
      <c r="AM149" s="223"/>
      <c r="AN149" s="241">
        <v>70</v>
      </c>
      <c r="AO149" s="242">
        <v>42074</v>
      </c>
      <c r="AP149" s="255">
        <v>106</v>
      </c>
      <c r="AQ149" s="242">
        <v>42110</v>
      </c>
      <c r="AR149" s="223">
        <v>131</v>
      </c>
      <c r="AS149" s="297">
        <f t="shared" si="89"/>
        <v>131</v>
      </c>
      <c r="AT149" s="290">
        <v>42135</v>
      </c>
      <c r="AU149" s="298"/>
      <c r="AV149" s="223"/>
      <c r="AW149" s="223"/>
      <c r="AX149" s="223"/>
      <c r="AY149" s="223"/>
      <c r="AZ149" s="223"/>
      <c r="BA149" s="223"/>
      <c r="BB149" s="223"/>
      <c r="BC149" s="223"/>
      <c r="BD149" s="223"/>
      <c r="BE149" s="223"/>
      <c r="BF149" s="281">
        <v>-6.1117568016052246</v>
      </c>
      <c r="BG149" s="283">
        <v>42230</v>
      </c>
      <c r="BH149" s="223"/>
      <c r="BI149" s="223"/>
      <c r="BJ149" s="223"/>
      <c r="BK149" s="223"/>
      <c r="BL149" s="281">
        <v>63.940528869628906</v>
      </c>
      <c r="BM149" s="283">
        <v>42230</v>
      </c>
      <c r="BN149" s="223"/>
      <c r="BO149" s="223"/>
      <c r="BP149" s="281">
        <v>4.020355224609375</v>
      </c>
      <c r="BQ149" s="283">
        <v>42230</v>
      </c>
      <c r="BR149" s="281">
        <v>51.177791595458984</v>
      </c>
      <c r="BS149" s="283">
        <v>42230</v>
      </c>
      <c r="BT149" s="281">
        <v>15.588638305664063</v>
      </c>
      <c r="BU149" s="283">
        <v>42230</v>
      </c>
      <c r="BV149" s="281">
        <v>10.399147033691406</v>
      </c>
      <c r="BW149" s="283">
        <v>42230</v>
      </c>
      <c r="BX149" s="281">
        <v>5.2621536254882812</v>
      </c>
      <c r="BY149" s="283">
        <v>42230</v>
      </c>
      <c r="BZ149" s="223"/>
      <c r="CA149" s="226"/>
      <c r="CB149" s="266">
        <v>1.85</v>
      </c>
      <c r="CC149" s="223"/>
      <c r="CD149" s="281">
        <v>3.6363636363636398</v>
      </c>
      <c r="CE149" s="291" t="s">
        <v>8403</v>
      </c>
      <c r="CF149" s="223"/>
      <c r="CG149" s="223"/>
      <c r="CH149" s="223">
        <v>1</v>
      </c>
      <c r="CI149" s="223">
        <v>4</v>
      </c>
      <c r="CK149" s="223"/>
      <c r="CL149" s="223">
        <v>1</v>
      </c>
      <c r="CM149" s="259">
        <v>42161</v>
      </c>
      <c r="CN149" s="137" t="s">
        <v>8406</v>
      </c>
    </row>
    <row r="150" spans="1:93">
      <c r="A150" s="258">
        <v>251</v>
      </c>
      <c r="B150" s="235">
        <v>251</v>
      </c>
      <c r="C150" s="235" t="s">
        <v>7768</v>
      </c>
      <c r="D150" s="235" t="s">
        <v>7844</v>
      </c>
      <c r="E150" s="235" t="s">
        <v>7768</v>
      </c>
      <c r="F150" s="235" t="s">
        <v>8481</v>
      </c>
      <c r="G150" s="235" t="str">
        <f t="shared" si="83"/>
        <v>Rapsodyn</v>
      </c>
      <c r="H150" s="235" t="s">
        <v>265</v>
      </c>
      <c r="I150" s="235">
        <v>1</v>
      </c>
      <c r="J150" s="235">
        <v>9139</v>
      </c>
      <c r="K150" s="235">
        <v>42</v>
      </c>
      <c r="L150" s="235">
        <f t="shared" si="68"/>
        <v>42</v>
      </c>
      <c r="M150" s="235">
        <v>4</v>
      </c>
      <c r="N150" s="235">
        <v>7</v>
      </c>
      <c r="O150" s="248">
        <v>42048</v>
      </c>
      <c r="P150">
        <v>5.3</v>
      </c>
      <c r="Q150" s="264">
        <v>42204</v>
      </c>
      <c r="R150"/>
      <c r="S150"/>
      <c r="T150"/>
      <c r="V150" s="219">
        <f t="shared" si="84"/>
        <v>16.505558793537102</v>
      </c>
      <c r="W150" s="219"/>
      <c r="X150">
        <v>15.55</v>
      </c>
      <c r="Y150"/>
      <c r="Z150"/>
      <c r="AA150"/>
      <c r="AB150" s="220">
        <f t="shared" si="85"/>
        <v>5.0249561790638015</v>
      </c>
      <c r="AC150" s="219"/>
      <c r="AD150" s="221">
        <f t="shared" si="86"/>
        <v>64219.935691318322</v>
      </c>
      <c r="AE150" s="219"/>
      <c r="AF150" s="220">
        <f t="shared" si="87"/>
        <v>32.141479099678449</v>
      </c>
      <c r="AG150" s="219"/>
      <c r="AH150" s="220">
        <f t="shared" si="88"/>
        <v>36.041129288717713</v>
      </c>
      <c r="AI150" s="219"/>
      <c r="AJ150" s="288">
        <v>5.0049067713444551</v>
      </c>
      <c r="AK150" s="284" t="s">
        <v>8403</v>
      </c>
      <c r="AL150">
        <v>165</v>
      </c>
      <c r="AM150"/>
      <c r="AN150" s="241">
        <v>65</v>
      </c>
      <c r="AO150" s="242">
        <v>42069</v>
      </c>
      <c r="AP150" s="255">
        <v>106</v>
      </c>
      <c r="AQ150" s="242">
        <v>42110</v>
      </c>
      <c r="AR150">
        <v>127</v>
      </c>
      <c r="AS150" s="297">
        <f t="shared" si="89"/>
        <v>127</v>
      </c>
      <c r="AT150" s="290">
        <v>42131</v>
      </c>
      <c r="AU150" s="298"/>
      <c r="AV150"/>
      <c r="AW150"/>
      <c r="AX150"/>
      <c r="AY150"/>
      <c r="AZ150"/>
      <c r="BA150"/>
      <c r="BB150"/>
      <c r="BC150"/>
      <c r="BD150"/>
      <c r="BE150"/>
      <c r="BF150" s="277">
        <v>-4.9939517974853516</v>
      </c>
      <c r="BG150" s="283">
        <v>42233</v>
      </c>
      <c r="BH150"/>
      <c r="BI150"/>
      <c r="BJ150"/>
      <c r="BK150"/>
      <c r="BL150" s="277">
        <v>65.366104125976562</v>
      </c>
      <c r="BM150" s="283">
        <v>42233</v>
      </c>
      <c r="BN150"/>
      <c r="BO150"/>
      <c r="BP150" s="277">
        <v>3.7014389038085938</v>
      </c>
      <c r="BQ150" s="283">
        <v>42233</v>
      </c>
      <c r="BR150" s="277">
        <v>51.352828979492188</v>
      </c>
      <c r="BS150" s="283">
        <v>42233</v>
      </c>
      <c r="BT150" s="277">
        <v>15.633867263793945</v>
      </c>
      <c r="BU150" s="283">
        <v>42233</v>
      </c>
      <c r="BV150" s="277">
        <v>14.610872268676758</v>
      </c>
      <c r="BW150" s="283">
        <v>42233</v>
      </c>
      <c r="BX150" s="277">
        <v>5.2820587158203125</v>
      </c>
      <c r="BY150" s="283">
        <v>42233</v>
      </c>
      <c r="BZ150"/>
      <c r="CB150" s="266">
        <v>1.92</v>
      </c>
      <c r="CC150"/>
      <c r="CD150" s="277">
        <v>3.7735849056603805</v>
      </c>
      <c r="CE150" s="291" t="s">
        <v>8403</v>
      </c>
      <c r="CF150"/>
      <c r="CG150"/>
      <c r="CH150">
        <v>2</v>
      </c>
      <c r="CI150">
        <v>2</v>
      </c>
      <c r="CK150"/>
      <c r="CL150" s="223">
        <v>1</v>
      </c>
      <c r="CM150" s="259">
        <v>42161</v>
      </c>
      <c r="CN150" s="137" t="s">
        <v>8406</v>
      </c>
    </row>
    <row r="151" spans="1:93">
      <c r="A151" s="258">
        <v>255</v>
      </c>
      <c r="B151" s="235">
        <v>255</v>
      </c>
      <c r="C151" s="235" t="s">
        <v>7697</v>
      </c>
      <c r="D151" s="235" t="s">
        <v>7523</v>
      </c>
      <c r="E151" s="235" t="s">
        <v>7697</v>
      </c>
      <c r="F151" s="235" t="s">
        <v>8533</v>
      </c>
      <c r="G151" s="235" t="str">
        <f t="shared" si="83"/>
        <v>Rapsodyn</v>
      </c>
      <c r="H151" s="235" t="s">
        <v>265</v>
      </c>
      <c r="I151" s="235">
        <v>1</v>
      </c>
      <c r="J151" s="235">
        <v>9079</v>
      </c>
      <c r="K151" s="235">
        <v>38</v>
      </c>
      <c r="L151" s="235">
        <f t="shared" si="68"/>
        <v>38</v>
      </c>
      <c r="M151" s="235">
        <v>4</v>
      </c>
      <c r="N151" s="235">
        <v>9</v>
      </c>
      <c r="O151" s="248">
        <v>42048</v>
      </c>
      <c r="P151">
        <v>3.8</v>
      </c>
      <c r="Q151" s="264">
        <v>42204</v>
      </c>
      <c r="R151"/>
      <c r="S151"/>
      <c r="T151"/>
      <c r="V151" s="219">
        <f t="shared" si="84"/>
        <v>11.490808373242949</v>
      </c>
      <c r="W151" s="219"/>
      <c r="X151">
        <v>15.55</v>
      </c>
      <c r="Y151"/>
      <c r="Z151"/>
      <c r="AA151"/>
      <c r="AB151" s="220">
        <f t="shared" si="85"/>
        <v>3.9663355645937641</v>
      </c>
      <c r="AC151" s="219"/>
      <c r="AD151" s="221">
        <f t="shared" si="86"/>
        <v>51286.091002789057</v>
      </c>
      <c r="AE151" s="219"/>
      <c r="AF151" s="220">
        <f t="shared" si="87"/>
        <v>23.027454860252288</v>
      </c>
      <c r="AG151" s="219"/>
      <c r="AH151" s="220">
        <f t="shared" si="88"/>
        <v>25.821321888598661</v>
      </c>
      <c r="AI151" s="219"/>
      <c r="AJ151">
        <v>4.49</v>
      </c>
      <c r="AK151" s="284" t="s">
        <v>8398</v>
      </c>
      <c r="AL151">
        <v>165</v>
      </c>
      <c r="AM151"/>
      <c r="AN151" s="241">
        <v>65</v>
      </c>
      <c r="AO151" s="242">
        <v>42069</v>
      </c>
      <c r="AP151" s="255">
        <v>106</v>
      </c>
      <c r="AQ151" s="242">
        <v>42110</v>
      </c>
      <c r="AR151">
        <v>127</v>
      </c>
      <c r="AS151" s="297">
        <f t="shared" si="89"/>
        <v>127</v>
      </c>
      <c r="AT151" s="290">
        <v>42131</v>
      </c>
      <c r="AU151" s="298"/>
      <c r="AV151"/>
      <c r="AW151"/>
      <c r="AX151"/>
      <c r="AY151"/>
      <c r="AZ151"/>
      <c r="BA151"/>
      <c r="BB151"/>
      <c r="BC151"/>
      <c r="BD151"/>
      <c r="BE151"/>
      <c r="BF151" s="277">
        <v>-2.2988379001617432</v>
      </c>
      <c r="BG151" s="283">
        <v>42233</v>
      </c>
      <c r="BH151"/>
      <c r="BI151"/>
      <c r="BJ151"/>
      <c r="BK151"/>
      <c r="BL151" s="277">
        <v>64.291610717773438</v>
      </c>
      <c r="BM151" s="283">
        <v>42233</v>
      </c>
      <c r="BN151"/>
      <c r="BO151"/>
      <c r="BP151" s="277">
        <v>3.425900936126709</v>
      </c>
      <c r="BQ151" s="283">
        <v>42233</v>
      </c>
      <c r="BR151" s="277">
        <v>49.900470733642578</v>
      </c>
      <c r="BS151" s="283">
        <v>42233</v>
      </c>
      <c r="BT151" s="277">
        <v>17.224376678466797</v>
      </c>
      <c r="BU151" s="283">
        <v>42233</v>
      </c>
      <c r="BV151" s="277">
        <v>19.12188720703125</v>
      </c>
      <c r="BW151" s="283">
        <v>42233</v>
      </c>
      <c r="BX151" s="277">
        <v>5.4790725708007812</v>
      </c>
      <c r="BY151" s="283">
        <v>42233</v>
      </c>
      <c r="BZ151"/>
      <c r="CB151" s="266">
        <v>1.79</v>
      </c>
      <c r="CC151"/>
      <c r="CD151" s="277">
        <v>3.8461538461538494</v>
      </c>
      <c r="CE151" s="291" t="s">
        <v>8398</v>
      </c>
      <c r="CF151"/>
      <c r="CG151"/>
      <c r="CH151">
        <v>2</v>
      </c>
      <c r="CI151">
        <v>2</v>
      </c>
      <c r="CK151"/>
      <c r="CL151" s="223">
        <v>2</v>
      </c>
      <c r="CM151" s="259">
        <v>42161</v>
      </c>
      <c r="CN151" s="137" t="s">
        <v>8406</v>
      </c>
    </row>
    <row r="152" spans="1:93">
      <c r="A152" s="258">
        <v>257</v>
      </c>
      <c r="B152" s="235">
        <v>257</v>
      </c>
      <c r="C152" s="235" t="s">
        <v>7732</v>
      </c>
      <c r="D152" s="235" t="s">
        <v>7555</v>
      </c>
      <c r="E152" s="235" t="s">
        <v>7732</v>
      </c>
      <c r="F152" s="235" t="s">
        <v>8554</v>
      </c>
      <c r="G152" s="235" t="str">
        <f t="shared" si="83"/>
        <v>Rapsodyn</v>
      </c>
      <c r="H152" s="235" t="s">
        <v>265</v>
      </c>
      <c r="I152" s="235">
        <v>1</v>
      </c>
      <c r="J152" s="235">
        <v>9113</v>
      </c>
      <c r="K152" s="235">
        <v>36</v>
      </c>
      <c r="L152" s="235">
        <f t="shared" si="68"/>
        <v>36</v>
      </c>
      <c r="M152" s="235">
        <v>4</v>
      </c>
      <c r="N152" s="235">
        <v>7</v>
      </c>
      <c r="O152" s="248">
        <v>42048</v>
      </c>
      <c r="P152">
        <v>4.5</v>
      </c>
      <c r="Q152" s="264">
        <v>42204</v>
      </c>
      <c r="R152"/>
      <c r="S152"/>
      <c r="T152"/>
      <c r="V152" s="219">
        <f t="shared" si="84"/>
        <v>13.578005797585813</v>
      </c>
      <c r="W152" s="219"/>
      <c r="X152">
        <v>15.55</v>
      </c>
      <c r="Y152"/>
      <c r="Z152"/>
      <c r="AA152"/>
      <c r="AB152" s="220">
        <f t="shared" si="85"/>
        <v>4.2532174686748867</v>
      </c>
      <c r="AC152" s="219"/>
      <c r="AD152" s="221">
        <f t="shared" si="86"/>
        <v>62628.182445410399</v>
      </c>
      <c r="AE152" s="219"/>
      <c r="AF152" s="220">
        <f t="shared" si="87"/>
        <v>26.867490269081063</v>
      </c>
      <c r="AG152" s="219"/>
      <c r="AH152" s="220">
        <f t="shared" si="88"/>
        <v>30.127259776946698</v>
      </c>
      <c r="AI152" s="219"/>
      <c r="AJ152">
        <v>4.29</v>
      </c>
      <c r="AK152" s="284" t="s">
        <v>8402</v>
      </c>
      <c r="AL152">
        <v>165</v>
      </c>
      <c r="AM152"/>
      <c r="AN152" s="241">
        <v>72</v>
      </c>
      <c r="AO152" s="242">
        <v>42076</v>
      </c>
      <c r="AP152" s="255">
        <v>106</v>
      </c>
      <c r="AQ152" s="242">
        <v>42110</v>
      </c>
      <c r="AR152">
        <v>131</v>
      </c>
      <c r="AS152" s="297">
        <f t="shared" si="89"/>
        <v>131</v>
      </c>
      <c r="AT152" s="290">
        <v>42135</v>
      </c>
      <c r="AU152" s="298"/>
      <c r="AV152"/>
      <c r="AW152"/>
      <c r="AX152"/>
      <c r="AY152"/>
      <c r="AZ152"/>
      <c r="BA152"/>
      <c r="BB152"/>
      <c r="BC152"/>
      <c r="BD152"/>
      <c r="BE152"/>
      <c r="BF152" s="277">
        <v>-2.6958200931549072</v>
      </c>
      <c r="BG152" s="283">
        <v>42233</v>
      </c>
      <c r="BH152"/>
      <c r="BI152"/>
      <c r="BJ152"/>
      <c r="BK152"/>
      <c r="BL152" s="277">
        <v>61.191600799560547</v>
      </c>
      <c r="BM152" s="283">
        <v>42233</v>
      </c>
      <c r="BN152"/>
      <c r="BO152"/>
      <c r="BP152" s="277">
        <v>3.690040111541748</v>
      </c>
      <c r="BQ152" s="283">
        <v>42233</v>
      </c>
      <c r="BR152" s="277">
        <v>50.536933898925781</v>
      </c>
      <c r="BS152" s="283">
        <v>42233</v>
      </c>
      <c r="BT152" s="277">
        <v>15.830348968505859</v>
      </c>
      <c r="BU152" s="283">
        <v>42233</v>
      </c>
      <c r="BV152" s="277">
        <v>13.332478523254395</v>
      </c>
      <c r="BW152" s="283">
        <v>42233</v>
      </c>
      <c r="BX152" s="277">
        <v>5.1617202758789062</v>
      </c>
      <c r="BY152" s="283">
        <v>42233</v>
      </c>
      <c r="BZ152"/>
      <c r="CB152" s="266">
        <v>1.62</v>
      </c>
      <c r="CC152"/>
      <c r="CD152" s="277">
        <v>5.2631578947368389</v>
      </c>
      <c r="CE152" s="291" t="s">
        <v>8402</v>
      </c>
      <c r="CF152"/>
      <c r="CG152"/>
      <c r="CH152">
        <v>1</v>
      </c>
      <c r="CI152">
        <v>7</v>
      </c>
      <c r="CK152"/>
      <c r="CL152" s="223">
        <v>1</v>
      </c>
      <c r="CM152" s="259">
        <v>42161</v>
      </c>
      <c r="CO152" s="137" t="s">
        <v>8405</v>
      </c>
    </row>
    <row r="153" spans="1:93">
      <c r="A153" s="258">
        <v>258</v>
      </c>
      <c r="B153" s="235">
        <v>258</v>
      </c>
      <c r="C153" s="235" t="s">
        <v>7661</v>
      </c>
      <c r="D153" s="235" t="s">
        <v>7491</v>
      </c>
      <c r="E153" s="235" t="s">
        <v>7661</v>
      </c>
      <c r="F153" s="235" t="s">
        <v>8445</v>
      </c>
      <c r="G153" s="235" t="str">
        <f t="shared" si="83"/>
        <v>Rapsodyn</v>
      </c>
      <c r="H153" s="235" t="s">
        <v>265</v>
      </c>
      <c r="I153" s="235">
        <v>1</v>
      </c>
      <c r="J153" s="235">
        <v>9044</v>
      </c>
      <c r="K153" s="235">
        <v>35</v>
      </c>
      <c r="L153" s="235">
        <f t="shared" ref="L153:L196" si="90">K153</f>
        <v>35</v>
      </c>
      <c r="M153" s="235">
        <v>4</v>
      </c>
      <c r="N153" s="236">
        <v>9</v>
      </c>
      <c r="O153" s="248">
        <v>42048</v>
      </c>
      <c r="P153">
        <v>3.95</v>
      </c>
      <c r="Q153" s="264">
        <v>42204</v>
      </c>
      <c r="R153"/>
      <c r="S153"/>
      <c r="T153"/>
      <c r="V153" s="219">
        <f t="shared" si="84"/>
        <v>11.468463197413751</v>
      </c>
      <c r="W153" s="219"/>
      <c r="X153">
        <v>15.55</v>
      </c>
      <c r="Y153"/>
      <c r="Z153"/>
      <c r="AA153"/>
      <c r="AB153" s="220">
        <f t="shared" si="85"/>
        <v>4.0644042669155214</v>
      </c>
      <c r="AC153" s="219"/>
      <c r="AD153" s="221">
        <f t="shared" si="86"/>
        <v>61037.019142661986</v>
      </c>
      <c r="AE153" s="219"/>
      <c r="AF153" s="220">
        <f t="shared" si="87"/>
        <v>23.560289389067528</v>
      </c>
      <c r="AG153" s="219"/>
      <c r="AH153" s="220">
        <f t="shared" si="88"/>
        <v>26.418803979667555</v>
      </c>
      <c r="AI153" s="219"/>
      <c r="AJ153">
        <v>3.86</v>
      </c>
      <c r="AK153" s="284" t="s">
        <v>8402</v>
      </c>
      <c r="AL153">
        <v>160</v>
      </c>
      <c r="AM153"/>
      <c r="AN153" s="241">
        <v>72</v>
      </c>
      <c r="AO153" s="242">
        <v>42076</v>
      </c>
      <c r="AP153" s="255">
        <v>110</v>
      </c>
      <c r="AQ153" s="242">
        <v>42114</v>
      </c>
      <c r="AR153">
        <v>133</v>
      </c>
      <c r="AS153" s="297">
        <f t="shared" si="89"/>
        <v>133</v>
      </c>
      <c r="AT153" s="290">
        <v>42137</v>
      </c>
      <c r="AU153" s="298"/>
      <c r="AV153"/>
      <c r="AW153"/>
      <c r="AX153"/>
      <c r="AY153"/>
      <c r="AZ153"/>
      <c r="BA153"/>
      <c r="BB153"/>
      <c r="BC153"/>
      <c r="BD153"/>
      <c r="BE153"/>
      <c r="BF153" s="277">
        <v>-2.2084920406341553</v>
      </c>
      <c r="BG153" s="283">
        <v>42233</v>
      </c>
      <c r="BH153"/>
      <c r="BI153"/>
      <c r="BJ153"/>
      <c r="BK153"/>
      <c r="BL153" s="277">
        <v>63.178718566894531</v>
      </c>
      <c r="BM153" s="283">
        <v>42233</v>
      </c>
      <c r="BN153"/>
      <c r="BO153"/>
      <c r="BP153" s="277">
        <v>3.564755916595459</v>
      </c>
      <c r="BQ153" s="283">
        <v>42233</v>
      </c>
      <c r="BR153" s="277">
        <v>48.677089691162109</v>
      </c>
      <c r="BS153" s="283">
        <v>42233</v>
      </c>
      <c r="BT153" s="277">
        <v>17.251079559326172</v>
      </c>
      <c r="BU153" s="283">
        <v>42233</v>
      </c>
      <c r="BV153" s="277">
        <v>17.977140426635742</v>
      </c>
      <c r="BW153" s="283">
        <v>42233</v>
      </c>
      <c r="BX153" s="277">
        <v>5.3408126831054687</v>
      </c>
      <c r="BY153" s="283">
        <v>42233</v>
      </c>
      <c r="BZ153"/>
      <c r="CB153" s="266">
        <v>1.84</v>
      </c>
      <c r="CC153"/>
      <c r="CD153" s="277">
        <v>5.3571428571428541</v>
      </c>
      <c r="CE153" s="291" t="s">
        <v>8402</v>
      </c>
      <c r="CF153"/>
      <c r="CG153"/>
      <c r="CH153">
        <v>2</v>
      </c>
      <c r="CI153">
        <v>8</v>
      </c>
      <c r="CK153"/>
      <c r="CL153" s="223">
        <v>1</v>
      </c>
      <c r="CM153" s="259">
        <v>42161</v>
      </c>
      <c r="CO153" s="137" t="s">
        <v>8405</v>
      </c>
    </row>
    <row r="154" spans="1:93">
      <c r="A154" s="258">
        <v>260</v>
      </c>
      <c r="B154" s="236">
        <v>260</v>
      </c>
      <c r="C154" s="235" t="s">
        <v>7727</v>
      </c>
      <c r="D154" s="235" t="s">
        <v>7550</v>
      </c>
      <c r="E154" s="235" t="s">
        <v>7727</v>
      </c>
      <c r="F154" s="235" t="s">
        <v>8525</v>
      </c>
      <c r="G154" s="235" t="str">
        <f t="shared" si="83"/>
        <v>Rapsodyn</v>
      </c>
      <c r="H154" s="235" t="s">
        <v>265</v>
      </c>
      <c r="I154" s="235">
        <v>1</v>
      </c>
      <c r="J154" s="235">
        <v>9109</v>
      </c>
      <c r="K154" s="235">
        <v>33</v>
      </c>
      <c r="L154" s="235">
        <f t="shared" si="90"/>
        <v>33</v>
      </c>
      <c r="M154" s="235">
        <v>4</v>
      </c>
      <c r="N154" s="235">
        <v>7</v>
      </c>
      <c r="O154" s="248">
        <v>42048</v>
      </c>
      <c r="P154">
        <v>4.05</v>
      </c>
      <c r="Q154" s="264">
        <v>42204</v>
      </c>
      <c r="R154"/>
      <c r="S154"/>
      <c r="T154"/>
      <c r="V154" s="219">
        <f t="shared" si="84"/>
        <v>12.484271796137996</v>
      </c>
      <c r="W154" s="219"/>
      <c r="X154">
        <v>15.55</v>
      </c>
      <c r="Y154"/>
      <c r="Z154"/>
      <c r="AA154"/>
      <c r="AB154" s="220">
        <f t="shared" si="85"/>
        <v>4.2553139909168394</v>
      </c>
      <c r="AC154" s="219"/>
      <c r="AD154" s="221">
        <f t="shared" si="86"/>
        <v>64984.572006018381</v>
      </c>
      <c r="AE154" s="219"/>
      <c r="AF154" s="220">
        <f t="shared" si="87"/>
        <v>25.084044794323095</v>
      </c>
      <c r="AG154" s="219"/>
      <c r="AH154" s="220">
        <f t="shared" si="88"/>
        <v>28.127433050373508</v>
      </c>
      <c r="AI154" s="219"/>
      <c r="AJ154">
        <v>3.86</v>
      </c>
      <c r="AK154" s="284" t="s">
        <v>8402</v>
      </c>
      <c r="AL154">
        <v>170</v>
      </c>
      <c r="AM154"/>
      <c r="AN154" s="241">
        <v>70</v>
      </c>
      <c r="AO154" s="242">
        <v>42074</v>
      </c>
      <c r="AP154" s="255">
        <v>110</v>
      </c>
      <c r="AQ154" s="242">
        <v>42114</v>
      </c>
      <c r="AR154">
        <v>127</v>
      </c>
      <c r="AS154" s="297">
        <f t="shared" si="89"/>
        <v>127</v>
      </c>
      <c r="AT154" s="290">
        <v>42131</v>
      </c>
      <c r="AU154" s="298"/>
      <c r="AV154"/>
      <c r="AW154"/>
      <c r="AX154"/>
      <c r="AY154"/>
      <c r="AZ154"/>
      <c r="BA154"/>
      <c r="BB154"/>
      <c r="BC154"/>
      <c r="BD154"/>
      <c r="BE154"/>
      <c r="BF154" s="277">
        <v>-3.5693531036376953</v>
      </c>
      <c r="BG154" s="283">
        <v>42230</v>
      </c>
      <c r="BH154"/>
      <c r="BI154"/>
      <c r="BJ154"/>
      <c r="BK154"/>
      <c r="BL154" s="277">
        <v>62.503208160400391</v>
      </c>
      <c r="BM154" s="283">
        <v>42230</v>
      </c>
      <c r="BN154"/>
      <c r="BO154"/>
      <c r="BP154" s="277">
        <v>3.947659969329834</v>
      </c>
      <c r="BQ154" s="283">
        <v>42230</v>
      </c>
      <c r="BR154" s="277">
        <v>49.769771575927734</v>
      </c>
      <c r="BS154" s="283">
        <v>42230</v>
      </c>
      <c r="BT154" s="277">
        <v>16.964225769042969</v>
      </c>
      <c r="BU154" s="283">
        <v>42230</v>
      </c>
      <c r="BV154" s="277">
        <v>13.725814819335937</v>
      </c>
      <c r="BW154" s="283">
        <v>42230</v>
      </c>
      <c r="BX154" s="277">
        <v>5.2322616577148437</v>
      </c>
      <c r="BY154" s="283">
        <v>42230</v>
      </c>
      <c r="BZ154"/>
      <c r="CB154" s="266">
        <v>1.72</v>
      </c>
      <c r="CC154"/>
      <c r="CD154" s="277">
        <v>1.7241379310344769</v>
      </c>
      <c r="CE154" s="291" t="s">
        <v>8402</v>
      </c>
      <c r="CF154"/>
      <c r="CG154"/>
      <c r="CH154">
        <v>2</v>
      </c>
      <c r="CI154">
        <v>8</v>
      </c>
      <c r="CK154"/>
      <c r="CL154" s="223">
        <v>3</v>
      </c>
      <c r="CM154" s="259">
        <v>42161</v>
      </c>
      <c r="CO154" s="137" t="s">
        <v>8405</v>
      </c>
    </row>
    <row r="155" spans="1:93">
      <c r="A155" s="258">
        <v>261</v>
      </c>
      <c r="B155" s="235">
        <v>261</v>
      </c>
      <c r="C155" s="235" t="s">
        <v>8300</v>
      </c>
      <c r="D155" s="235" t="s">
        <v>7533</v>
      </c>
      <c r="E155" s="235" t="s">
        <v>8461</v>
      </c>
      <c r="F155" s="235" t="s">
        <v>8460</v>
      </c>
      <c r="G155" s="235" t="str">
        <f t="shared" si="83"/>
        <v>Rapsodyn</v>
      </c>
      <c r="H155" s="235" t="s">
        <v>265</v>
      </c>
      <c r="I155" s="235">
        <v>1</v>
      </c>
      <c r="J155" s="235">
        <v>9356</v>
      </c>
      <c r="K155" s="235">
        <v>32</v>
      </c>
      <c r="L155" s="235">
        <f t="shared" si="90"/>
        <v>32</v>
      </c>
      <c r="M155" s="235">
        <v>4</v>
      </c>
      <c r="N155" s="235">
        <v>7</v>
      </c>
      <c r="O155" s="248">
        <v>42048</v>
      </c>
      <c r="P155">
        <v>5.2</v>
      </c>
      <c r="Q155" s="264">
        <v>42204</v>
      </c>
      <c r="R155"/>
      <c r="S155"/>
      <c r="T155"/>
      <c r="V155" s="219">
        <f t="shared" si="84"/>
        <v>15.245250715225534</v>
      </c>
      <c r="W155" s="219"/>
      <c r="X155">
        <v>15.55</v>
      </c>
      <c r="Y155"/>
      <c r="Z155"/>
      <c r="AA155"/>
      <c r="AB155" s="220">
        <f t="shared" si="85"/>
        <v>4.8904316325674548</v>
      </c>
      <c r="AC155" s="219"/>
      <c r="AD155" s="221">
        <f t="shared" si="86"/>
        <v>67762.634644743972</v>
      </c>
      <c r="AE155" s="219"/>
      <c r="AF155" s="220">
        <f t="shared" si="87"/>
        <v>29.680033974397862</v>
      </c>
      <c r="AG155" s="219"/>
      <c r="AH155" s="220">
        <f t="shared" si="88"/>
        <v>33.281042806007918</v>
      </c>
      <c r="AI155" s="219"/>
      <c r="AJ155">
        <v>4.38</v>
      </c>
      <c r="AK155" s="284" t="s">
        <v>8401</v>
      </c>
      <c r="AL155">
        <v>150</v>
      </c>
      <c r="AM155"/>
      <c r="AN155" s="241">
        <v>70</v>
      </c>
      <c r="AO155" s="242">
        <v>42074</v>
      </c>
      <c r="AP155" s="255">
        <v>104</v>
      </c>
      <c r="AQ155" s="242">
        <v>42108</v>
      </c>
      <c r="AR155">
        <v>126</v>
      </c>
      <c r="AS155" s="297">
        <f t="shared" si="89"/>
        <v>126</v>
      </c>
      <c r="AT155" s="290">
        <v>42130</v>
      </c>
      <c r="AU155" s="298"/>
      <c r="AV155"/>
      <c r="AW155"/>
      <c r="AX155"/>
      <c r="AY155"/>
      <c r="AZ155"/>
      <c r="BA155"/>
      <c r="BB155"/>
      <c r="BC155"/>
      <c r="BD155"/>
      <c r="BE155"/>
      <c r="BF155" s="277">
        <v>-6.87664794921875</v>
      </c>
      <c r="BG155" s="283">
        <v>42233</v>
      </c>
      <c r="BH155"/>
      <c r="BI155"/>
      <c r="BJ155"/>
      <c r="BK155"/>
      <c r="BL155" s="277">
        <v>66.386909484863281</v>
      </c>
      <c r="BM155" s="283">
        <v>42233</v>
      </c>
      <c r="BN155"/>
      <c r="BO155"/>
      <c r="BP155" s="277">
        <v>3.464500904083252</v>
      </c>
      <c r="BQ155" s="283">
        <v>42233</v>
      </c>
      <c r="BR155" s="277">
        <v>51.365341186523438</v>
      </c>
      <c r="BS155" s="283">
        <v>42233</v>
      </c>
      <c r="BT155" s="277">
        <v>16.477176666259766</v>
      </c>
      <c r="BU155" s="283">
        <v>42233</v>
      </c>
      <c r="BV155" s="277">
        <v>10.425300598144531</v>
      </c>
      <c r="BW155" s="283">
        <v>42233</v>
      </c>
      <c r="BX155" s="277">
        <v>5.1491546630859375</v>
      </c>
      <c r="BY155" s="283">
        <v>42233</v>
      </c>
      <c r="BZ155"/>
      <c r="CB155" s="266">
        <v>1.54</v>
      </c>
      <c r="CC155"/>
      <c r="CD155" s="277">
        <v>9.433962264150944</v>
      </c>
      <c r="CE155" s="291" t="s">
        <v>8401</v>
      </c>
      <c r="CF155"/>
      <c r="CG155"/>
      <c r="CH155">
        <v>1</v>
      </c>
      <c r="CI155">
        <v>3</v>
      </c>
      <c r="CK155"/>
      <c r="CL155" s="223">
        <v>1</v>
      </c>
      <c r="CM155" s="259">
        <v>42161</v>
      </c>
      <c r="CN155" s="137" t="s">
        <v>8406</v>
      </c>
    </row>
    <row r="156" spans="1:93">
      <c r="A156" s="258">
        <v>262</v>
      </c>
      <c r="B156" s="235">
        <v>262</v>
      </c>
      <c r="C156" s="235" t="s">
        <v>7619</v>
      </c>
      <c r="D156" s="235" t="s">
        <v>7455</v>
      </c>
      <c r="E156" s="235" t="s">
        <v>7619</v>
      </c>
      <c r="F156" s="235" t="s">
        <v>8574</v>
      </c>
      <c r="G156" s="235" t="str">
        <f t="shared" si="83"/>
        <v>Rapsodyn</v>
      </c>
      <c r="H156" s="235" t="s">
        <v>265</v>
      </c>
      <c r="I156" s="235">
        <v>1</v>
      </c>
      <c r="J156" s="235">
        <v>9012</v>
      </c>
      <c r="K156" s="235">
        <v>31</v>
      </c>
      <c r="L156" s="235">
        <f t="shared" si="90"/>
        <v>31</v>
      </c>
      <c r="M156" s="235">
        <v>4</v>
      </c>
      <c r="N156" s="235">
        <v>7</v>
      </c>
      <c r="O156" s="248">
        <v>42048</v>
      </c>
      <c r="P156" s="223">
        <v>2.85</v>
      </c>
      <c r="Q156" s="264">
        <v>42204</v>
      </c>
      <c r="R156" s="223"/>
      <c r="S156" s="223"/>
      <c r="T156" s="223"/>
      <c r="U156" s="225"/>
      <c r="V156" s="219">
        <f t="shared" si="84"/>
        <v>8.0314950150065698</v>
      </c>
      <c r="W156" s="224"/>
      <c r="X156">
        <v>15.55</v>
      </c>
      <c r="Y156" s="223"/>
      <c r="Z156" s="223"/>
      <c r="AA156" s="223"/>
      <c r="AB156" s="220">
        <f t="shared" si="85"/>
        <v>3.0463039352767214</v>
      </c>
      <c r="AC156" s="224"/>
      <c r="AD156" s="221">
        <f t="shared" si="86"/>
        <v>35131.715398211629</v>
      </c>
      <c r="AE156" s="224"/>
      <c r="AF156" s="220">
        <f t="shared" si="87"/>
        <v>16.722696529548735</v>
      </c>
      <c r="AG156" s="224"/>
      <c r="AH156" s="220">
        <f t="shared" si="88"/>
        <v>18.75162203358234</v>
      </c>
      <c r="AI156" s="224"/>
      <c r="AJ156">
        <v>4.76</v>
      </c>
      <c r="AK156" s="290" t="s">
        <v>8401</v>
      </c>
      <c r="AL156" s="223">
        <v>150</v>
      </c>
      <c r="AM156" s="223"/>
      <c r="AN156" s="241">
        <v>72</v>
      </c>
      <c r="AO156" s="242">
        <v>42076</v>
      </c>
      <c r="AP156" s="255">
        <v>104</v>
      </c>
      <c r="AQ156" s="242">
        <v>42108</v>
      </c>
      <c r="AR156" s="223">
        <v>127</v>
      </c>
      <c r="AS156" s="297">
        <f t="shared" si="89"/>
        <v>127</v>
      </c>
      <c r="AT156" s="290">
        <v>42131</v>
      </c>
      <c r="AU156" s="298"/>
      <c r="AV156" s="223"/>
      <c r="AW156" s="223"/>
      <c r="AX156" s="223"/>
      <c r="AY156" s="223"/>
      <c r="AZ156" s="223"/>
      <c r="BA156" s="223"/>
      <c r="BB156" s="223"/>
      <c r="BC156" s="223"/>
      <c r="BD156" s="223"/>
      <c r="BE156" s="223"/>
      <c r="BF156" s="281">
        <v>33.933387756347656</v>
      </c>
      <c r="BG156" s="283">
        <v>42233</v>
      </c>
      <c r="BH156" s="223"/>
      <c r="BI156" s="223"/>
      <c r="BJ156" s="223"/>
      <c r="BK156" s="223"/>
      <c r="BL156" s="281">
        <v>58.105289459228516</v>
      </c>
      <c r="BM156" s="283">
        <v>42233</v>
      </c>
      <c r="BN156" s="223"/>
      <c r="BO156" s="223"/>
      <c r="BP156" s="281">
        <v>3.3401501178741455</v>
      </c>
      <c r="BQ156" s="283">
        <v>42233</v>
      </c>
      <c r="BR156" s="281">
        <v>48.027511596679688</v>
      </c>
      <c r="BS156" s="283">
        <v>42233</v>
      </c>
      <c r="BT156" s="281">
        <v>18.216583251953125</v>
      </c>
      <c r="BU156" s="283">
        <v>42233</v>
      </c>
      <c r="BV156" s="281">
        <v>62.291412353515625</v>
      </c>
      <c r="BW156" s="283">
        <v>42233</v>
      </c>
      <c r="BX156" s="281">
        <v>5.3336715698242188</v>
      </c>
      <c r="BY156" s="283">
        <v>42233</v>
      </c>
      <c r="BZ156" s="223"/>
      <c r="CA156" s="226"/>
      <c r="CB156" s="266">
        <v>1.71</v>
      </c>
      <c r="CC156" s="223"/>
      <c r="CD156" s="281">
        <v>6.8965517241379226</v>
      </c>
      <c r="CE156" s="291" t="s">
        <v>8401</v>
      </c>
      <c r="CF156" s="223"/>
      <c r="CG156" s="223"/>
      <c r="CH156" s="223">
        <v>1</v>
      </c>
      <c r="CI156" s="223">
        <v>5</v>
      </c>
      <c r="CK156" s="223"/>
      <c r="CL156" s="223">
        <v>2</v>
      </c>
      <c r="CM156" s="259">
        <v>42161</v>
      </c>
      <c r="CN156" s="137" t="s">
        <v>8406</v>
      </c>
    </row>
    <row r="157" spans="1:93">
      <c r="A157" s="258">
        <v>265</v>
      </c>
      <c r="B157" s="235">
        <v>265</v>
      </c>
      <c r="C157" s="235" t="s">
        <v>7576</v>
      </c>
      <c r="D157" s="235"/>
      <c r="E157" s="235"/>
      <c r="F157" s="235"/>
      <c r="G157" s="235"/>
      <c r="H157" s="235" t="s">
        <v>265</v>
      </c>
      <c r="I157" s="235">
        <v>1</v>
      </c>
      <c r="K157" s="235">
        <v>28</v>
      </c>
      <c r="L157" s="235">
        <f t="shared" si="90"/>
        <v>28</v>
      </c>
      <c r="M157" s="235">
        <v>4</v>
      </c>
      <c r="O157" s="248">
        <v>42048</v>
      </c>
      <c r="P157" s="223"/>
      <c r="Q157" s="224"/>
      <c r="R157" s="223"/>
      <c r="S157" s="223"/>
      <c r="T157" s="223"/>
      <c r="U157" s="225"/>
      <c r="V157" s="219"/>
      <c r="W157" s="224"/>
      <c r="X157">
        <v>15.55</v>
      </c>
      <c r="Y157" s="223"/>
      <c r="Z157" s="223"/>
      <c r="AA157" s="223"/>
      <c r="AB157" s="220"/>
      <c r="AC157" s="224"/>
      <c r="AD157" s="221"/>
      <c r="AE157" s="224"/>
      <c r="AF157" s="220"/>
      <c r="AG157" s="224"/>
      <c r="AH157" s="220"/>
      <c r="AI157" s="224"/>
      <c r="AJ157" s="286"/>
      <c r="AK157" s="290"/>
      <c r="AL157" s="223"/>
      <c r="AM157" s="223"/>
      <c r="AN157" s="241">
        <v>70</v>
      </c>
      <c r="AO157" s="242">
        <v>42074</v>
      </c>
      <c r="AP157" s="255">
        <v>104</v>
      </c>
      <c r="AQ157" s="242">
        <v>42108</v>
      </c>
      <c r="AR157" s="223"/>
      <c r="AS157" s="297"/>
      <c r="AT157" s="290"/>
      <c r="AU157" s="298"/>
      <c r="AV157" s="223"/>
      <c r="AW157" s="223"/>
      <c r="AX157" s="223"/>
      <c r="AY157" s="223"/>
      <c r="AZ157" s="223"/>
      <c r="BA157" s="223"/>
      <c r="BB157" s="223"/>
      <c r="BC157" s="223"/>
      <c r="BD157" s="223"/>
      <c r="BE157" s="223"/>
      <c r="BF157" s="281"/>
      <c r="BG157" s="235"/>
      <c r="BH157" s="223"/>
      <c r="BI157" s="223"/>
      <c r="BJ157" s="223"/>
      <c r="BK157" s="223"/>
      <c r="BL157" s="281"/>
      <c r="BM157" s="235"/>
      <c r="BN157" s="223"/>
      <c r="BO157" s="223"/>
      <c r="BP157" s="281"/>
      <c r="BQ157" s="235"/>
      <c r="BR157" s="281"/>
      <c r="BS157" s="235"/>
      <c r="BT157" s="281"/>
      <c r="BU157" s="235"/>
      <c r="BV157" s="281"/>
      <c r="BW157" s="235"/>
      <c r="BX157" s="281"/>
      <c r="BY157" s="235"/>
      <c r="BZ157" s="223"/>
      <c r="CA157" s="226"/>
      <c r="CB157" s="266"/>
      <c r="CC157" s="223"/>
      <c r="CD157" s="281"/>
      <c r="CE157" s="291"/>
      <c r="CF157" s="223"/>
      <c r="CG157" s="223"/>
      <c r="CH157" s="223"/>
      <c r="CI157" s="223"/>
      <c r="CK157" s="223"/>
      <c r="CL157" s="223">
        <v>1</v>
      </c>
      <c r="CM157" s="259">
        <v>42161</v>
      </c>
    </row>
    <row r="158" spans="1:93">
      <c r="A158" s="258">
        <v>266</v>
      </c>
      <c r="B158" s="235">
        <v>266</v>
      </c>
      <c r="C158" s="235" t="s">
        <v>7576</v>
      </c>
      <c r="D158" s="235"/>
      <c r="E158" s="235"/>
      <c r="F158" s="235"/>
      <c r="G158" s="235"/>
      <c r="H158" s="235" t="s">
        <v>265</v>
      </c>
      <c r="I158" s="235">
        <v>1</v>
      </c>
      <c r="K158" s="235">
        <v>27</v>
      </c>
      <c r="L158" s="235">
        <f t="shared" si="90"/>
        <v>27</v>
      </c>
      <c r="M158" s="235">
        <v>4</v>
      </c>
      <c r="O158" s="248">
        <v>42048</v>
      </c>
      <c r="P158" s="223"/>
      <c r="Q158" s="224"/>
      <c r="R158" s="223"/>
      <c r="S158" s="223"/>
      <c r="T158" s="223"/>
      <c r="U158" s="225"/>
      <c r="V158" s="219"/>
      <c r="W158" s="224"/>
      <c r="X158">
        <v>15.55</v>
      </c>
      <c r="Y158" s="223"/>
      <c r="Z158" s="223"/>
      <c r="AA158" s="223"/>
      <c r="AB158" s="220"/>
      <c r="AC158" s="224"/>
      <c r="AD158" s="221"/>
      <c r="AE158" s="224"/>
      <c r="AF158" s="220"/>
      <c r="AG158" s="224"/>
      <c r="AH158" s="220"/>
      <c r="AI158" s="224"/>
      <c r="AJ158" s="286"/>
      <c r="AK158" s="290"/>
      <c r="AL158" s="223"/>
      <c r="AM158" s="223"/>
      <c r="AN158" s="241">
        <v>70</v>
      </c>
      <c r="AO158" s="242">
        <v>42074</v>
      </c>
      <c r="AP158" s="255">
        <v>104</v>
      </c>
      <c r="AQ158" s="242">
        <v>42108</v>
      </c>
      <c r="AR158" s="223"/>
      <c r="AS158" s="297"/>
      <c r="AT158" s="290"/>
      <c r="AU158" s="298"/>
      <c r="AV158" s="223"/>
      <c r="AW158" s="223"/>
      <c r="AX158" s="223"/>
      <c r="AY158" s="223"/>
      <c r="AZ158" s="223"/>
      <c r="BA158" s="223"/>
      <c r="BB158" s="223"/>
      <c r="BC158" s="223"/>
      <c r="BD158" s="223"/>
      <c r="BE158" s="223"/>
      <c r="BF158" s="281"/>
      <c r="BG158" s="235"/>
      <c r="BH158" s="223"/>
      <c r="BI158" s="223"/>
      <c r="BJ158" s="223"/>
      <c r="BK158" s="223"/>
      <c r="BL158" s="281"/>
      <c r="BM158" s="235"/>
      <c r="BN158" s="223"/>
      <c r="BO158" s="223"/>
      <c r="BP158" s="281"/>
      <c r="BQ158" s="235"/>
      <c r="BR158" s="281"/>
      <c r="BS158" s="235"/>
      <c r="BT158" s="281"/>
      <c r="BU158" s="235"/>
      <c r="BV158" s="281"/>
      <c r="BW158" s="235"/>
      <c r="BX158" s="281"/>
      <c r="BY158" s="235"/>
      <c r="BZ158" s="223"/>
      <c r="CA158" s="226"/>
      <c r="CB158" s="266"/>
      <c r="CC158" s="223"/>
      <c r="CD158" s="281"/>
      <c r="CE158" s="291"/>
      <c r="CF158" s="223"/>
      <c r="CG158" s="223"/>
      <c r="CH158" s="223"/>
      <c r="CI158" s="223"/>
      <c r="CK158" s="223"/>
      <c r="CL158" s="223">
        <v>1</v>
      </c>
      <c r="CM158" s="259">
        <v>42161</v>
      </c>
    </row>
    <row r="159" spans="1:93">
      <c r="A159" s="258">
        <v>267</v>
      </c>
      <c r="B159" s="235">
        <v>267</v>
      </c>
      <c r="C159" s="235" t="s">
        <v>7726</v>
      </c>
      <c r="D159" s="235" t="s">
        <v>7549</v>
      </c>
      <c r="E159" s="235" t="s">
        <v>7726</v>
      </c>
      <c r="F159" s="235" t="s">
        <v>8553</v>
      </c>
      <c r="G159" s="235" t="str">
        <f t="shared" ref="G159:G169" si="91">IF(MID(C159,1,3)="BGA","Complement","Rapsodyn")</f>
        <v>Rapsodyn</v>
      </c>
      <c r="H159" s="235" t="s">
        <v>265</v>
      </c>
      <c r="I159" s="235">
        <v>1</v>
      </c>
      <c r="J159" s="235">
        <v>9108</v>
      </c>
      <c r="K159" s="235">
        <v>26</v>
      </c>
      <c r="L159" s="235">
        <f t="shared" si="90"/>
        <v>26</v>
      </c>
      <c r="M159" s="235">
        <v>4</v>
      </c>
      <c r="N159" s="235">
        <v>7</v>
      </c>
      <c r="O159" s="248">
        <v>42048</v>
      </c>
      <c r="P159">
        <v>4.55</v>
      </c>
      <c r="Q159" s="264">
        <v>42204</v>
      </c>
      <c r="R159"/>
      <c r="S159"/>
      <c r="T159"/>
      <c r="V159" s="219">
        <f t="shared" ref="V159:V169" si="92">+BR159*AF159/100</f>
        <v>14.039621536328012</v>
      </c>
      <c r="W159" s="219"/>
      <c r="X159">
        <v>15.55</v>
      </c>
      <c r="Y159"/>
      <c r="Z159"/>
      <c r="AA159"/>
      <c r="AB159" s="220">
        <f t="shared" ref="AB159:AB169" si="93">+AF159*BT159/100</f>
        <v>4.4525806623950759</v>
      </c>
      <c r="AC159" s="219"/>
      <c r="AD159" s="221">
        <f t="shared" ref="AD159:AD169" si="94">+(AF159/AJ159)*10000</f>
        <v>57927.439613664625</v>
      </c>
      <c r="AE159" s="219"/>
      <c r="AF159" s="220">
        <f t="shared" ref="AF159:AF169" si="95">($P159/$X159)*(((100-$CD159)/100*(100-2)/100))*100</f>
        <v>27.05211429958138</v>
      </c>
      <c r="AG159" s="219"/>
      <c r="AH159" s="220">
        <f t="shared" ref="AH159:AH169" si="96">($P159/$X159)*(((100-$CD159)/(100-9)*(100-2)/(100-2))*100)</f>
        <v>30.334283807559299</v>
      </c>
      <c r="AI159" s="219"/>
      <c r="AJ159">
        <v>4.67</v>
      </c>
      <c r="AK159" s="284" t="s">
        <v>8399</v>
      </c>
      <c r="AL159">
        <v>175</v>
      </c>
      <c r="AM159"/>
      <c r="AN159" s="241">
        <v>70</v>
      </c>
      <c r="AO159" s="242">
        <v>42074</v>
      </c>
      <c r="AP159" s="255">
        <v>104</v>
      </c>
      <c r="AQ159" s="242">
        <v>42108</v>
      </c>
      <c r="AR159" s="223">
        <v>123</v>
      </c>
      <c r="AS159" s="297">
        <f t="shared" ref="AS159:AS169" si="97">IF(AR159=0,,AR159)</f>
        <v>123</v>
      </c>
      <c r="AT159" s="290">
        <v>42127</v>
      </c>
      <c r="AU159" s="298"/>
      <c r="AV159"/>
      <c r="AW159"/>
      <c r="AX159"/>
      <c r="AY159"/>
      <c r="AZ159"/>
      <c r="BA159"/>
      <c r="BB159"/>
      <c r="BC159"/>
      <c r="BD159"/>
      <c r="BE159"/>
      <c r="BF159" s="277">
        <v>-5.9011192321777344</v>
      </c>
      <c r="BG159" s="283">
        <v>42233</v>
      </c>
      <c r="BH159"/>
      <c r="BI159"/>
      <c r="BJ159"/>
      <c r="BK159"/>
      <c r="BL159" s="277">
        <v>67.545455932617188</v>
      </c>
      <c r="BM159" s="283">
        <v>42233</v>
      </c>
      <c r="BN159"/>
      <c r="BO159"/>
      <c r="BP159" s="277">
        <v>3.225290060043335</v>
      </c>
      <c r="BQ159" s="283">
        <v>42233</v>
      </c>
      <c r="BR159" s="277">
        <v>51.898426055908203</v>
      </c>
      <c r="BS159" s="283">
        <v>42233</v>
      </c>
      <c r="BT159" s="277">
        <v>16.459270477294922</v>
      </c>
      <c r="BU159" s="283">
        <v>42233</v>
      </c>
      <c r="BV159" s="277">
        <v>17.892297744750977</v>
      </c>
      <c r="BW159" s="283">
        <v>42233</v>
      </c>
      <c r="BX159" s="277">
        <v>5.2865676879882812</v>
      </c>
      <c r="BY159" s="283">
        <v>42233</v>
      </c>
      <c r="BZ159"/>
      <c r="CB159" s="266">
        <v>1.47</v>
      </c>
      <c r="CC159"/>
      <c r="CD159" s="277">
        <v>5.660377358490563</v>
      </c>
      <c r="CE159" s="291" t="s">
        <v>8399</v>
      </c>
      <c r="CF159"/>
      <c r="CG159"/>
      <c r="CH159">
        <v>2</v>
      </c>
      <c r="CI159">
        <v>2</v>
      </c>
      <c r="CK159"/>
      <c r="CL159" s="223">
        <v>1</v>
      </c>
      <c r="CM159" s="259">
        <v>42161</v>
      </c>
      <c r="CN159" s="137" t="s">
        <v>8406</v>
      </c>
    </row>
    <row r="160" spans="1:93">
      <c r="A160" s="258">
        <v>268</v>
      </c>
      <c r="B160" s="235">
        <v>268</v>
      </c>
      <c r="C160" s="235" t="s">
        <v>7798</v>
      </c>
      <c r="D160" s="235" t="s">
        <v>7596</v>
      </c>
      <c r="E160" s="235" t="s">
        <v>7798</v>
      </c>
      <c r="F160" s="235" t="s">
        <v>8626</v>
      </c>
      <c r="G160" s="235" t="str">
        <f t="shared" si="91"/>
        <v>Rapsodyn</v>
      </c>
      <c r="H160" s="235" t="s">
        <v>265</v>
      </c>
      <c r="I160" s="235">
        <v>1</v>
      </c>
      <c r="J160" s="235">
        <v>9169</v>
      </c>
      <c r="K160" s="235">
        <v>25</v>
      </c>
      <c r="L160" s="235">
        <f t="shared" si="90"/>
        <v>25</v>
      </c>
      <c r="M160" s="235">
        <v>4</v>
      </c>
      <c r="N160" s="235">
        <v>7</v>
      </c>
      <c r="O160" s="248">
        <v>42048</v>
      </c>
      <c r="P160">
        <v>5.65</v>
      </c>
      <c r="Q160" s="264">
        <v>42204</v>
      </c>
      <c r="R160"/>
      <c r="S160"/>
      <c r="T160"/>
      <c r="V160" s="219">
        <f t="shared" si="92"/>
        <v>17.655092553264463</v>
      </c>
      <c r="W160" s="219"/>
      <c r="X160">
        <v>15.55</v>
      </c>
      <c r="Y160"/>
      <c r="Z160"/>
      <c r="AA160"/>
      <c r="AB160" s="220">
        <f t="shared" si="93"/>
        <v>5.1571497683969731</v>
      </c>
      <c r="AC160" s="219"/>
      <c r="AD160" s="221">
        <f t="shared" si="94"/>
        <v>75133.507356097034</v>
      </c>
      <c r="AE160" s="219"/>
      <c r="AF160" s="220">
        <f t="shared" si="95"/>
        <v>34.336012861736343</v>
      </c>
      <c r="AG160" s="219"/>
      <c r="AH160" s="220">
        <f t="shared" si="96"/>
        <v>38.50192067922891</v>
      </c>
      <c r="AI160" s="219"/>
      <c r="AJ160">
        <v>4.57</v>
      </c>
      <c r="AK160" s="284" t="s">
        <v>8398</v>
      </c>
      <c r="AL160">
        <v>170</v>
      </c>
      <c r="AM160"/>
      <c r="AN160" s="241">
        <v>70</v>
      </c>
      <c r="AO160" s="242">
        <v>42074</v>
      </c>
      <c r="AP160" s="255">
        <v>106</v>
      </c>
      <c r="AQ160" s="242">
        <v>42110</v>
      </c>
      <c r="AR160" s="223">
        <v>131</v>
      </c>
      <c r="AS160" s="297">
        <f t="shared" si="97"/>
        <v>131</v>
      </c>
      <c r="AT160" s="290">
        <v>42135</v>
      </c>
      <c r="AU160" s="298"/>
      <c r="AV160"/>
      <c r="AW160"/>
      <c r="AX160"/>
      <c r="AY160"/>
      <c r="AZ160"/>
      <c r="BA160"/>
      <c r="BB160"/>
      <c r="BC160"/>
      <c r="BD160"/>
      <c r="BE160"/>
      <c r="BF160" s="277">
        <v>-2.897022008895874</v>
      </c>
      <c r="BG160" s="283">
        <v>42230</v>
      </c>
      <c r="BH160"/>
      <c r="BI160"/>
      <c r="BJ160"/>
      <c r="BK160"/>
      <c r="BL160" s="277">
        <v>63.300441741943359</v>
      </c>
      <c r="BM160" s="283">
        <v>42230</v>
      </c>
      <c r="BN160"/>
      <c r="BO160"/>
      <c r="BP160" s="277">
        <v>4.2088661193847656</v>
      </c>
      <c r="BQ160" s="283">
        <v>42230</v>
      </c>
      <c r="BR160" s="277">
        <v>51.418586730957031</v>
      </c>
      <c r="BS160" s="283">
        <v>42230</v>
      </c>
      <c r="BT160" s="277">
        <v>15.019652366638184</v>
      </c>
      <c r="BU160" s="283">
        <v>42230</v>
      </c>
      <c r="BV160" s="277">
        <v>13.060138702392578</v>
      </c>
      <c r="BW160" s="283">
        <v>42230</v>
      </c>
      <c r="BX160" s="277">
        <v>5.9153900146484375</v>
      </c>
      <c r="BY160" s="283">
        <v>42230</v>
      </c>
      <c r="BZ160"/>
      <c r="CB160" s="266">
        <v>1.21</v>
      </c>
      <c r="CC160"/>
      <c r="CD160" s="277">
        <v>3.5714285714285587</v>
      </c>
      <c r="CE160" s="291" t="s">
        <v>8398</v>
      </c>
      <c r="CF160"/>
      <c r="CG160"/>
      <c r="CH160">
        <v>2</v>
      </c>
      <c r="CI160">
        <v>2</v>
      </c>
      <c r="CK160"/>
      <c r="CL160" s="223">
        <v>1</v>
      </c>
      <c r="CM160" s="259">
        <v>42161</v>
      </c>
      <c r="CN160" s="137" t="s">
        <v>8406</v>
      </c>
    </row>
    <row r="161" spans="1:93">
      <c r="A161" s="258">
        <v>271</v>
      </c>
      <c r="B161" s="235">
        <v>271</v>
      </c>
      <c r="C161" s="235" t="s">
        <v>7783</v>
      </c>
      <c r="D161" s="235" t="s">
        <v>7581</v>
      </c>
      <c r="E161" s="235" t="s">
        <v>7783</v>
      </c>
      <c r="F161" s="235" t="s">
        <v>8524</v>
      </c>
      <c r="G161" s="235" t="str">
        <f t="shared" si="91"/>
        <v>Rapsodyn</v>
      </c>
      <c r="H161" s="235" t="s">
        <v>265</v>
      </c>
      <c r="I161" s="235">
        <v>1</v>
      </c>
      <c r="J161" s="235">
        <v>9154</v>
      </c>
      <c r="K161" s="235">
        <v>22</v>
      </c>
      <c r="L161" s="235">
        <f t="shared" si="90"/>
        <v>22</v>
      </c>
      <c r="M161" s="235">
        <v>4</v>
      </c>
      <c r="N161" s="235">
        <v>7</v>
      </c>
      <c r="O161" s="248">
        <v>42048</v>
      </c>
      <c r="P161">
        <v>6.4</v>
      </c>
      <c r="Q161" s="264">
        <v>42204</v>
      </c>
      <c r="R161"/>
      <c r="S161"/>
      <c r="T161"/>
      <c r="V161" s="219">
        <f t="shared" si="92"/>
        <v>19.648095008820111</v>
      </c>
      <c r="W161" s="219"/>
      <c r="X161">
        <v>15.55</v>
      </c>
      <c r="Y161"/>
      <c r="Z161"/>
      <c r="AA161"/>
      <c r="AB161" s="220">
        <f t="shared" si="93"/>
        <v>5.4540639077991013</v>
      </c>
      <c r="AC161" s="219"/>
      <c r="AD161" s="221">
        <f t="shared" si="94"/>
        <v>73116.324105332373</v>
      </c>
      <c r="AE161" s="219"/>
      <c r="AF161" s="220">
        <f t="shared" si="95"/>
        <v>38.093604858878166</v>
      </c>
      <c r="AG161" s="219"/>
      <c r="AH161" s="220">
        <f t="shared" si="96"/>
        <v>42.715412490332099</v>
      </c>
      <c r="AI161" s="219"/>
      <c r="AJ161">
        <v>5.21</v>
      </c>
      <c r="AK161" s="284" t="s">
        <v>8401</v>
      </c>
      <c r="AL161">
        <v>175</v>
      </c>
      <c r="AM161"/>
      <c r="AN161" s="241">
        <v>70</v>
      </c>
      <c r="AO161" s="242">
        <v>42074</v>
      </c>
      <c r="AP161" s="255">
        <v>104</v>
      </c>
      <c r="AQ161" s="242">
        <v>42108</v>
      </c>
      <c r="AR161" s="223">
        <v>127</v>
      </c>
      <c r="AS161" s="297">
        <f t="shared" si="97"/>
        <v>127</v>
      </c>
      <c r="AT161" s="290">
        <v>42131</v>
      </c>
      <c r="AU161" s="298"/>
      <c r="AV161"/>
      <c r="AW161"/>
      <c r="AX161"/>
      <c r="AY161"/>
      <c r="AZ161"/>
      <c r="BA161"/>
      <c r="BB161"/>
      <c r="BC161"/>
      <c r="BD161"/>
      <c r="BE161"/>
      <c r="BF161" s="277">
        <v>-2.0780200958251953</v>
      </c>
      <c r="BG161" s="283">
        <v>42233</v>
      </c>
      <c r="BH161"/>
      <c r="BI161"/>
      <c r="BJ161"/>
      <c r="BK161"/>
      <c r="BL161" s="277">
        <v>65.209678649902344</v>
      </c>
      <c r="BM161" s="283">
        <v>42233</v>
      </c>
      <c r="BN161"/>
      <c r="BO161"/>
      <c r="BP161" s="277">
        <v>3.8322570323944092</v>
      </c>
      <c r="BQ161" s="283">
        <v>42233</v>
      </c>
      <c r="BR161" s="277">
        <v>51.578460693359375</v>
      </c>
      <c r="BS161" s="283">
        <v>42233</v>
      </c>
      <c r="BT161" s="277">
        <v>14.317531585693359</v>
      </c>
      <c r="BU161" s="283">
        <v>42233</v>
      </c>
      <c r="BV161" s="277">
        <v>13.733633995056152</v>
      </c>
      <c r="BW161" s="283">
        <v>42233</v>
      </c>
      <c r="BX161" s="277">
        <v>5.3742828369140625</v>
      </c>
      <c r="BY161" s="283">
        <v>42233</v>
      </c>
      <c r="BZ161"/>
      <c r="CB161" s="266">
        <v>2.29</v>
      </c>
      <c r="CC161"/>
      <c r="CD161" s="277">
        <v>5.5555555555555687</v>
      </c>
      <c r="CE161" s="291" t="s">
        <v>8401</v>
      </c>
      <c r="CF161"/>
      <c r="CG161"/>
      <c r="CH161">
        <v>2</v>
      </c>
      <c r="CI161">
        <v>2</v>
      </c>
      <c r="CK161"/>
      <c r="CL161" s="223">
        <v>1</v>
      </c>
      <c r="CM161" s="259">
        <v>42161</v>
      </c>
      <c r="CN161" s="137" t="s">
        <v>8406</v>
      </c>
    </row>
    <row r="162" spans="1:93">
      <c r="A162" s="258">
        <v>273</v>
      </c>
      <c r="B162" s="235">
        <v>273</v>
      </c>
      <c r="C162" s="235" t="s">
        <v>7606</v>
      </c>
      <c r="D162" s="235" t="s">
        <v>7811</v>
      </c>
      <c r="E162" s="235" t="s">
        <v>7606</v>
      </c>
      <c r="F162" s="235" t="s">
        <v>8441</v>
      </c>
      <c r="G162" s="235" t="str">
        <f t="shared" si="91"/>
        <v>Rapsodyn</v>
      </c>
      <c r="H162" s="235" t="s">
        <v>265</v>
      </c>
      <c r="I162" s="235">
        <v>1</v>
      </c>
      <c r="J162" s="235">
        <v>9002</v>
      </c>
      <c r="K162" s="235">
        <v>20</v>
      </c>
      <c r="L162" s="235">
        <f t="shared" si="90"/>
        <v>20</v>
      </c>
      <c r="M162" s="235">
        <v>4</v>
      </c>
      <c r="N162" s="235">
        <v>7</v>
      </c>
      <c r="O162" s="248">
        <v>42048</v>
      </c>
      <c r="P162">
        <v>2.6</v>
      </c>
      <c r="Q162" s="264">
        <v>42204</v>
      </c>
      <c r="R162"/>
      <c r="S162"/>
      <c r="T162"/>
      <c r="V162" s="219">
        <f t="shared" si="92"/>
        <v>7.2759089680100804</v>
      </c>
      <c r="W162" s="219"/>
      <c r="X162">
        <v>15.55</v>
      </c>
      <c r="Y162"/>
      <c r="Z162"/>
      <c r="AA162"/>
      <c r="AB162" s="220">
        <f t="shared" si="93"/>
        <v>2.8161838084592148</v>
      </c>
      <c r="AC162" s="219"/>
      <c r="AD162" s="221">
        <f t="shared" si="94"/>
        <v>28622.501548222048</v>
      </c>
      <c r="AE162" s="219"/>
      <c r="AF162" s="220">
        <f t="shared" si="95"/>
        <v>15.255793325202353</v>
      </c>
      <c r="AG162" s="219"/>
      <c r="AH162" s="220">
        <f t="shared" si="96"/>
        <v>17.106742907829503</v>
      </c>
      <c r="AI162" s="219"/>
      <c r="AJ162">
        <v>5.33</v>
      </c>
      <c r="AK162" s="284" t="s">
        <v>8403</v>
      </c>
      <c r="AL162">
        <v>190</v>
      </c>
      <c r="AM162"/>
      <c r="AN162" s="241">
        <v>70</v>
      </c>
      <c r="AO162" s="242">
        <v>42074</v>
      </c>
      <c r="AP162" s="255">
        <v>110</v>
      </c>
      <c r="AQ162" s="242">
        <v>42114</v>
      </c>
      <c r="AR162" s="223">
        <v>133</v>
      </c>
      <c r="AS162" s="297">
        <f t="shared" si="97"/>
        <v>133</v>
      </c>
      <c r="AT162" s="290">
        <v>42137</v>
      </c>
      <c r="AU162" s="298"/>
      <c r="AV162"/>
      <c r="AW162"/>
      <c r="AX162"/>
      <c r="AY162"/>
      <c r="AZ162"/>
      <c r="BA162"/>
      <c r="BB162"/>
      <c r="BC162"/>
      <c r="BD162"/>
      <c r="BE162"/>
      <c r="BF162" s="277">
        <v>39.273902893066406</v>
      </c>
      <c r="BG162" s="283">
        <v>42233</v>
      </c>
      <c r="BH162"/>
      <c r="BI162"/>
      <c r="BJ162"/>
      <c r="BK162"/>
      <c r="BL162" s="277">
        <v>58.931674957275391</v>
      </c>
      <c r="BM162" s="283">
        <v>42233</v>
      </c>
      <c r="BN162"/>
      <c r="BO162"/>
      <c r="BP162" s="277">
        <v>3.0070269107818604</v>
      </c>
      <c r="BQ162" s="283">
        <v>42233</v>
      </c>
      <c r="BR162" s="277">
        <v>47.692760467529297</v>
      </c>
      <c r="BS162" s="283">
        <v>42233</v>
      </c>
      <c r="BT162" s="277">
        <v>18.459766387939453</v>
      </c>
      <c r="BU162" s="283">
        <v>42233</v>
      </c>
      <c r="BV162" s="277">
        <v>69.348297119140625</v>
      </c>
      <c r="BW162" s="283">
        <v>42233</v>
      </c>
      <c r="BX162" s="277">
        <v>5.3581085205078125</v>
      </c>
      <c r="BY162" s="283">
        <v>42233</v>
      </c>
      <c r="BZ162"/>
      <c r="CB162" s="266">
        <v>1.96</v>
      </c>
      <c r="CC162"/>
      <c r="CD162" s="277">
        <v>6.8965517241379226</v>
      </c>
      <c r="CE162" s="291" t="s">
        <v>8403</v>
      </c>
      <c r="CF162"/>
      <c r="CG162"/>
      <c r="CH162">
        <v>3</v>
      </c>
      <c r="CI162">
        <v>4</v>
      </c>
      <c r="CK162"/>
      <c r="CL162" s="223">
        <v>3</v>
      </c>
      <c r="CM162" s="259">
        <v>42161</v>
      </c>
      <c r="CN162" s="137" t="s">
        <v>8406</v>
      </c>
    </row>
    <row r="163" spans="1:93">
      <c r="A163" s="258">
        <v>274</v>
      </c>
      <c r="B163" s="235">
        <v>274</v>
      </c>
      <c r="C163" s="235" t="s">
        <v>7625</v>
      </c>
      <c r="D163" s="235" t="s">
        <v>7816</v>
      </c>
      <c r="E163" s="235" t="s">
        <v>7625</v>
      </c>
      <c r="F163" s="235" t="s">
        <v>8428</v>
      </c>
      <c r="G163" s="235" t="str">
        <f t="shared" si="91"/>
        <v>Rapsodyn</v>
      </c>
      <c r="H163" s="235" t="s">
        <v>265</v>
      </c>
      <c r="I163" s="235">
        <v>1</v>
      </c>
      <c r="J163" s="235">
        <v>9017</v>
      </c>
      <c r="K163" s="235">
        <v>19</v>
      </c>
      <c r="L163" s="235">
        <f t="shared" si="90"/>
        <v>19</v>
      </c>
      <c r="M163" s="235">
        <v>4</v>
      </c>
      <c r="N163" s="235">
        <v>7</v>
      </c>
      <c r="O163" s="248">
        <v>42048</v>
      </c>
      <c r="P163">
        <v>3.7</v>
      </c>
      <c r="Q163" s="264">
        <v>42204</v>
      </c>
      <c r="R163"/>
      <c r="S163"/>
      <c r="T163"/>
      <c r="V163" s="219">
        <f t="shared" si="92"/>
        <v>10.949088031503601</v>
      </c>
      <c r="W163" s="219"/>
      <c r="X163">
        <v>15.55</v>
      </c>
      <c r="Y163"/>
      <c r="Z163"/>
      <c r="AA163"/>
      <c r="AB163" s="220">
        <f t="shared" si="93"/>
        <v>3.8091846432015988</v>
      </c>
      <c r="AC163" s="219"/>
      <c r="AD163" s="221">
        <f t="shared" si="94"/>
        <v>51185.665652347103</v>
      </c>
      <c r="AE163" s="219"/>
      <c r="AF163" s="220">
        <f t="shared" si="95"/>
        <v>22.11220756181395</v>
      </c>
      <c r="AG163" s="219"/>
      <c r="AH163" s="220">
        <f t="shared" si="96"/>
        <v>24.795029784496471</v>
      </c>
      <c r="AI163" s="219"/>
      <c r="AJ163">
        <v>4.32</v>
      </c>
      <c r="AK163" s="284" t="s">
        <v>8403</v>
      </c>
      <c r="AL163">
        <v>155</v>
      </c>
      <c r="AM163"/>
      <c r="AN163" s="241">
        <v>79</v>
      </c>
      <c r="AO163" s="242">
        <v>42083</v>
      </c>
      <c r="AP163" s="255">
        <v>106</v>
      </c>
      <c r="AQ163" s="242">
        <v>42110</v>
      </c>
      <c r="AR163" s="223">
        <v>147</v>
      </c>
      <c r="AS163" s="297">
        <f t="shared" si="97"/>
        <v>147</v>
      </c>
      <c r="AT163" s="290">
        <v>42151</v>
      </c>
      <c r="AU163" s="298"/>
      <c r="AV163"/>
      <c r="AW163"/>
      <c r="AX163"/>
      <c r="AY163"/>
      <c r="AZ163"/>
      <c r="BA163"/>
      <c r="BB163"/>
      <c r="BC163"/>
      <c r="BD163"/>
      <c r="BE163"/>
      <c r="BF163" s="277">
        <v>40.757743835449219</v>
      </c>
      <c r="BG163" s="283">
        <v>42233</v>
      </c>
      <c r="BH163"/>
      <c r="BI163"/>
      <c r="BJ163"/>
      <c r="BK163"/>
      <c r="BL163" s="277">
        <v>61.296833038330078</v>
      </c>
      <c r="BM163" s="283">
        <v>42233</v>
      </c>
      <c r="BN163"/>
      <c r="BO163"/>
      <c r="BP163" s="277">
        <v>2.7110309600830078</v>
      </c>
      <c r="BQ163" s="283">
        <v>42233</v>
      </c>
      <c r="BR163" s="277">
        <v>49.516033172607422</v>
      </c>
      <c r="BS163" s="283">
        <v>42233</v>
      </c>
      <c r="BT163" s="277">
        <v>17.226613998413086</v>
      </c>
      <c r="BU163" s="283">
        <v>42233</v>
      </c>
      <c r="BV163" s="277">
        <v>65.525161743164062</v>
      </c>
      <c r="BW163" s="283">
        <v>42233</v>
      </c>
      <c r="BX163" s="277">
        <v>5.3891983032226562</v>
      </c>
      <c r="BY163" s="283">
        <v>42233</v>
      </c>
      <c r="BZ163"/>
      <c r="CB163" s="266">
        <v>2.17</v>
      </c>
      <c r="CC163"/>
      <c r="CD163" s="277">
        <v>5.1724137931034457</v>
      </c>
      <c r="CE163" s="291" t="s">
        <v>8403</v>
      </c>
      <c r="CF163"/>
      <c r="CG163"/>
      <c r="CH163">
        <v>3</v>
      </c>
      <c r="CI163">
        <v>3</v>
      </c>
      <c r="CK163"/>
      <c r="CL163" s="223">
        <v>2</v>
      </c>
      <c r="CM163" s="259">
        <v>42161</v>
      </c>
      <c r="CN163" s="137" t="s">
        <v>8406</v>
      </c>
    </row>
    <row r="164" spans="1:93">
      <c r="A164" s="258">
        <v>280</v>
      </c>
      <c r="B164" s="235">
        <v>280</v>
      </c>
      <c r="C164" s="235" t="s">
        <v>7725</v>
      </c>
      <c r="D164" s="235" t="s">
        <v>7548</v>
      </c>
      <c r="E164" s="235" t="s">
        <v>7725</v>
      </c>
      <c r="F164" s="235" t="s">
        <v>8622</v>
      </c>
      <c r="G164" s="235" t="str">
        <f t="shared" si="91"/>
        <v>Rapsodyn</v>
      </c>
      <c r="H164" s="235" t="s">
        <v>265</v>
      </c>
      <c r="I164" s="235">
        <v>1</v>
      </c>
      <c r="J164" s="235">
        <v>9107</v>
      </c>
      <c r="K164" s="235">
        <v>13</v>
      </c>
      <c r="L164" s="235">
        <f t="shared" si="90"/>
        <v>13</v>
      </c>
      <c r="M164" s="235">
        <v>4</v>
      </c>
      <c r="N164" s="236">
        <v>5</v>
      </c>
      <c r="O164" s="248">
        <v>42048</v>
      </c>
      <c r="P164">
        <v>3.9</v>
      </c>
      <c r="Q164" s="264">
        <v>42204</v>
      </c>
      <c r="R164"/>
      <c r="S164"/>
      <c r="T164"/>
      <c r="V164" s="219">
        <f t="shared" si="92"/>
        <v>11.925072472215593</v>
      </c>
      <c r="W164" s="219"/>
      <c r="X164">
        <v>15.55</v>
      </c>
      <c r="Y164"/>
      <c r="Z164"/>
      <c r="AA164"/>
      <c r="AB164" s="220">
        <f t="shared" si="93"/>
        <v>3.7601033198011482</v>
      </c>
      <c r="AC164" s="219"/>
      <c r="AD164" s="221">
        <f t="shared" si="94"/>
        <v>55300.123876017133</v>
      </c>
      <c r="AE164" s="219"/>
      <c r="AF164" s="220">
        <f t="shared" si="95"/>
        <v>23.668453018935335</v>
      </c>
      <c r="AG164" s="219"/>
      <c r="AH164" s="220">
        <f t="shared" si="96"/>
        <v>26.540090848772518</v>
      </c>
      <c r="AI164" s="219"/>
      <c r="AJ164">
        <v>4.28</v>
      </c>
      <c r="AK164" s="284" t="s">
        <v>8399</v>
      </c>
      <c r="AL164">
        <v>165</v>
      </c>
      <c r="AM164"/>
      <c r="AN164" s="241">
        <v>72</v>
      </c>
      <c r="AO164" s="242">
        <v>42076</v>
      </c>
      <c r="AP164" s="255">
        <v>106</v>
      </c>
      <c r="AQ164" s="242">
        <v>42110</v>
      </c>
      <c r="AR164" s="223">
        <v>127</v>
      </c>
      <c r="AS164" s="297">
        <f t="shared" si="97"/>
        <v>127</v>
      </c>
      <c r="AT164" s="290">
        <v>42131</v>
      </c>
      <c r="AU164" s="298"/>
      <c r="AV164"/>
      <c r="AW164"/>
      <c r="AX164"/>
      <c r="AY164"/>
      <c r="AZ164"/>
      <c r="BA164"/>
      <c r="BB164"/>
      <c r="BC164"/>
      <c r="BD164"/>
      <c r="BE164"/>
      <c r="BF164" s="277">
        <v>-0.65141302347183228</v>
      </c>
      <c r="BG164" s="283">
        <v>42233</v>
      </c>
      <c r="BH164"/>
      <c r="BI164"/>
      <c r="BJ164"/>
      <c r="BK164"/>
      <c r="BL164" s="277">
        <v>62.443244934082031</v>
      </c>
      <c r="BM164" s="283">
        <v>42233</v>
      </c>
      <c r="BN164"/>
      <c r="BO164"/>
      <c r="BP164" s="277">
        <v>3.7987179756164551</v>
      </c>
      <c r="BQ164" s="283">
        <v>42233</v>
      </c>
      <c r="BR164" s="277">
        <v>50.383827209472656</v>
      </c>
      <c r="BS164" s="283">
        <v>42233</v>
      </c>
      <c r="BT164" s="277">
        <v>15.886561393737793</v>
      </c>
      <c r="BU164" s="283">
        <v>42233</v>
      </c>
      <c r="BV164" s="277">
        <v>15.694046974182129</v>
      </c>
      <c r="BW164" s="283">
        <v>42233</v>
      </c>
      <c r="BX164" s="277">
        <v>5.4354705810546875</v>
      </c>
      <c r="BY164" s="283">
        <v>42233</v>
      </c>
      <c r="BZ164"/>
      <c r="CB164" s="266">
        <v>1.52</v>
      </c>
      <c r="CC164"/>
      <c r="CD164" s="277">
        <v>3.7037037037037068</v>
      </c>
      <c r="CE164" s="291" t="s">
        <v>8399</v>
      </c>
      <c r="CF164"/>
      <c r="CG164"/>
      <c r="CH164">
        <v>2</v>
      </c>
      <c r="CI164">
        <v>8</v>
      </c>
      <c r="CK164"/>
      <c r="CL164" s="223">
        <v>1</v>
      </c>
      <c r="CM164" s="259">
        <v>42161</v>
      </c>
      <c r="CO164" s="137" t="s">
        <v>8405</v>
      </c>
    </row>
    <row r="165" spans="1:93">
      <c r="A165" s="258">
        <v>281</v>
      </c>
      <c r="B165" s="236">
        <v>281</v>
      </c>
      <c r="C165" s="235" t="s">
        <v>7778</v>
      </c>
      <c r="D165" s="235" t="s">
        <v>7576</v>
      </c>
      <c r="E165" s="235" t="s">
        <v>7778</v>
      </c>
      <c r="F165" s="235" t="s">
        <v>8447</v>
      </c>
      <c r="G165" s="235" t="str">
        <f t="shared" si="91"/>
        <v>Rapsodyn</v>
      </c>
      <c r="H165" s="235" t="s">
        <v>265</v>
      </c>
      <c r="I165" s="235">
        <v>1</v>
      </c>
      <c r="J165" s="235">
        <v>9149</v>
      </c>
      <c r="K165" s="235">
        <v>12</v>
      </c>
      <c r="L165" s="235">
        <f t="shared" si="90"/>
        <v>12</v>
      </c>
      <c r="M165" s="235">
        <v>4</v>
      </c>
      <c r="N165" s="235">
        <v>5</v>
      </c>
      <c r="O165" s="248">
        <v>42048</v>
      </c>
      <c r="P165" s="223">
        <v>5</v>
      </c>
      <c r="Q165" s="264">
        <v>42204</v>
      </c>
      <c r="R165" s="223"/>
      <c r="S165" s="223"/>
      <c r="T165" s="223"/>
      <c r="U165" s="225"/>
      <c r="V165" s="219">
        <f t="shared" si="92"/>
        <v>15.346610492789432</v>
      </c>
      <c r="W165" s="224"/>
      <c r="X165">
        <v>15.55</v>
      </c>
      <c r="Y165" s="223"/>
      <c r="Z165" s="223"/>
      <c r="AA165" s="223"/>
      <c r="AB165" s="220">
        <f t="shared" si="93"/>
        <v>4.4246689563736226</v>
      </c>
      <c r="AC165" s="224"/>
      <c r="AD165" s="221">
        <f t="shared" si="94"/>
        <v>62522.329403358337</v>
      </c>
      <c r="AE165" s="224"/>
      <c r="AF165" s="220">
        <f t="shared" si="95"/>
        <v>29.760628795998567</v>
      </c>
      <c r="AG165" s="224"/>
      <c r="AH165" s="220">
        <f t="shared" si="96"/>
        <v>33.371416008071954</v>
      </c>
      <c r="AI165" s="224"/>
      <c r="AJ165">
        <v>4.76</v>
      </c>
      <c r="AK165" s="290" t="s">
        <v>8399</v>
      </c>
      <c r="AL165" s="223">
        <v>155</v>
      </c>
      <c r="AM165" s="223"/>
      <c r="AN165" s="241">
        <v>65</v>
      </c>
      <c r="AO165" s="242">
        <v>42069</v>
      </c>
      <c r="AP165" s="255">
        <v>104</v>
      </c>
      <c r="AQ165" s="242">
        <v>42108</v>
      </c>
      <c r="AR165" s="223">
        <v>127</v>
      </c>
      <c r="AS165" s="297">
        <f t="shared" si="97"/>
        <v>127</v>
      </c>
      <c r="AT165" s="290">
        <v>42131</v>
      </c>
      <c r="AU165" s="298"/>
      <c r="AV165" s="223"/>
      <c r="AW165" s="223"/>
      <c r="AX165" s="223"/>
      <c r="AY165" s="223"/>
      <c r="AZ165" s="223"/>
      <c r="BA165" s="223"/>
      <c r="BB165" s="223"/>
      <c r="BC165" s="223"/>
      <c r="BD165" s="223"/>
      <c r="BE165" s="223"/>
      <c r="BF165" s="281">
        <v>1.9490660429000854</v>
      </c>
      <c r="BG165" s="283">
        <v>42233</v>
      </c>
      <c r="BH165" s="223"/>
      <c r="BI165" s="223"/>
      <c r="BJ165" s="223"/>
      <c r="BK165" s="223"/>
      <c r="BL165" s="281">
        <v>65.790779113769531</v>
      </c>
      <c r="BM165" s="283">
        <v>42233</v>
      </c>
      <c r="BN165" s="223"/>
      <c r="BO165" s="223"/>
      <c r="BP165" s="281">
        <v>3.4357550144195557</v>
      </c>
      <c r="BQ165" s="283">
        <v>42233</v>
      </c>
      <c r="BR165" s="281">
        <v>51.566822052001953</v>
      </c>
      <c r="BS165" s="283">
        <v>42233</v>
      </c>
      <c r="BT165" s="281">
        <v>14.867525100708008</v>
      </c>
      <c r="BU165" s="283">
        <v>42233</v>
      </c>
      <c r="BV165" s="281">
        <v>17.572244644165039</v>
      </c>
      <c r="BW165" s="283">
        <v>42233</v>
      </c>
      <c r="BX165" s="281">
        <v>5.4199600219726563</v>
      </c>
      <c r="BY165" s="283">
        <v>42233</v>
      </c>
      <c r="BZ165" s="223"/>
      <c r="CA165" s="226"/>
      <c r="CB165" s="266">
        <v>1.94</v>
      </c>
      <c r="CC165" s="223"/>
      <c r="CD165" s="281">
        <v>5.5555555555555687</v>
      </c>
      <c r="CE165" s="291" t="s">
        <v>8399</v>
      </c>
      <c r="CF165" s="223"/>
      <c r="CG165" s="223"/>
      <c r="CH165" s="223">
        <v>2</v>
      </c>
      <c r="CI165" s="223">
        <v>3</v>
      </c>
      <c r="CK165" s="223"/>
      <c r="CL165" s="223">
        <v>1</v>
      </c>
      <c r="CM165" s="259">
        <v>42161</v>
      </c>
      <c r="CN165" s="137" t="s">
        <v>8406</v>
      </c>
    </row>
    <row r="166" spans="1:93">
      <c r="A166" s="258">
        <v>282</v>
      </c>
      <c r="B166" s="235">
        <v>282</v>
      </c>
      <c r="C166" s="235" t="s">
        <v>7736</v>
      </c>
      <c r="D166" s="235" t="s">
        <v>7884</v>
      </c>
      <c r="E166" s="235" t="s">
        <v>7736</v>
      </c>
      <c r="F166" s="235" t="s">
        <v>8570</v>
      </c>
      <c r="G166" s="235" t="str">
        <f t="shared" si="91"/>
        <v>Rapsodyn</v>
      </c>
      <c r="H166" s="235" t="s">
        <v>265</v>
      </c>
      <c r="I166" s="235">
        <v>1</v>
      </c>
      <c r="J166" s="235">
        <v>9116</v>
      </c>
      <c r="K166" s="235">
        <v>11</v>
      </c>
      <c r="L166" s="235">
        <f t="shared" si="90"/>
        <v>11</v>
      </c>
      <c r="M166" s="235">
        <v>4</v>
      </c>
      <c r="N166" s="235">
        <v>3</v>
      </c>
      <c r="O166" s="248">
        <v>42048</v>
      </c>
      <c r="P166" s="223">
        <v>3.8</v>
      </c>
      <c r="Q166" s="264">
        <v>42204</v>
      </c>
      <c r="R166" s="223"/>
      <c r="S166" s="223"/>
      <c r="T166" s="223"/>
      <c r="U166" s="225"/>
      <c r="V166" s="219">
        <f t="shared" si="92"/>
        <v>11.269652616758554</v>
      </c>
      <c r="W166" s="224"/>
      <c r="X166">
        <v>15.55</v>
      </c>
      <c r="Y166" s="223"/>
      <c r="Z166" s="223"/>
      <c r="AA166" s="223"/>
      <c r="AB166" s="220">
        <f t="shared" si="93"/>
        <v>3.6095393353900609</v>
      </c>
      <c r="AC166" s="224"/>
      <c r="AD166" s="221">
        <f t="shared" si="94"/>
        <v>58079.626169332048</v>
      </c>
      <c r="AE166" s="224"/>
      <c r="AF166" s="220">
        <f t="shared" si="95"/>
        <v>22.592974579870166</v>
      </c>
      <c r="AG166" s="224"/>
      <c r="AH166" s="220">
        <f t="shared" si="96"/>
        <v>25.334127135983593</v>
      </c>
      <c r="AI166" s="224"/>
      <c r="AJ166">
        <v>3.89</v>
      </c>
      <c r="AK166" s="290" t="s">
        <v>8399</v>
      </c>
      <c r="AL166" s="223">
        <v>155</v>
      </c>
      <c r="AM166" s="223"/>
      <c r="AN166" s="241">
        <v>79</v>
      </c>
      <c r="AO166" s="242">
        <v>42083</v>
      </c>
      <c r="AP166" s="255">
        <v>110</v>
      </c>
      <c r="AQ166" s="242">
        <v>42114</v>
      </c>
      <c r="AR166" s="223">
        <v>137</v>
      </c>
      <c r="AS166" s="297">
        <f t="shared" si="97"/>
        <v>137</v>
      </c>
      <c r="AT166" s="290">
        <v>42141</v>
      </c>
      <c r="AU166" s="298"/>
      <c r="AV166" s="223"/>
      <c r="AW166" s="223"/>
      <c r="AX166" s="223"/>
      <c r="AY166" s="223"/>
      <c r="AZ166" s="223"/>
      <c r="BA166" s="223"/>
      <c r="BB166" s="223"/>
      <c r="BC166" s="223"/>
      <c r="BD166" s="223"/>
      <c r="BE166" s="223"/>
      <c r="BF166" s="281">
        <v>41.277687072753906</v>
      </c>
      <c r="BG166" s="283">
        <v>42233</v>
      </c>
      <c r="BH166" s="223"/>
      <c r="BI166" s="223"/>
      <c r="BJ166" s="223"/>
      <c r="BK166" s="223"/>
      <c r="BL166" s="281">
        <v>59.571235656738281</v>
      </c>
      <c r="BM166" s="283">
        <v>42233</v>
      </c>
      <c r="BN166" s="223"/>
      <c r="BO166" s="223"/>
      <c r="BP166" s="281">
        <v>3.1287779808044434</v>
      </c>
      <c r="BQ166" s="283">
        <v>42233</v>
      </c>
      <c r="BR166" s="281">
        <v>49.8812255859375</v>
      </c>
      <c r="BS166" s="283">
        <v>42233</v>
      </c>
      <c r="BT166" s="281">
        <v>15.97637939453125</v>
      </c>
      <c r="BU166" s="283">
        <v>42233</v>
      </c>
      <c r="BV166" s="281">
        <v>54.299873352050781</v>
      </c>
      <c r="BW166" s="283">
        <v>42233</v>
      </c>
      <c r="BX166" s="281">
        <v>5.2684097290039062</v>
      </c>
      <c r="BY166" s="283">
        <v>42233</v>
      </c>
      <c r="BZ166" s="223"/>
      <c r="CA166" s="226"/>
      <c r="CB166" s="266">
        <v>2.9</v>
      </c>
      <c r="CC166" s="223"/>
      <c r="CD166" s="281">
        <v>5.660377358490563</v>
      </c>
      <c r="CE166" s="291" t="s">
        <v>8399</v>
      </c>
      <c r="CF166" s="223"/>
      <c r="CG166" s="223"/>
      <c r="CH166" s="223">
        <v>1</v>
      </c>
      <c r="CI166" s="223">
        <v>7</v>
      </c>
      <c r="CK166" s="223"/>
      <c r="CL166" s="223">
        <v>4</v>
      </c>
      <c r="CM166" s="259">
        <v>42161</v>
      </c>
      <c r="CO166" s="137" t="s">
        <v>8405</v>
      </c>
    </row>
    <row r="167" spans="1:93">
      <c r="A167" s="258">
        <v>284</v>
      </c>
      <c r="B167" s="235">
        <v>284</v>
      </c>
      <c r="C167" s="235" t="s">
        <v>7800</v>
      </c>
      <c r="D167" s="235" t="s">
        <v>7598</v>
      </c>
      <c r="E167" s="235" t="s">
        <v>7800</v>
      </c>
      <c r="F167" s="235" t="s">
        <v>8521</v>
      </c>
      <c r="G167" s="235" t="str">
        <f t="shared" si="91"/>
        <v>Rapsodyn</v>
      </c>
      <c r="H167" s="235" t="s">
        <v>265</v>
      </c>
      <c r="I167" s="235">
        <v>1</v>
      </c>
      <c r="J167" s="235">
        <v>9171</v>
      </c>
      <c r="K167" s="235">
        <v>9</v>
      </c>
      <c r="L167" s="235">
        <f t="shared" si="90"/>
        <v>9</v>
      </c>
      <c r="M167" s="235">
        <v>4</v>
      </c>
      <c r="N167" s="236">
        <v>5</v>
      </c>
      <c r="O167" s="248">
        <v>42048</v>
      </c>
      <c r="P167">
        <v>5.3</v>
      </c>
      <c r="Q167" s="264">
        <v>42204</v>
      </c>
      <c r="R167"/>
      <c r="S167"/>
      <c r="T167"/>
      <c r="V167" s="219">
        <f t="shared" si="92"/>
        <v>16.435328822917874</v>
      </c>
      <c r="W167" s="219"/>
      <c r="X167">
        <v>15.55</v>
      </c>
      <c r="Y167"/>
      <c r="Z167"/>
      <c r="AA167"/>
      <c r="AB167" s="220">
        <f t="shared" si="93"/>
        <v>4.8222599980455501</v>
      </c>
      <c r="AC167" s="219"/>
      <c r="AD167" s="221">
        <f t="shared" si="94"/>
        <v>69174.048562201395</v>
      </c>
      <c r="AE167" s="219"/>
      <c r="AF167" s="220">
        <f t="shared" si="95"/>
        <v>31.612540192926041</v>
      </c>
      <c r="AG167" s="219"/>
      <c r="AH167" s="220">
        <f t="shared" si="96"/>
        <v>35.448015466389371</v>
      </c>
      <c r="AI167" s="219"/>
      <c r="AJ167">
        <v>4.57</v>
      </c>
      <c r="AK167" s="284" t="s">
        <v>8400</v>
      </c>
      <c r="AL167">
        <v>160</v>
      </c>
      <c r="AM167"/>
      <c r="AN167" s="241">
        <v>70</v>
      </c>
      <c r="AO167" s="242">
        <v>42074</v>
      </c>
      <c r="AP167" s="255">
        <v>104</v>
      </c>
      <c r="AQ167" s="242">
        <v>42108</v>
      </c>
      <c r="AR167" s="223">
        <v>127</v>
      </c>
      <c r="AS167" s="297">
        <f t="shared" si="97"/>
        <v>127</v>
      </c>
      <c r="AT167" s="290">
        <v>42131</v>
      </c>
      <c r="AU167" s="298"/>
      <c r="AV167"/>
      <c r="AW167"/>
      <c r="AX167"/>
      <c r="AY167"/>
      <c r="AZ167"/>
      <c r="BA167"/>
      <c r="BB167"/>
      <c r="BC167"/>
      <c r="BD167"/>
      <c r="BE167"/>
      <c r="BF167" s="277">
        <v>-4.1674580574035645</v>
      </c>
      <c r="BG167" s="283">
        <v>42230</v>
      </c>
      <c r="BH167"/>
      <c r="BI167"/>
      <c r="BJ167"/>
      <c r="BK167"/>
      <c r="BL167" s="277">
        <v>64.894271850585938</v>
      </c>
      <c r="BM167" s="283">
        <v>42230</v>
      </c>
      <c r="BN167"/>
      <c r="BO167"/>
      <c r="BP167" s="277">
        <v>3.3368570804595947</v>
      </c>
      <c r="BQ167" s="283">
        <v>42230</v>
      </c>
      <c r="BR167" s="277">
        <v>51.989902496337891</v>
      </c>
      <c r="BS167" s="283">
        <v>42230</v>
      </c>
      <c r="BT167" s="277">
        <v>15.254262924194336</v>
      </c>
      <c r="BU167" s="283">
        <v>42230</v>
      </c>
      <c r="BV167" s="277">
        <v>8.9364433288574219</v>
      </c>
      <c r="BW167" s="283">
        <v>42230</v>
      </c>
      <c r="BX167" s="277">
        <v>5.2389297485351562</v>
      </c>
      <c r="BY167" s="283">
        <v>42230</v>
      </c>
      <c r="BZ167"/>
      <c r="CB167" s="266">
        <v>1.63</v>
      </c>
      <c r="CC167"/>
      <c r="CD167" s="277">
        <v>5.3571428571428541</v>
      </c>
      <c r="CE167" s="291" t="s">
        <v>8400</v>
      </c>
      <c r="CF167"/>
      <c r="CG167"/>
      <c r="CH167">
        <v>1</v>
      </c>
      <c r="CI167">
        <v>3</v>
      </c>
      <c r="CK167"/>
      <c r="CL167" s="223">
        <v>1</v>
      </c>
      <c r="CM167" s="259">
        <v>42161</v>
      </c>
      <c r="CN167" s="137" t="s">
        <v>8406</v>
      </c>
    </row>
    <row r="168" spans="1:93">
      <c r="A168" s="258">
        <v>285</v>
      </c>
      <c r="B168" s="235">
        <v>285</v>
      </c>
      <c r="C168" s="235" t="s">
        <v>7687</v>
      </c>
      <c r="D168" s="235" t="s">
        <v>7513</v>
      </c>
      <c r="E168" s="235" t="s">
        <v>7687</v>
      </c>
      <c r="F168" s="235" t="s">
        <v>8514</v>
      </c>
      <c r="G168" s="235" t="str">
        <f t="shared" si="91"/>
        <v>Rapsodyn</v>
      </c>
      <c r="H168" s="235" t="s">
        <v>265</v>
      </c>
      <c r="I168" s="235">
        <v>1</v>
      </c>
      <c r="J168" s="235">
        <v>9069</v>
      </c>
      <c r="K168" s="235">
        <v>8</v>
      </c>
      <c r="L168" s="235">
        <f t="shared" si="90"/>
        <v>8</v>
      </c>
      <c r="M168" s="235">
        <v>4</v>
      </c>
      <c r="N168" s="235">
        <v>5</v>
      </c>
      <c r="O168" s="248">
        <v>42048</v>
      </c>
      <c r="P168">
        <v>3.9</v>
      </c>
      <c r="Q168" s="264">
        <v>42204</v>
      </c>
      <c r="R168"/>
      <c r="S168"/>
      <c r="T168"/>
      <c r="V168" s="219">
        <f t="shared" si="92"/>
        <v>12.180509147209163</v>
      </c>
      <c r="W168" s="219"/>
      <c r="X168">
        <v>15.55</v>
      </c>
      <c r="Y168"/>
      <c r="Z168"/>
      <c r="AA168"/>
      <c r="AB168" s="220">
        <f t="shared" si="93"/>
        <v>4.0899898306170046</v>
      </c>
      <c r="AC168" s="219"/>
      <c r="AD168" s="221">
        <f t="shared" si="94"/>
        <v>54351.106441138596</v>
      </c>
      <c r="AE168" s="219"/>
      <c r="AF168" s="220">
        <f t="shared" si="95"/>
        <v>24.13189125986554</v>
      </c>
      <c r="AG168" s="219"/>
      <c r="AH168" s="220">
        <f t="shared" si="96"/>
        <v>27.059756963293943</v>
      </c>
      <c r="AI168" s="219"/>
      <c r="AJ168">
        <v>4.4400000000000004</v>
      </c>
      <c r="AK168" s="284" t="s">
        <v>8398</v>
      </c>
      <c r="AL168">
        <v>155</v>
      </c>
      <c r="AM168"/>
      <c r="AN168" s="241">
        <v>65</v>
      </c>
      <c r="AO168" s="242">
        <v>42069</v>
      </c>
      <c r="AP168" s="255">
        <v>104</v>
      </c>
      <c r="AQ168" s="242">
        <v>42108</v>
      </c>
      <c r="AR168" s="223">
        <v>126</v>
      </c>
      <c r="AS168" s="297">
        <f t="shared" si="97"/>
        <v>126</v>
      </c>
      <c r="AT168" s="290">
        <v>42130</v>
      </c>
      <c r="AU168" s="298"/>
      <c r="AV168"/>
      <c r="AW168"/>
      <c r="AX168"/>
      <c r="AY168"/>
      <c r="AZ168"/>
      <c r="BA168"/>
      <c r="BB168"/>
      <c r="BC168"/>
      <c r="BD168"/>
      <c r="BE168"/>
      <c r="BF168" s="277">
        <v>-3.9603860378265381</v>
      </c>
      <c r="BG168" s="283">
        <v>42230</v>
      </c>
      <c r="BH168"/>
      <c r="BI168"/>
      <c r="BJ168"/>
      <c r="BK168"/>
      <c r="BL168" s="277">
        <v>63.988525390625</v>
      </c>
      <c r="BM168" s="283">
        <v>42230</v>
      </c>
      <c r="BN168"/>
      <c r="BO168"/>
      <c r="BP168" s="277">
        <v>3.6344039440155029</v>
      </c>
      <c r="BQ168" s="283">
        <v>42230</v>
      </c>
      <c r="BR168" s="277">
        <v>50.474739074707031</v>
      </c>
      <c r="BS168" s="283">
        <v>42230</v>
      </c>
      <c r="BT168" s="277">
        <v>16.948484420776367</v>
      </c>
      <c r="BU168" s="283">
        <v>42230</v>
      </c>
      <c r="BV168" s="277">
        <v>17.244544982910156</v>
      </c>
      <c r="BW168" s="283">
        <v>42230</v>
      </c>
      <c r="BX168" s="277">
        <v>5.63848876953125</v>
      </c>
      <c r="BY168" s="283">
        <v>42230</v>
      </c>
      <c r="BZ168"/>
      <c r="CB168" s="266">
        <v>0.9</v>
      </c>
      <c r="CC168"/>
      <c r="CD168" s="277">
        <v>1.8181818181818119</v>
      </c>
      <c r="CE168" s="291" t="s">
        <v>8398</v>
      </c>
      <c r="CF168"/>
      <c r="CG168"/>
      <c r="CH168">
        <v>2</v>
      </c>
      <c r="CI168">
        <v>2</v>
      </c>
      <c r="CK168"/>
      <c r="CL168" s="223">
        <v>1</v>
      </c>
      <c r="CM168" s="259">
        <v>42161</v>
      </c>
      <c r="CN168" s="137" t="s">
        <v>8406</v>
      </c>
    </row>
    <row r="169" spans="1:93">
      <c r="A169" s="258">
        <v>286</v>
      </c>
      <c r="B169" s="235">
        <v>286</v>
      </c>
      <c r="C169" s="235" t="s">
        <v>7791</v>
      </c>
      <c r="D169" s="235" t="s">
        <v>7589</v>
      </c>
      <c r="E169" s="235" t="s">
        <v>7791</v>
      </c>
      <c r="F169" s="235" t="s">
        <v>8550</v>
      </c>
      <c r="G169" s="235" t="str">
        <f t="shared" si="91"/>
        <v>Rapsodyn</v>
      </c>
      <c r="H169" s="235" t="s">
        <v>265</v>
      </c>
      <c r="I169" s="235">
        <v>1</v>
      </c>
      <c r="J169" s="235">
        <v>9162</v>
      </c>
      <c r="K169" s="235">
        <v>7</v>
      </c>
      <c r="L169" s="235">
        <f t="shared" si="90"/>
        <v>7</v>
      </c>
      <c r="M169" s="235">
        <v>4</v>
      </c>
      <c r="N169" s="236">
        <v>5</v>
      </c>
      <c r="O169" s="248">
        <v>42048</v>
      </c>
      <c r="P169">
        <v>4.9000000000000004</v>
      </c>
      <c r="Q169" s="264">
        <v>42204</v>
      </c>
      <c r="R169"/>
      <c r="S169"/>
      <c r="T169"/>
      <c r="V169" s="219">
        <f t="shared" si="92"/>
        <v>14.917699702306169</v>
      </c>
      <c r="W169" s="219"/>
      <c r="X169">
        <v>15.55</v>
      </c>
      <c r="Y169"/>
      <c r="Z169"/>
      <c r="AA169"/>
      <c r="AB169" s="220">
        <f t="shared" si="93"/>
        <v>4.4633982542639714</v>
      </c>
      <c r="AC169" s="219"/>
      <c r="AD169" s="221">
        <f t="shared" si="94"/>
        <v>66947.44153093698</v>
      </c>
      <c r="AE169" s="219"/>
      <c r="AF169" s="220">
        <f t="shared" si="95"/>
        <v>28.787399858302898</v>
      </c>
      <c r="AG169" s="219"/>
      <c r="AH169" s="220">
        <f t="shared" si="96"/>
        <v>32.280107488565712</v>
      </c>
      <c r="AI169" s="219"/>
      <c r="AJ169">
        <v>4.3</v>
      </c>
      <c r="AK169" s="284" t="s">
        <v>8398</v>
      </c>
      <c r="AL169">
        <v>165</v>
      </c>
      <c r="AM169"/>
      <c r="AN169" s="241">
        <v>70</v>
      </c>
      <c r="AO169" s="242">
        <v>42074</v>
      </c>
      <c r="AP169" s="255">
        <v>104</v>
      </c>
      <c r="AQ169" s="242">
        <v>42108</v>
      </c>
      <c r="AR169" s="223">
        <v>125</v>
      </c>
      <c r="AS169" s="297">
        <f t="shared" si="97"/>
        <v>125</v>
      </c>
      <c r="AT169" s="290">
        <v>42129</v>
      </c>
      <c r="AU169" s="298"/>
      <c r="AV169"/>
      <c r="AW169"/>
      <c r="AX169"/>
      <c r="AY169"/>
      <c r="AZ169"/>
      <c r="BA169"/>
      <c r="BB169"/>
      <c r="BC169"/>
      <c r="BD169"/>
      <c r="BE169"/>
      <c r="BF169" s="277">
        <v>-3.807013988494873</v>
      </c>
      <c r="BG169" s="283">
        <v>42230</v>
      </c>
      <c r="BH169"/>
      <c r="BI169"/>
      <c r="BJ169"/>
      <c r="BK169"/>
      <c r="BL169" s="277">
        <v>67.360183715820313</v>
      </c>
      <c r="BM169" s="283">
        <v>42230</v>
      </c>
      <c r="BN169"/>
      <c r="BO169"/>
      <c r="BP169" s="277">
        <v>3.7882258892059326</v>
      </c>
      <c r="BQ169" s="283">
        <v>42230</v>
      </c>
      <c r="BR169" s="277">
        <v>51.820240020751953</v>
      </c>
      <c r="BS169" s="283">
        <v>42230</v>
      </c>
      <c r="BT169" s="277">
        <v>15.504693984985352</v>
      </c>
      <c r="BU169" s="283">
        <v>42230</v>
      </c>
      <c r="BV169" s="277">
        <v>15.43303108215332</v>
      </c>
      <c r="BW169" s="283">
        <v>42230</v>
      </c>
      <c r="BX169" s="277">
        <v>5.4764556884765625</v>
      </c>
      <c r="BY169" s="283">
        <v>42230</v>
      </c>
      <c r="BZ169"/>
      <c r="CB169" s="266">
        <v>1.17</v>
      </c>
      <c r="CC169"/>
      <c r="CD169" s="277">
        <v>6.7796610169491585</v>
      </c>
      <c r="CE169" s="291" t="s">
        <v>8398</v>
      </c>
      <c r="CF169"/>
      <c r="CG169"/>
      <c r="CH169">
        <v>2</v>
      </c>
      <c r="CI169">
        <v>3</v>
      </c>
      <c r="CK169"/>
      <c r="CL169" s="223">
        <v>1</v>
      </c>
      <c r="CM169" s="259">
        <v>42161</v>
      </c>
      <c r="CN169" s="137" t="s">
        <v>8406</v>
      </c>
    </row>
    <row r="170" spans="1:93">
      <c r="A170" s="258">
        <v>287</v>
      </c>
      <c r="B170" s="235">
        <v>287</v>
      </c>
      <c r="C170" s="235" t="s">
        <v>7576</v>
      </c>
      <c r="D170" s="235"/>
      <c r="E170" s="235"/>
      <c r="F170" s="235"/>
      <c r="G170" s="235"/>
      <c r="H170" s="235" t="s">
        <v>265</v>
      </c>
      <c r="I170" s="235">
        <v>1</v>
      </c>
      <c r="K170" s="235">
        <v>6</v>
      </c>
      <c r="L170" s="235">
        <f t="shared" si="90"/>
        <v>6</v>
      </c>
      <c r="M170" s="235">
        <v>4</v>
      </c>
      <c r="O170" s="248">
        <v>42048</v>
      </c>
      <c r="P170"/>
      <c r="Q170" s="219"/>
      <c r="R170"/>
      <c r="S170"/>
      <c r="T170"/>
      <c r="V170" s="219"/>
      <c r="W170" s="219"/>
      <c r="X170">
        <v>15.55</v>
      </c>
      <c r="Y170"/>
      <c r="Z170"/>
      <c r="AA170"/>
      <c r="AB170" s="220"/>
      <c r="AC170" s="219"/>
      <c r="AD170" s="221"/>
      <c r="AE170" s="219"/>
      <c r="AF170" s="220"/>
      <c r="AG170" s="219"/>
      <c r="AH170" s="220"/>
      <c r="AI170" s="219"/>
      <c r="AJ170" s="286"/>
      <c r="AK170" s="284"/>
      <c r="AL170"/>
      <c r="AM170"/>
      <c r="AN170" s="241">
        <v>70</v>
      </c>
      <c r="AO170" s="242">
        <v>42074</v>
      </c>
      <c r="AP170" s="255">
        <v>104</v>
      </c>
      <c r="AQ170" s="242">
        <v>42108</v>
      </c>
      <c r="AR170"/>
      <c r="AS170" s="297"/>
      <c r="AT170" s="290"/>
      <c r="AU170" s="298"/>
      <c r="AV170"/>
      <c r="AW170"/>
      <c r="AX170"/>
      <c r="AY170"/>
      <c r="AZ170"/>
      <c r="BA170"/>
      <c r="BB170"/>
      <c r="BC170"/>
      <c r="BD170"/>
      <c r="BE170"/>
      <c r="BF170" s="277"/>
      <c r="BG170" s="235"/>
      <c r="BH170"/>
      <c r="BI170"/>
      <c r="BJ170"/>
      <c r="BK170"/>
      <c r="BL170" s="277"/>
      <c r="BM170" s="235"/>
      <c r="BN170"/>
      <c r="BO170"/>
      <c r="BP170" s="277"/>
      <c r="BQ170" s="235"/>
      <c r="BR170" s="277"/>
      <c r="BS170" s="235"/>
      <c r="BT170" s="277"/>
      <c r="BU170" s="235"/>
      <c r="BV170" s="277"/>
      <c r="BW170" s="235"/>
      <c r="BX170" s="277"/>
      <c r="BY170" s="235"/>
      <c r="BZ170"/>
      <c r="CB170" s="266"/>
      <c r="CC170"/>
      <c r="CD170" s="277"/>
      <c r="CE170" s="291"/>
      <c r="CF170"/>
      <c r="CG170"/>
      <c r="CH170"/>
      <c r="CI170"/>
      <c r="CK170"/>
      <c r="CL170" s="223">
        <v>1</v>
      </c>
      <c r="CM170" s="259">
        <v>42161</v>
      </c>
    </row>
    <row r="171" spans="1:93">
      <c r="A171" s="258">
        <v>288</v>
      </c>
      <c r="B171" s="235">
        <v>288</v>
      </c>
      <c r="C171" s="235" t="s">
        <v>7744</v>
      </c>
      <c r="D171" s="235" t="s">
        <v>7876</v>
      </c>
      <c r="E171" s="235" t="s">
        <v>7744</v>
      </c>
      <c r="F171" s="235" t="s">
        <v>8427</v>
      </c>
      <c r="G171" s="235" t="str">
        <f>IF(MID(C171,1,3)="BGA","Complement","Rapsodyn")</f>
        <v>Rapsodyn</v>
      </c>
      <c r="H171" s="235" t="s">
        <v>265</v>
      </c>
      <c r="I171" s="235">
        <v>1</v>
      </c>
      <c r="J171" s="235">
        <v>9377</v>
      </c>
      <c r="K171" s="235">
        <v>5</v>
      </c>
      <c r="L171" s="235">
        <f t="shared" si="90"/>
        <v>5</v>
      </c>
      <c r="M171" s="235">
        <v>4</v>
      </c>
      <c r="N171" s="235">
        <v>5</v>
      </c>
      <c r="O171" s="248">
        <v>42048</v>
      </c>
      <c r="P171">
        <v>1.85</v>
      </c>
      <c r="Q171" s="264">
        <v>42204</v>
      </c>
      <c r="R171"/>
      <c r="S171"/>
      <c r="T171"/>
      <c r="V171" s="219">
        <f>+BR171*AF171/100</f>
        <v>5.3578342609466851</v>
      </c>
      <c r="W171" s="219"/>
      <c r="X171">
        <v>15.55</v>
      </c>
      <c r="Y171"/>
      <c r="Z171"/>
      <c r="AA171"/>
      <c r="AB171" s="220">
        <f>+AF171*BT171/100</f>
        <v>2.105787867754366</v>
      </c>
      <c r="AC171" s="219"/>
      <c r="AD171" s="221">
        <f>+(AF171/AJ171)*10000</f>
        <v>28167.674881953673</v>
      </c>
      <c r="AE171" s="219"/>
      <c r="AF171" s="220">
        <f>($P171/$X171)*(((100-$CD171)/100*(100-2)/100))*100</f>
        <v>11.210734603017562</v>
      </c>
      <c r="AG171" s="219"/>
      <c r="AH171" s="220">
        <f>($P171/$X171)*(((100-$CD171)/(100-9)*(100-2)/(100-2))*100)</f>
        <v>12.570906708923035</v>
      </c>
      <c r="AI171" s="219"/>
      <c r="AJ171">
        <v>3.98</v>
      </c>
      <c r="AK171" s="284" t="s">
        <v>8398</v>
      </c>
      <c r="AL171">
        <v>155</v>
      </c>
      <c r="AM171"/>
      <c r="AN171" s="241">
        <v>70</v>
      </c>
      <c r="AO171" s="242">
        <v>42074</v>
      </c>
      <c r="AP171" s="255">
        <v>106</v>
      </c>
      <c r="AQ171" s="242">
        <v>42110</v>
      </c>
      <c r="AR171" s="223">
        <v>132</v>
      </c>
      <c r="AS171" s="297">
        <f>IF(AR171=0,,AR171)</f>
        <v>132</v>
      </c>
      <c r="AT171" s="290">
        <v>42136</v>
      </c>
      <c r="AU171" s="298"/>
      <c r="AV171"/>
      <c r="AW171"/>
      <c r="AX171"/>
      <c r="AY171"/>
      <c r="AZ171"/>
      <c r="BA171"/>
      <c r="BB171"/>
      <c r="BC171"/>
      <c r="BD171"/>
      <c r="BE171"/>
      <c r="BF171" s="277">
        <v>29.274953842163086</v>
      </c>
      <c r="BG171" s="283">
        <v>42230</v>
      </c>
      <c r="BH171"/>
      <c r="BI171"/>
      <c r="BJ171"/>
      <c r="BK171"/>
      <c r="BL171" s="277">
        <v>59.371528625488281</v>
      </c>
      <c r="BM171" s="283">
        <v>42230</v>
      </c>
      <c r="BN171"/>
      <c r="BO171"/>
      <c r="BP171" s="277">
        <v>2.2061080932617187</v>
      </c>
      <c r="BQ171" s="283">
        <v>42230</v>
      </c>
      <c r="BR171" s="277">
        <v>47.791999816894531</v>
      </c>
      <c r="BS171" s="283">
        <v>42230</v>
      </c>
      <c r="BT171" s="277">
        <v>18.783674240112305</v>
      </c>
      <c r="BU171" s="283">
        <v>42230</v>
      </c>
      <c r="BV171" s="277">
        <v>68.8172607421875</v>
      </c>
      <c r="BW171" s="283">
        <v>42230</v>
      </c>
      <c r="BX171" s="277">
        <v>5.34228515625</v>
      </c>
      <c r="BY171" s="283">
        <v>42230</v>
      </c>
      <c r="BZ171"/>
      <c r="CB171" s="266">
        <v>2.59</v>
      </c>
      <c r="CC171"/>
      <c r="CD171" s="277">
        <v>3.8461538461538494</v>
      </c>
      <c r="CE171" s="291" t="s">
        <v>8398</v>
      </c>
      <c r="CF171"/>
      <c r="CG171"/>
      <c r="CH171">
        <v>3</v>
      </c>
      <c r="CI171">
        <v>6</v>
      </c>
      <c r="CK171"/>
      <c r="CL171" s="223">
        <v>5</v>
      </c>
      <c r="CM171" s="259">
        <v>42161</v>
      </c>
      <c r="CN171" s="137" t="s">
        <v>8406</v>
      </c>
    </row>
    <row r="172" spans="1:93">
      <c r="A172" s="258">
        <v>289</v>
      </c>
      <c r="B172" s="235">
        <v>289</v>
      </c>
      <c r="C172" s="235" t="s">
        <v>7742</v>
      </c>
      <c r="D172" s="235" t="s">
        <v>7878</v>
      </c>
      <c r="E172" s="235" t="s">
        <v>7742</v>
      </c>
      <c r="F172" s="235" t="s">
        <v>8426</v>
      </c>
      <c r="G172" s="235" t="str">
        <f>IF(MID(C172,1,3)="BGA","Complement","Rapsodyn")</f>
        <v>Rapsodyn</v>
      </c>
      <c r="H172" s="235" t="s">
        <v>265</v>
      </c>
      <c r="I172" s="235">
        <v>1</v>
      </c>
      <c r="J172" s="235">
        <v>9376</v>
      </c>
      <c r="K172" s="235">
        <v>4</v>
      </c>
      <c r="L172" s="235">
        <f t="shared" si="90"/>
        <v>4</v>
      </c>
      <c r="M172" s="235">
        <v>4</v>
      </c>
      <c r="N172" s="236">
        <v>5</v>
      </c>
      <c r="O172" s="248">
        <v>42048</v>
      </c>
      <c r="P172">
        <v>2.25</v>
      </c>
      <c r="Q172" s="264">
        <v>42204</v>
      </c>
      <c r="R172"/>
      <c r="S172"/>
      <c r="T172"/>
      <c r="V172" s="219">
        <f>+BR172*AF172/100</f>
        <v>6.8172073995952065</v>
      </c>
      <c r="W172" s="219"/>
      <c r="X172">
        <v>15.55</v>
      </c>
      <c r="Y172"/>
      <c r="Z172"/>
      <c r="AA172"/>
      <c r="AB172" s="220">
        <f>+AF172*BT172/100</f>
        <v>2.5415398797038287</v>
      </c>
      <c r="AC172" s="219"/>
      <c r="AD172" s="221">
        <f>+(AF172/AJ172)*10000</f>
        <v>33678.900099789338</v>
      </c>
      <c r="AE172" s="219"/>
      <c r="AF172" s="220">
        <f>($P172/$X172)*(((100-$CD172)/100*(100-2)/100))*100</f>
        <v>13.673633440514472</v>
      </c>
      <c r="AG172" s="219"/>
      <c r="AH172" s="220">
        <f>($P172/$X172)*(((100-$CD172)/(100-9)*(100-2)/(100-2))*100)</f>
        <v>15.332623279338945</v>
      </c>
      <c r="AI172" s="219"/>
      <c r="AJ172">
        <v>4.0599999999999996</v>
      </c>
      <c r="AK172" s="284" t="s">
        <v>8398</v>
      </c>
      <c r="AL172">
        <v>165</v>
      </c>
      <c r="AM172"/>
      <c r="AN172" s="241">
        <v>72</v>
      </c>
      <c r="AO172" s="242">
        <v>42076</v>
      </c>
      <c r="AP172" s="255">
        <v>110</v>
      </c>
      <c r="AQ172" s="242">
        <v>42114</v>
      </c>
      <c r="AR172" s="223">
        <v>132</v>
      </c>
      <c r="AS172" s="297">
        <f>IF(AR172=0,,AR172)</f>
        <v>132</v>
      </c>
      <c r="AT172" s="290">
        <v>42136</v>
      </c>
      <c r="AU172" s="298"/>
      <c r="AV172"/>
      <c r="AW172"/>
      <c r="AX172"/>
      <c r="AY172"/>
      <c r="AZ172"/>
      <c r="BA172"/>
      <c r="BB172"/>
      <c r="BC172"/>
      <c r="BD172"/>
      <c r="BE172"/>
      <c r="BF172" s="277">
        <v>32.300270080566406</v>
      </c>
      <c r="BG172" s="283">
        <v>42230</v>
      </c>
      <c r="BH172"/>
      <c r="BI172"/>
      <c r="BJ172"/>
      <c r="BK172"/>
      <c r="BL172" s="277">
        <v>60.432460784912109</v>
      </c>
      <c r="BM172" s="283">
        <v>42230</v>
      </c>
      <c r="BN172"/>
      <c r="BO172"/>
      <c r="BP172" s="277">
        <v>3.3704829216003418</v>
      </c>
      <c r="BQ172" s="283">
        <v>42230</v>
      </c>
      <c r="BR172" s="277">
        <v>49.856590270996094</v>
      </c>
      <c r="BS172" s="283">
        <v>42230</v>
      </c>
      <c r="BT172" s="277">
        <v>18.587158203125</v>
      </c>
      <c r="BU172" s="283">
        <v>42230</v>
      </c>
      <c r="BV172" s="277">
        <v>74.341682434082031</v>
      </c>
      <c r="BW172" s="283">
        <v>42230</v>
      </c>
      <c r="BX172" s="277">
        <v>5.3067245483398437</v>
      </c>
      <c r="BY172" s="283">
        <v>42230</v>
      </c>
      <c r="BZ172"/>
      <c r="CB172" s="266">
        <v>1.79</v>
      </c>
      <c r="CC172"/>
      <c r="CD172" s="277">
        <v>3.5714285714285587</v>
      </c>
      <c r="CE172" s="291" t="s">
        <v>8398</v>
      </c>
      <c r="CF172"/>
      <c r="CG172"/>
      <c r="CH172">
        <v>5</v>
      </c>
      <c r="CI172">
        <v>7</v>
      </c>
      <c r="CK172"/>
      <c r="CL172" s="223">
        <v>6</v>
      </c>
      <c r="CM172" s="259">
        <v>42161</v>
      </c>
      <c r="CO172" s="137" t="s">
        <v>8405</v>
      </c>
    </row>
    <row r="173" spans="1:93">
      <c r="A173" s="258">
        <v>290</v>
      </c>
      <c r="B173" s="235">
        <v>290</v>
      </c>
      <c r="C173" s="235" t="s">
        <v>7667</v>
      </c>
      <c r="D173" s="235" t="s">
        <v>7496</v>
      </c>
      <c r="E173" s="235" t="s">
        <v>7667</v>
      </c>
      <c r="F173" s="235" t="s">
        <v>8629</v>
      </c>
      <c r="G173" s="235" t="str">
        <f>IF(MID(C173,1,3)="BGA","Complement","Rapsodyn")</f>
        <v>Rapsodyn</v>
      </c>
      <c r="H173" s="235" t="s">
        <v>265</v>
      </c>
      <c r="I173" s="235">
        <v>1</v>
      </c>
      <c r="J173" s="235">
        <v>9373</v>
      </c>
      <c r="K173" s="235">
        <v>3</v>
      </c>
      <c r="L173" s="235">
        <f t="shared" si="90"/>
        <v>3</v>
      </c>
      <c r="M173" s="235">
        <v>4</v>
      </c>
      <c r="N173" s="235">
        <v>5</v>
      </c>
      <c r="O173" s="248">
        <v>42048</v>
      </c>
      <c r="P173">
        <v>3.45</v>
      </c>
      <c r="Q173" s="264">
        <v>42204</v>
      </c>
      <c r="R173"/>
      <c r="S173"/>
      <c r="T173"/>
      <c r="V173" s="219">
        <f>+BR173*AF173/100</f>
        <v>10.318646805757274</v>
      </c>
      <c r="W173" s="219"/>
      <c r="X173">
        <v>15.55</v>
      </c>
      <c r="Y173"/>
      <c r="Z173"/>
      <c r="AA173"/>
      <c r="AB173" s="220">
        <f>+AF173*BT173/100</f>
        <v>3.7473563565641395</v>
      </c>
      <c r="AC173" s="219"/>
      <c r="AD173" s="221">
        <f>+(AF173/AJ173)*10000</f>
        <v>41238.056469060022</v>
      </c>
      <c r="AE173" s="219"/>
      <c r="AF173" s="220">
        <f>($P173/$X173)*(((100-$CD173)/100*(100-2)/100))*100</f>
        <v>21.36131325097309</v>
      </c>
      <c r="AG173" s="219"/>
      <c r="AH173" s="220">
        <f>($P173/$X173)*(((100-$CD173)/(100-9)*(100-2)/(100-2))*100)</f>
        <v>23.953031230066262</v>
      </c>
      <c r="AI173" s="219"/>
      <c r="AJ173">
        <v>5.18</v>
      </c>
      <c r="AK173" s="284" t="s">
        <v>8398</v>
      </c>
      <c r="AL173">
        <v>160</v>
      </c>
      <c r="AM173"/>
      <c r="AN173" s="241">
        <v>72</v>
      </c>
      <c r="AO173" s="242">
        <v>42076</v>
      </c>
      <c r="AP173" s="255">
        <v>106</v>
      </c>
      <c r="AQ173" s="242">
        <v>42110</v>
      </c>
      <c r="AR173" s="223">
        <v>121</v>
      </c>
      <c r="AS173" s="297">
        <f>IF(AR173=0,,AR173)</f>
        <v>121</v>
      </c>
      <c r="AT173" s="290">
        <v>42125</v>
      </c>
      <c r="AU173" s="298"/>
      <c r="AV173"/>
      <c r="AW173"/>
      <c r="AX173"/>
      <c r="AY173"/>
      <c r="AZ173"/>
      <c r="BA173"/>
      <c r="BB173"/>
      <c r="BC173"/>
      <c r="BD173"/>
      <c r="BE173"/>
      <c r="BF173" s="277">
        <v>-4.3579120635986328</v>
      </c>
      <c r="BG173" s="283">
        <v>42230</v>
      </c>
      <c r="BH173"/>
      <c r="BI173"/>
      <c r="BJ173"/>
      <c r="BK173"/>
      <c r="BL173" s="277">
        <v>65.703811645507813</v>
      </c>
      <c r="BM173" s="283">
        <v>42230</v>
      </c>
      <c r="BN173"/>
      <c r="BO173"/>
      <c r="BP173" s="277">
        <v>3.6268548965454102</v>
      </c>
      <c r="BQ173" s="283">
        <v>42230</v>
      </c>
      <c r="BR173" s="277">
        <v>48.305301666259766</v>
      </c>
      <c r="BS173" s="283">
        <v>42230</v>
      </c>
      <c r="BT173" s="277">
        <v>17.542724609375</v>
      </c>
      <c r="BU173" s="283">
        <v>42230</v>
      </c>
      <c r="BV173" s="277">
        <v>19.933141708374023</v>
      </c>
      <c r="BW173" s="283">
        <v>42230</v>
      </c>
      <c r="BX173" s="277">
        <v>5.6246414184570312</v>
      </c>
      <c r="BY173" s="283">
        <v>42230</v>
      </c>
      <c r="BZ173"/>
      <c r="CB173" s="266">
        <v>2.0499999999999998</v>
      </c>
      <c r="CC173"/>
      <c r="CD173" s="277">
        <v>1.7543859649122899</v>
      </c>
      <c r="CE173" s="291" t="s">
        <v>8398</v>
      </c>
      <c r="CF173"/>
      <c r="CG173"/>
      <c r="CH173">
        <v>2</v>
      </c>
      <c r="CI173">
        <v>4</v>
      </c>
      <c r="CK173"/>
      <c r="CL173" s="223">
        <v>4</v>
      </c>
      <c r="CM173" s="259">
        <v>42161</v>
      </c>
      <c r="CN173" s="137" t="s">
        <v>8406</v>
      </c>
    </row>
    <row r="174" spans="1:93">
      <c r="A174" s="258">
        <v>291</v>
      </c>
      <c r="B174" s="235">
        <v>291</v>
      </c>
      <c r="C174" s="235" t="s">
        <v>7607</v>
      </c>
      <c r="D174" s="235" t="s">
        <v>257</v>
      </c>
      <c r="E174" s="235" t="s">
        <v>7607</v>
      </c>
      <c r="F174" s="235" t="s">
        <v>8494</v>
      </c>
      <c r="G174" s="235" t="str">
        <f>IF(MID(C174,1,3)="BGA","Complement","Rapsodyn")</f>
        <v>Rapsodyn</v>
      </c>
      <c r="H174" s="235" t="s">
        <v>265</v>
      </c>
      <c r="I174" s="235">
        <v>1</v>
      </c>
      <c r="J174" s="235">
        <v>9362</v>
      </c>
      <c r="K174" s="235">
        <v>2</v>
      </c>
      <c r="L174" s="235">
        <f t="shared" si="90"/>
        <v>2</v>
      </c>
      <c r="M174" s="235">
        <v>4</v>
      </c>
      <c r="N174" s="236">
        <v>5</v>
      </c>
      <c r="O174" s="248">
        <v>42048</v>
      </c>
      <c r="P174">
        <v>1.5</v>
      </c>
      <c r="Q174" s="264">
        <v>42204</v>
      </c>
      <c r="R174"/>
      <c r="S174"/>
      <c r="T174"/>
      <c r="V174" s="219">
        <f>+BR174*AF174/100</f>
        <v>4.243762610664203</v>
      </c>
      <c r="W174" s="219"/>
      <c r="X174">
        <v>15.55</v>
      </c>
      <c r="Y174"/>
      <c r="Z174"/>
      <c r="AA174"/>
      <c r="AB174" s="220">
        <f>+AF174*BT174/100</f>
        <v>1.8453252824926496</v>
      </c>
      <c r="AC174" s="219"/>
      <c r="AD174" s="221">
        <f>+(AF174/AJ174)*10000</f>
        <v>20235.685036130148</v>
      </c>
      <c r="AE174" s="219"/>
      <c r="AF174" s="220">
        <f>($P174/$X174)*(((100-$CD174)/100*(100-2)/100))*100</f>
        <v>8.9644084710056546</v>
      </c>
      <c r="AG174" s="219"/>
      <c r="AH174" s="220">
        <f>($P174/$X174)*(((100-$CD174)/(100-9)*(100-2)/(100-2))*100)</f>
        <v>10.052039101822892</v>
      </c>
      <c r="AI174" s="219"/>
      <c r="AJ174" s="287">
        <v>4.43</v>
      </c>
      <c r="AK174" s="284">
        <v>42286</v>
      </c>
      <c r="AL174">
        <v>150</v>
      </c>
      <c r="AM174"/>
      <c r="AN174" s="241">
        <v>70</v>
      </c>
      <c r="AO174" s="242">
        <v>42074</v>
      </c>
      <c r="AP174" s="255">
        <v>104</v>
      </c>
      <c r="AQ174" s="242">
        <v>42108</v>
      </c>
      <c r="AR174" s="223">
        <v>127</v>
      </c>
      <c r="AS174" s="297">
        <f>IF(AR174=0,,AR174)</f>
        <v>127</v>
      </c>
      <c r="AT174" s="290">
        <v>42131</v>
      </c>
      <c r="AU174" s="298"/>
      <c r="AV174"/>
      <c r="AW174"/>
      <c r="AX174"/>
      <c r="AY174"/>
      <c r="AZ174"/>
      <c r="BA174"/>
      <c r="BB174"/>
      <c r="BC174"/>
      <c r="BD174"/>
      <c r="BE174"/>
      <c r="BF174" s="277">
        <v>16.080568313598633</v>
      </c>
      <c r="BG174" s="283">
        <v>42230</v>
      </c>
      <c r="BH174"/>
      <c r="BI174"/>
      <c r="BJ174"/>
      <c r="BK174"/>
      <c r="BL174" s="277">
        <v>59.921230316162109</v>
      </c>
      <c r="BM174" s="283">
        <v>42230</v>
      </c>
      <c r="BN174"/>
      <c r="BO174"/>
      <c r="BP174" s="277">
        <v>4.3885221481323242</v>
      </c>
      <c r="BQ174" s="283">
        <v>42230</v>
      </c>
      <c r="BR174" s="277">
        <v>47.340129852294922</v>
      </c>
      <c r="BS174" s="283">
        <v>42230</v>
      </c>
      <c r="BT174" s="277">
        <v>20.585020065307617</v>
      </c>
      <c r="BU174" s="283">
        <v>42230</v>
      </c>
      <c r="BV174" s="277">
        <v>51.195137023925781</v>
      </c>
      <c r="BW174" s="283">
        <v>42230</v>
      </c>
      <c r="BX174" s="277">
        <v>6.0459442138671875</v>
      </c>
      <c r="BY174" s="283">
        <v>42230</v>
      </c>
      <c r="BZ174"/>
      <c r="CB174" s="266">
        <v>2.19</v>
      </c>
      <c r="CC174"/>
      <c r="CD174" s="220">
        <v>5.1724137931034457</v>
      </c>
      <c r="CE174" s="291">
        <v>42256</v>
      </c>
      <c r="CF174"/>
      <c r="CG174"/>
      <c r="CH174">
        <v>3</v>
      </c>
      <c r="CI174">
        <v>5</v>
      </c>
      <c r="CK174"/>
      <c r="CL174" s="223">
        <v>6</v>
      </c>
      <c r="CM174" s="259">
        <v>42161</v>
      </c>
      <c r="CN174" s="137" t="s">
        <v>8406</v>
      </c>
    </row>
    <row r="175" spans="1:93">
      <c r="A175" s="258">
        <v>292</v>
      </c>
      <c r="B175" s="235">
        <v>292</v>
      </c>
      <c r="C175" s="235" t="s">
        <v>7576</v>
      </c>
      <c r="D175" s="235"/>
      <c r="E175" s="235"/>
      <c r="F175" s="235"/>
      <c r="G175" s="235"/>
      <c r="H175" s="235" t="s">
        <v>265</v>
      </c>
      <c r="I175" s="235">
        <v>1</v>
      </c>
      <c r="K175" s="235">
        <v>1</v>
      </c>
      <c r="L175" s="235">
        <f t="shared" si="90"/>
        <v>1</v>
      </c>
      <c r="M175" s="235">
        <v>4</v>
      </c>
      <c r="O175" s="248">
        <v>42048</v>
      </c>
      <c r="P175"/>
      <c r="Q175" s="219"/>
      <c r="R175"/>
      <c r="S175"/>
      <c r="T175"/>
      <c r="V175" s="219"/>
      <c r="W175" s="219"/>
      <c r="X175">
        <v>15.55</v>
      </c>
      <c r="Y175"/>
      <c r="Z175"/>
      <c r="AA175"/>
      <c r="AB175" s="220"/>
      <c r="AC175" s="219"/>
      <c r="AD175" s="221"/>
      <c r="AE175" s="219"/>
      <c r="AF175" s="220"/>
      <c r="AG175" s="219"/>
      <c r="AH175" s="220"/>
      <c r="AI175" s="219"/>
      <c r="AJ175" s="219"/>
      <c r="AK175" s="284"/>
      <c r="AL175"/>
      <c r="AM175"/>
      <c r="AN175" s="241">
        <v>70</v>
      </c>
      <c r="AO175" s="242">
        <v>42074</v>
      </c>
      <c r="AP175" s="255">
        <v>104</v>
      </c>
      <c r="AQ175" s="242">
        <v>42108</v>
      </c>
      <c r="AR175"/>
      <c r="AS175" s="297"/>
      <c r="AT175" s="290"/>
      <c r="AU175" s="298"/>
      <c r="AV175"/>
      <c r="AW175"/>
      <c r="AX175"/>
      <c r="AY175"/>
      <c r="AZ175"/>
      <c r="BA175"/>
      <c r="BB175"/>
      <c r="BC175"/>
      <c r="BD175"/>
      <c r="BE175"/>
      <c r="BF175" s="277"/>
      <c r="BG175" s="235"/>
      <c r="BH175"/>
      <c r="BI175"/>
      <c r="BJ175"/>
      <c r="BK175"/>
      <c r="BL175" s="277"/>
      <c r="BM175" s="235"/>
      <c r="BN175"/>
      <c r="BO175"/>
      <c r="BP175" s="277"/>
      <c r="BQ175" s="235"/>
      <c r="BR175" s="277"/>
      <c r="BS175" s="235"/>
      <c r="BT175" s="277"/>
      <c r="BU175" s="235"/>
      <c r="BV175" s="277"/>
      <c r="BW175" s="235"/>
      <c r="BX175" s="277"/>
      <c r="BY175" s="235"/>
      <c r="BZ175"/>
      <c r="CB175" s="266"/>
      <c r="CC175"/>
      <c r="CD175" s="277"/>
      <c r="CE175" s="291"/>
      <c r="CF175"/>
      <c r="CG175"/>
      <c r="CH175"/>
      <c r="CI175"/>
      <c r="CK175"/>
      <c r="CL175" s="223">
        <v>1</v>
      </c>
      <c r="CM175" s="259">
        <v>42161</v>
      </c>
    </row>
    <row r="176" spans="1:93">
      <c r="A176" s="258">
        <v>293</v>
      </c>
      <c r="B176" s="235">
        <v>293</v>
      </c>
      <c r="C176" s="235" t="s">
        <v>7576</v>
      </c>
      <c r="D176" s="235"/>
      <c r="E176" s="235"/>
      <c r="F176" s="235"/>
      <c r="G176" s="235"/>
      <c r="H176" s="235" t="s">
        <v>265</v>
      </c>
      <c r="I176" s="235">
        <v>1</v>
      </c>
      <c r="K176" s="235">
        <v>1</v>
      </c>
      <c r="L176" s="235">
        <f t="shared" si="90"/>
        <v>1</v>
      </c>
      <c r="M176" s="235">
        <v>5</v>
      </c>
      <c r="O176" s="248">
        <v>42048</v>
      </c>
      <c r="P176"/>
      <c r="Q176" s="219"/>
      <c r="R176"/>
      <c r="S176"/>
      <c r="T176"/>
      <c r="V176" s="219"/>
      <c r="W176" s="219"/>
      <c r="X176">
        <v>15.55</v>
      </c>
      <c r="Y176"/>
      <c r="Z176"/>
      <c r="AA176"/>
      <c r="AB176" s="220"/>
      <c r="AC176" s="219"/>
      <c r="AD176" s="221"/>
      <c r="AE176" s="219"/>
      <c r="AF176" s="220"/>
      <c r="AG176" s="219"/>
      <c r="AH176" s="220"/>
      <c r="AI176" s="219"/>
      <c r="AJ176" s="219"/>
      <c r="AK176" s="284"/>
      <c r="AL176"/>
      <c r="AM176"/>
      <c r="AN176" s="241">
        <v>70</v>
      </c>
      <c r="AO176" s="242">
        <v>42074</v>
      </c>
      <c r="AP176" s="255">
        <v>104</v>
      </c>
      <c r="AQ176" s="242">
        <v>42108</v>
      </c>
      <c r="AR176"/>
      <c r="AS176" s="297"/>
      <c r="AT176" s="290"/>
      <c r="AU176" s="298"/>
      <c r="AV176"/>
      <c r="AW176"/>
      <c r="AX176"/>
      <c r="AY176"/>
      <c r="AZ176"/>
      <c r="BA176"/>
      <c r="BB176"/>
      <c r="BC176"/>
      <c r="BD176"/>
      <c r="BE176"/>
      <c r="BF176" s="277"/>
      <c r="BG176" s="235"/>
      <c r="BH176"/>
      <c r="BI176"/>
      <c r="BJ176"/>
      <c r="BK176"/>
      <c r="BL176" s="277"/>
      <c r="BM176" s="235"/>
      <c r="BN176"/>
      <c r="BO176"/>
      <c r="BP176" s="277"/>
      <c r="BQ176" s="235"/>
      <c r="BR176" s="277"/>
      <c r="BS176" s="235"/>
      <c r="BT176" s="277"/>
      <c r="BU176" s="235"/>
      <c r="BV176" s="277"/>
      <c r="BW176" s="235"/>
      <c r="BX176" s="277"/>
      <c r="BY176" s="235"/>
      <c r="BZ176"/>
      <c r="CB176" s="266"/>
      <c r="CC176"/>
      <c r="CD176" s="277"/>
      <c r="CE176" s="291"/>
      <c r="CF176"/>
      <c r="CG176"/>
      <c r="CH176"/>
      <c r="CI176"/>
      <c r="CK176"/>
      <c r="CL176" s="223">
        <v>1</v>
      </c>
      <c r="CM176" s="259">
        <v>42161</v>
      </c>
    </row>
    <row r="177" spans="1:93">
      <c r="A177" s="258">
        <v>294</v>
      </c>
      <c r="B177" s="235">
        <v>294</v>
      </c>
      <c r="C177" s="235" t="s">
        <v>7651</v>
      </c>
      <c r="D177" s="235" t="s">
        <v>7482</v>
      </c>
      <c r="E177" s="235" t="s">
        <v>7651</v>
      </c>
      <c r="F177" s="235" t="s">
        <v>8563</v>
      </c>
      <c r="G177" s="235" t="str">
        <f>IF(MID(C177,1,3)="BGA","Complement","Rapsodyn")</f>
        <v>Rapsodyn</v>
      </c>
      <c r="H177" s="235" t="s">
        <v>265</v>
      </c>
      <c r="I177" s="235">
        <v>1</v>
      </c>
      <c r="J177" s="235">
        <v>9371</v>
      </c>
      <c r="K177" s="235">
        <v>2</v>
      </c>
      <c r="L177" s="235">
        <f t="shared" si="90"/>
        <v>2</v>
      </c>
      <c r="M177" s="235">
        <v>5</v>
      </c>
      <c r="N177" s="235">
        <v>5</v>
      </c>
      <c r="O177" s="248">
        <v>42048</v>
      </c>
      <c r="P177">
        <v>2.95</v>
      </c>
      <c r="Q177" s="264">
        <v>42204</v>
      </c>
      <c r="R177"/>
      <c r="S177"/>
      <c r="T177"/>
      <c r="V177" s="219">
        <f>+BR177*AF177/100</f>
        <v>8.5436943461427344</v>
      </c>
      <c r="W177" s="219"/>
      <c r="X177">
        <v>15.55</v>
      </c>
      <c r="Y177"/>
      <c r="Z177"/>
      <c r="AA177"/>
      <c r="AB177" s="220">
        <f>+AF177*BT177/100</f>
        <v>3.2027425342817395</v>
      </c>
      <c r="AC177" s="219"/>
      <c r="AD177" s="221">
        <f>+(AF177/AJ177)*10000</f>
        <v>39214.005001786347</v>
      </c>
      <c r="AE177" s="219"/>
      <c r="AF177" s="220">
        <f>($P177/$X177)*(((100-$CD177)/100*(100-2)/100))*100</f>
        <v>17.646302250803856</v>
      </c>
      <c r="AG177" s="219"/>
      <c r="AH177" s="220">
        <f>($P177/$X177)*(((100-$CD177)/(100-9)*(100-2)/(100-2))*100)</f>
        <v>19.787286668315605</v>
      </c>
      <c r="AI177" s="219"/>
      <c r="AJ177">
        <v>4.5</v>
      </c>
      <c r="AK177" s="284" t="s">
        <v>8398</v>
      </c>
      <c r="AL177">
        <v>160</v>
      </c>
      <c r="AM177"/>
      <c r="AN177" s="241">
        <v>72</v>
      </c>
      <c r="AO177" s="242">
        <v>42076</v>
      </c>
      <c r="AP177" s="255">
        <v>104</v>
      </c>
      <c r="AQ177" s="242">
        <v>42108</v>
      </c>
      <c r="AR177" s="223">
        <v>127</v>
      </c>
      <c r="AS177" s="297">
        <f>IF(AR177=0,,AR177)</f>
        <v>127</v>
      </c>
      <c r="AT177" s="290">
        <v>42131</v>
      </c>
      <c r="AU177" s="298"/>
      <c r="AV177"/>
      <c r="AW177"/>
      <c r="AX177"/>
      <c r="AY177"/>
      <c r="AZ177"/>
      <c r="BA177"/>
      <c r="BB177"/>
      <c r="BC177"/>
      <c r="BD177"/>
      <c r="BE177"/>
      <c r="BF177" s="277">
        <v>-1.5022159814834595</v>
      </c>
      <c r="BG177" s="283">
        <v>42230</v>
      </c>
      <c r="BH177"/>
      <c r="BI177"/>
      <c r="BJ177"/>
      <c r="BK177"/>
      <c r="BL177" s="277">
        <v>62.052070617675781</v>
      </c>
      <c r="BM177" s="283">
        <v>42230</v>
      </c>
      <c r="BN177"/>
      <c r="BO177"/>
      <c r="BP177" s="277">
        <v>3.6437239646911621</v>
      </c>
      <c r="BQ177" s="283">
        <v>42230</v>
      </c>
      <c r="BR177" s="277">
        <v>48.416343688964844</v>
      </c>
      <c r="BS177" s="283">
        <v>42230</v>
      </c>
      <c r="BT177" s="277">
        <v>18.149652481079102</v>
      </c>
      <c r="BU177" s="283">
        <v>42230</v>
      </c>
      <c r="BV177" s="277">
        <v>59.874565124511719</v>
      </c>
      <c r="BW177" s="283">
        <v>42230</v>
      </c>
      <c r="BX177" s="277">
        <v>5.6080245971679687</v>
      </c>
      <c r="BY177" s="283">
        <v>42230</v>
      </c>
      <c r="BZ177"/>
      <c r="CB177" s="266">
        <v>1.99</v>
      </c>
      <c r="CC177"/>
      <c r="CD177" s="277">
        <v>5.0847457627118757</v>
      </c>
      <c r="CE177" s="291" t="s">
        <v>8398</v>
      </c>
      <c r="CF177"/>
      <c r="CG177"/>
      <c r="CH177">
        <v>3</v>
      </c>
      <c r="CI177">
        <v>5</v>
      </c>
      <c r="CK177"/>
      <c r="CL177" s="223">
        <v>2</v>
      </c>
      <c r="CM177" s="259">
        <v>42161</v>
      </c>
      <c r="CN177" s="137" t="s">
        <v>8406</v>
      </c>
    </row>
    <row r="178" spans="1:93">
      <c r="A178" s="258">
        <v>295</v>
      </c>
      <c r="B178" s="235">
        <v>295</v>
      </c>
      <c r="C178" s="235" t="s">
        <v>7655</v>
      </c>
      <c r="D178" s="235" t="s">
        <v>8420</v>
      </c>
      <c r="E178" s="235" t="s">
        <v>7655</v>
      </c>
      <c r="F178" s="235" t="s">
        <v>8561</v>
      </c>
      <c r="G178" s="235" t="str">
        <f>IF(MID(C178,1,3)="BGA","Complement","Rapsodyn")</f>
        <v>Rapsodyn</v>
      </c>
      <c r="H178" s="235" t="s">
        <v>265</v>
      </c>
      <c r="I178" s="235">
        <v>1</v>
      </c>
      <c r="J178" s="235">
        <v>9372</v>
      </c>
      <c r="K178" s="235">
        <v>3</v>
      </c>
      <c r="L178" s="235">
        <f t="shared" si="90"/>
        <v>3</v>
      </c>
      <c r="M178" s="235">
        <v>5</v>
      </c>
      <c r="N178" s="235">
        <v>7</v>
      </c>
      <c r="O178" s="248">
        <v>42048</v>
      </c>
      <c r="P178">
        <v>3</v>
      </c>
      <c r="Q178" s="264">
        <v>42204</v>
      </c>
      <c r="R178"/>
      <c r="S178"/>
      <c r="T178"/>
      <c r="V178" s="219">
        <f>+BR178*AF178/100</f>
        <v>8.9536384199048538</v>
      </c>
      <c r="W178" s="219"/>
      <c r="X178">
        <v>15.55</v>
      </c>
      <c r="Y178"/>
      <c r="Z178"/>
      <c r="AA178"/>
      <c r="AB178" s="220">
        <f>+AF178*BT178/100</f>
        <v>3.5815488312082624</v>
      </c>
      <c r="AC178" s="219"/>
      <c r="AD178" s="221">
        <f>+(AF178/AJ178)*10000</f>
        <v>38166.020063005803</v>
      </c>
      <c r="AE178" s="219"/>
      <c r="AF178" s="220">
        <f>($P178/$X178)*(((100-$CD178)/100*(100-2)/100))*100</f>
        <v>18.243357590116773</v>
      </c>
      <c r="AG178" s="219"/>
      <c r="AH178" s="220">
        <f>($P178/$X178)*(((100-$CD178)/(100-9)*(100-2)/(100-2))*100)</f>
        <v>20.456781330025535</v>
      </c>
      <c r="AI178" s="219"/>
      <c r="AJ178">
        <v>4.78</v>
      </c>
      <c r="AK178" s="284" t="s">
        <v>8398</v>
      </c>
      <c r="AL178">
        <v>155</v>
      </c>
      <c r="AM178"/>
      <c r="AN178" s="241">
        <v>72</v>
      </c>
      <c r="AO178" s="242">
        <v>42076</v>
      </c>
      <c r="AP178" s="255">
        <v>106</v>
      </c>
      <c r="AQ178" s="242">
        <v>42110</v>
      </c>
      <c r="AR178" s="223">
        <v>127</v>
      </c>
      <c r="AS178" s="297">
        <f>IF(AR178=0,,AR178)</f>
        <v>127</v>
      </c>
      <c r="AT178" s="290">
        <v>42131</v>
      </c>
      <c r="AU178" s="298"/>
      <c r="AV178"/>
      <c r="AW178"/>
      <c r="AX178"/>
      <c r="AY178"/>
      <c r="AZ178"/>
      <c r="BA178"/>
      <c r="BB178"/>
      <c r="BC178"/>
      <c r="BD178"/>
      <c r="BE178"/>
      <c r="BF178" s="277">
        <v>-4.441864013671875</v>
      </c>
      <c r="BG178" s="283">
        <v>42230</v>
      </c>
      <c r="BH178"/>
      <c r="BI178"/>
      <c r="BJ178"/>
      <c r="BK178"/>
      <c r="BL178" s="277">
        <v>62.625015258789063</v>
      </c>
      <c r="BM178" s="283">
        <v>42230</v>
      </c>
      <c r="BN178"/>
      <c r="BO178"/>
      <c r="BP178" s="277">
        <v>3.4358720779418945</v>
      </c>
      <c r="BQ178" s="283">
        <v>42230</v>
      </c>
      <c r="BR178" s="277">
        <v>49.078895568847656</v>
      </c>
      <c r="BS178" s="283">
        <v>42230</v>
      </c>
      <c r="BT178" s="277">
        <v>19.632070541381836</v>
      </c>
      <c r="BU178" s="283">
        <v>42230</v>
      </c>
      <c r="BV178" s="277">
        <v>64.238121032714844</v>
      </c>
      <c r="BW178" s="283">
        <v>42230</v>
      </c>
      <c r="BX178" s="277">
        <v>5.278106689453125</v>
      </c>
      <c r="BY178" s="283">
        <v>42230</v>
      </c>
      <c r="BZ178"/>
      <c r="CB178" s="266">
        <v>1.29</v>
      </c>
      <c r="CC178"/>
      <c r="CD178" s="277">
        <v>3.5087719298245648</v>
      </c>
      <c r="CE178" s="291" t="s">
        <v>8398</v>
      </c>
      <c r="CF178"/>
      <c r="CG178"/>
      <c r="CH178">
        <v>3</v>
      </c>
      <c r="CI178">
        <v>5</v>
      </c>
      <c r="CK178"/>
      <c r="CL178">
        <v>2</v>
      </c>
      <c r="CM178" s="259">
        <v>42161</v>
      </c>
      <c r="CN178" s="137" t="s">
        <v>8406</v>
      </c>
    </row>
    <row r="179" spans="1:93">
      <c r="A179" s="258">
        <v>296</v>
      </c>
      <c r="B179" s="235">
        <v>296</v>
      </c>
      <c r="C179" s="235" t="s">
        <v>7605</v>
      </c>
      <c r="D179" s="235" t="s">
        <v>7446</v>
      </c>
      <c r="E179" s="235" t="s">
        <v>7605</v>
      </c>
      <c r="F179" s="235" t="s">
        <v>8424</v>
      </c>
      <c r="G179" s="235" t="str">
        <f>IF(MID(C179,1,3)="BGA","Complement","Rapsodyn")</f>
        <v>Rapsodyn</v>
      </c>
      <c r="H179" s="235" t="s">
        <v>265</v>
      </c>
      <c r="I179" s="235">
        <v>1</v>
      </c>
      <c r="J179" s="235">
        <v>9361</v>
      </c>
      <c r="K179" s="235">
        <v>4</v>
      </c>
      <c r="L179" s="235">
        <f t="shared" si="90"/>
        <v>4</v>
      </c>
      <c r="M179" s="235">
        <v>5</v>
      </c>
      <c r="N179" s="235">
        <v>7</v>
      </c>
      <c r="O179" s="248">
        <v>42048</v>
      </c>
      <c r="P179">
        <v>1.75</v>
      </c>
      <c r="Q179" s="264">
        <v>42204</v>
      </c>
      <c r="R179"/>
      <c r="S179"/>
      <c r="T179"/>
      <c r="V179" s="219">
        <f>+BR179*AF179/100</f>
        <v>4.9475429560089506</v>
      </c>
      <c r="W179" s="219"/>
      <c r="X179">
        <v>15.55</v>
      </c>
      <c r="Y179"/>
      <c r="Z179"/>
      <c r="AA179"/>
      <c r="AB179" s="220">
        <f>+AF179*BT179/100</f>
        <v>2.2451105901202006</v>
      </c>
      <c r="AC179" s="219"/>
      <c r="AD179" s="221">
        <f>+(AF179/AJ179)*10000</f>
        <v>21236.724467430835</v>
      </c>
      <c r="AE179" s="219"/>
      <c r="AF179" s="220">
        <f>($P179/$X179)*(((100-$CD179)/100*(100-2)/100))*100</f>
        <v>10.44846843797597</v>
      </c>
      <c r="AG179" s="219"/>
      <c r="AH179" s="220">
        <f>($P179/$X179)*(((100-$CD179)/(100-9)*(100-2)/(100-2))*100)</f>
        <v>11.716156579923716</v>
      </c>
      <c r="AI179" s="219"/>
      <c r="AJ179">
        <v>4.92</v>
      </c>
      <c r="AK179" s="284" t="s">
        <v>8398</v>
      </c>
      <c r="AL179">
        <v>175</v>
      </c>
      <c r="AM179"/>
      <c r="AN179" s="241">
        <v>70</v>
      </c>
      <c r="AO179" s="242">
        <v>42074</v>
      </c>
      <c r="AP179" s="255">
        <v>106</v>
      </c>
      <c r="AQ179" s="242">
        <v>42110</v>
      </c>
      <c r="AR179" s="223">
        <v>145</v>
      </c>
      <c r="AS179" s="297">
        <f>IF(AR179=0,,AR179)</f>
        <v>145</v>
      </c>
      <c r="AT179" s="290">
        <v>42149</v>
      </c>
      <c r="AU179" s="298"/>
      <c r="AV179"/>
      <c r="AW179"/>
      <c r="AX179"/>
      <c r="AY179"/>
      <c r="AZ179"/>
      <c r="BA179"/>
      <c r="BB179"/>
      <c r="BC179"/>
      <c r="BD179"/>
      <c r="BE179"/>
      <c r="BF179" s="277">
        <v>38.356918334960938</v>
      </c>
      <c r="BG179" s="283">
        <v>42230</v>
      </c>
      <c r="BH179"/>
      <c r="BI179"/>
      <c r="BJ179"/>
      <c r="BK179"/>
      <c r="BL179" s="277">
        <v>60.0657958984375</v>
      </c>
      <c r="BM179" s="283">
        <v>42230</v>
      </c>
      <c r="BN179"/>
      <c r="BO179"/>
      <c r="BP179" s="277">
        <v>3.3250079154968262</v>
      </c>
      <c r="BQ179" s="283">
        <v>42230</v>
      </c>
      <c r="BR179" s="277">
        <v>47.351848602294922</v>
      </c>
      <c r="BS179" s="283">
        <v>42230</v>
      </c>
      <c r="BT179" s="277">
        <v>21.487461090087891</v>
      </c>
      <c r="BU179" s="283">
        <v>42230</v>
      </c>
      <c r="BV179" s="277">
        <v>84.170661926269531</v>
      </c>
      <c r="BW179" s="283">
        <v>42230</v>
      </c>
      <c r="BX179" s="277">
        <v>5.5994186401367187</v>
      </c>
      <c r="BY179" s="283">
        <v>42230</v>
      </c>
      <c r="BZ179"/>
      <c r="CB179" s="266">
        <v>2.14</v>
      </c>
      <c r="CC179"/>
      <c r="CD179" s="277">
        <v>5.2631578947368389</v>
      </c>
      <c r="CE179" s="291" t="s">
        <v>8398</v>
      </c>
      <c r="CF179"/>
      <c r="CG179"/>
      <c r="CH179">
        <v>4</v>
      </c>
      <c r="CI179">
        <v>2</v>
      </c>
      <c r="CK179"/>
      <c r="CL179">
        <v>1</v>
      </c>
      <c r="CM179" s="259">
        <v>42161</v>
      </c>
      <c r="CN179" s="137" t="s">
        <v>8406</v>
      </c>
    </row>
    <row r="180" spans="1:93">
      <c r="A180" s="258">
        <v>297</v>
      </c>
      <c r="B180" s="235">
        <v>297</v>
      </c>
      <c r="C180" s="235" t="s">
        <v>7649</v>
      </c>
      <c r="D180" s="235" t="s">
        <v>7481</v>
      </c>
      <c r="E180" s="235" t="s">
        <v>7649</v>
      </c>
      <c r="F180" s="235" t="s">
        <v>8562</v>
      </c>
      <c r="G180" s="235" t="str">
        <f>IF(MID(C180,1,3)="BGA","Complement","Rapsodyn")</f>
        <v>Rapsodyn</v>
      </c>
      <c r="H180" s="235" t="s">
        <v>265</v>
      </c>
      <c r="I180" s="235">
        <v>1</v>
      </c>
      <c r="J180" s="235">
        <v>9370</v>
      </c>
      <c r="K180" s="235">
        <v>5</v>
      </c>
      <c r="L180" s="235">
        <f t="shared" si="90"/>
        <v>5</v>
      </c>
      <c r="M180" s="235">
        <v>5</v>
      </c>
      <c r="N180" s="235">
        <v>7</v>
      </c>
      <c r="O180" s="248">
        <v>42048</v>
      </c>
      <c r="P180">
        <v>1.7</v>
      </c>
      <c r="Q180" s="264">
        <v>42204</v>
      </c>
      <c r="R180"/>
      <c r="S180"/>
      <c r="T180"/>
      <c r="V180" s="219">
        <f>+BR180*AF180/100</f>
        <v>4.7078930603149525</v>
      </c>
      <c r="W180" s="219"/>
      <c r="X180">
        <v>15.55</v>
      </c>
      <c r="Y180"/>
      <c r="Z180"/>
      <c r="AA180"/>
      <c r="AB180" s="220">
        <f>+AF180*BT180/100</f>
        <v>1.9367755634437689</v>
      </c>
      <c r="AC180" s="219"/>
      <c r="AD180" s="221">
        <f>+(AF180/AJ180)*10000</f>
        <v>27565.590994578426</v>
      </c>
      <c r="AE180" s="219"/>
      <c r="AF180" s="220">
        <f>($P180/$X180)*(((100-$CD180)/100*(100-2)/100))*100</f>
        <v>10.309531031972332</v>
      </c>
      <c r="AG180" s="219"/>
      <c r="AH180" s="220">
        <f>($P180/$X180)*(((100-$CD180)/(100-9)*(100-2)/(100-2))*100)</f>
        <v>11.56036222468304</v>
      </c>
      <c r="AI180" s="219"/>
      <c r="AJ180">
        <v>3.74</v>
      </c>
      <c r="AK180" s="284" t="s">
        <v>8398</v>
      </c>
      <c r="AL180">
        <v>175</v>
      </c>
      <c r="AM180"/>
      <c r="AN180" s="241">
        <v>70</v>
      </c>
      <c r="AO180" s="242">
        <v>42074</v>
      </c>
      <c r="AP180" s="255">
        <v>106</v>
      </c>
      <c r="AQ180" s="242">
        <v>42110</v>
      </c>
      <c r="AR180" s="223">
        <v>132</v>
      </c>
      <c r="AS180" s="297">
        <f>IF(AR180=0,,AR180)</f>
        <v>132</v>
      </c>
      <c r="AT180" s="290">
        <v>42136</v>
      </c>
      <c r="AU180" s="298"/>
      <c r="AV180"/>
      <c r="AW180"/>
      <c r="AX180"/>
      <c r="AY180"/>
      <c r="AZ180"/>
      <c r="BA180"/>
      <c r="BB180"/>
      <c r="BC180"/>
      <c r="BD180"/>
      <c r="BE180"/>
      <c r="BF180" s="277">
        <v>-5.1006698608398438</v>
      </c>
      <c r="BG180" s="283">
        <v>42230</v>
      </c>
      <c r="BH180"/>
      <c r="BI180"/>
      <c r="BJ180"/>
      <c r="BK180"/>
      <c r="BL180" s="277">
        <v>57.992477416992187</v>
      </c>
      <c r="BM180" s="283">
        <v>42230</v>
      </c>
      <c r="BN180"/>
      <c r="BO180"/>
      <c r="BP180" s="277">
        <v>3.3981249332427979</v>
      </c>
      <c r="BQ180" s="283">
        <v>42230</v>
      </c>
      <c r="BR180" s="277">
        <v>45.665443420410156</v>
      </c>
      <c r="BS180" s="283">
        <v>42230</v>
      </c>
      <c r="BT180" s="277">
        <v>18.786262512207031</v>
      </c>
      <c r="BU180" s="283">
        <v>42230</v>
      </c>
      <c r="BV180" s="277">
        <v>65.391197204589844</v>
      </c>
      <c r="BW180" s="283">
        <v>42230</v>
      </c>
      <c r="BX180" s="277">
        <v>5.789520263671875</v>
      </c>
      <c r="BY180" s="283">
        <v>42230</v>
      </c>
      <c r="BZ180"/>
      <c r="CB180" s="266">
        <v>3.73</v>
      </c>
      <c r="CC180"/>
      <c r="CD180" s="277">
        <v>3.7735849056603805</v>
      </c>
      <c r="CE180" s="291" t="s">
        <v>8398</v>
      </c>
      <c r="CF180"/>
      <c r="CG180"/>
      <c r="CH180">
        <v>3</v>
      </c>
      <c r="CI180">
        <v>8</v>
      </c>
      <c r="CK180"/>
      <c r="CL180">
        <v>4</v>
      </c>
      <c r="CM180" s="259">
        <v>42161</v>
      </c>
      <c r="CO180" s="137" t="s">
        <v>8405</v>
      </c>
    </row>
    <row r="181" spans="1:93">
      <c r="A181" s="258">
        <v>298</v>
      </c>
      <c r="B181" s="235">
        <v>298</v>
      </c>
      <c r="C181" s="235" t="s">
        <v>7576</v>
      </c>
      <c r="D181" s="235"/>
      <c r="E181" s="235"/>
      <c r="F181" s="235"/>
      <c r="G181" s="235"/>
      <c r="H181" s="235" t="s">
        <v>265</v>
      </c>
      <c r="I181" s="235">
        <v>1</v>
      </c>
      <c r="K181" s="235">
        <v>6</v>
      </c>
      <c r="L181" s="235">
        <f t="shared" si="90"/>
        <v>6</v>
      </c>
      <c r="M181" s="235">
        <v>5</v>
      </c>
      <c r="O181" s="248">
        <v>42048</v>
      </c>
      <c r="P181"/>
      <c r="Q181" s="219"/>
      <c r="R181"/>
      <c r="S181"/>
      <c r="T181"/>
      <c r="V181" s="219"/>
      <c r="W181" s="219"/>
      <c r="X181">
        <v>15.55</v>
      </c>
      <c r="Y181"/>
      <c r="Z181"/>
      <c r="AA181"/>
      <c r="AB181" s="220"/>
      <c r="AC181" s="219"/>
      <c r="AD181" s="221"/>
      <c r="AE181" s="219"/>
      <c r="AF181" s="220"/>
      <c r="AG181" s="219"/>
      <c r="AH181" s="220"/>
      <c r="AI181" s="219"/>
      <c r="AJ181" s="286"/>
      <c r="AK181" s="284"/>
      <c r="AL181"/>
      <c r="AM181"/>
      <c r="AN181" s="241">
        <v>70</v>
      </c>
      <c r="AO181" s="242">
        <v>42074</v>
      </c>
      <c r="AP181" s="255">
        <v>104</v>
      </c>
      <c r="AQ181" s="242">
        <v>42108</v>
      </c>
      <c r="AR181"/>
      <c r="AS181" s="297"/>
      <c r="AT181" s="290"/>
      <c r="AU181" s="298"/>
      <c r="AV181"/>
      <c r="AW181"/>
      <c r="AX181"/>
      <c r="AY181"/>
      <c r="AZ181"/>
      <c r="BA181"/>
      <c r="BB181"/>
      <c r="BC181"/>
      <c r="BD181"/>
      <c r="BE181"/>
      <c r="BF181" s="277"/>
      <c r="BG181" s="235"/>
      <c r="BH181"/>
      <c r="BI181"/>
      <c r="BJ181"/>
      <c r="BK181"/>
      <c r="BL181" s="277"/>
      <c r="BM181" s="235"/>
      <c r="BN181"/>
      <c r="BO181"/>
      <c r="BP181" s="277"/>
      <c r="BQ181" s="235"/>
      <c r="BR181" s="277"/>
      <c r="BS181" s="235"/>
      <c r="BT181" s="277"/>
      <c r="BU181" s="235"/>
      <c r="BV181" s="277"/>
      <c r="BW181" s="235"/>
      <c r="BX181" s="277"/>
      <c r="BY181" s="235"/>
      <c r="BZ181"/>
      <c r="CB181" s="266"/>
      <c r="CC181"/>
      <c r="CD181" s="277"/>
      <c r="CE181" s="291"/>
      <c r="CF181"/>
      <c r="CG181"/>
      <c r="CH181"/>
      <c r="CI181"/>
      <c r="CK181"/>
      <c r="CL181">
        <v>1</v>
      </c>
      <c r="CM181" s="259">
        <v>42161</v>
      </c>
    </row>
    <row r="182" spans="1:93">
      <c r="A182" s="258">
        <v>300</v>
      </c>
      <c r="B182" s="235">
        <v>300</v>
      </c>
      <c r="C182" s="235" t="s">
        <v>7766</v>
      </c>
      <c r="D182" s="235" t="s">
        <v>7842</v>
      </c>
      <c r="E182" s="235" t="s">
        <v>7766</v>
      </c>
      <c r="F182" s="235" t="s">
        <v>8590</v>
      </c>
      <c r="G182" s="235" t="str">
        <f t="shared" ref="G182:G193" si="98">IF(MID(C182,1,3)="BGA","Complement","Rapsodyn")</f>
        <v>Rapsodyn</v>
      </c>
      <c r="H182" s="235" t="s">
        <v>265</v>
      </c>
      <c r="I182" s="235">
        <v>1</v>
      </c>
      <c r="J182" s="235">
        <v>9137</v>
      </c>
      <c r="K182" s="235">
        <v>8</v>
      </c>
      <c r="L182" s="235">
        <f t="shared" si="90"/>
        <v>8</v>
      </c>
      <c r="M182" s="235">
        <v>5</v>
      </c>
      <c r="N182" s="235">
        <v>5</v>
      </c>
      <c r="O182" s="248">
        <v>42048</v>
      </c>
      <c r="P182">
        <v>5</v>
      </c>
      <c r="Q182" s="264">
        <v>42204</v>
      </c>
      <c r="R182"/>
      <c r="S182"/>
      <c r="T182"/>
      <c r="V182" s="219">
        <f t="shared" ref="V182:V193" si="99">+BR182*AF182/100</f>
        <v>15.906924896920241</v>
      </c>
      <c r="W182" s="219"/>
      <c r="X182">
        <v>15.55</v>
      </c>
      <c r="Y182"/>
      <c r="Z182"/>
      <c r="AA182"/>
      <c r="AB182" s="220">
        <f t="shared" ref="AB182:AB193" si="100">+AF182*BT182/100</f>
        <v>4.6564695923476487</v>
      </c>
      <c r="AC182" s="219"/>
      <c r="AD182" s="221">
        <f t="shared" ref="AD182:AD193" si="101">+(AF182/AJ182)*10000</f>
        <v>65529.301688637839</v>
      </c>
      <c r="AE182" s="219"/>
      <c r="AF182" s="220">
        <f t="shared" ref="AF182:AF193" si="102">($P182/$X182)*(((100-$CD182)/100*(100-2)/100))*100</f>
        <v>30.405595983527956</v>
      </c>
      <c r="AG182" s="219"/>
      <c r="AH182" s="220">
        <f t="shared" ref="AH182:AH193" si="103">($P182/$X182)*(((100-$CD182)/(100-9)*(100-2)/(100-2))*100)</f>
        <v>34.094635550042561</v>
      </c>
      <c r="AI182" s="219"/>
      <c r="AJ182">
        <v>4.6399999999999997</v>
      </c>
      <c r="AK182" s="284" t="s">
        <v>8398</v>
      </c>
      <c r="AL182">
        <v>160</v>
      </c>
      <c r="AM182"/>
      <c r="AN182" s="241">
        <v>70</v>
      </c>
      <c r="AO182" s="242">
        <v>42074</v>
      </c>
      <c r="AP182" s="255">
        <v>104</v>
      </c>
      <c r="AQ182" s="242">
        <v>42108</v>
      </c>
      <c r="AR182" s="223">
        <v>127</v>
      </c>
      <c r="AS182" s="297">
        <f t="shared" ref="AS182:AS193" si="104">IF(AR182=0,,AR182)</f>
        <v>127</v>
      </c>
      <c r="AT182" s="290">
        <v>42131</v>
      </c>
      <c r="AU182" s="298"/>
      <c r="AV182"/>
      <c r="AW182"/>
      <c r="AX182"/>
      <c r="AY182"/>
      <c r="AZ182"/>
      <c r="BA182"/>
      <c r="BB182"/>
      <c r="BC182"/>
      <c r="BD182"/>
      <c r="BE182"/>
      <c r="BF182" s="277">
        <v>-2.9528470039367676</v>
      </c>
      <c r="BG182" s="283">
        <v>42230</v>
      </c>
      <c r="BH182"/>
      <c r="BI182"/>
      <c r="BJ182"/>
      <c r="BK182"/>
      <c r="BL182" s="277">
        <v>64.111587524414063</v>
      </c>
      <c r="BM182" s="283">
        <v>42230</v>
      </c>
      <c r="BN182"/>
      <c r="BO182"/>
      <c r="BP182" s="277">
        <v>3.5151889324188232</v>
      </c>
      <c r="BQ182" s="283">
        <v>42230</v>
      </c>
      <c r="BR182" s="277">
        <v>52.315780639648438</v>
      </c>
      <c r="BS182" s="283">
        <v>42230</v>
      </c>
      <c r="BT182" s="277">
        <v>15.314515113830566</v>
      </c>
      <c r="BU182" s="283">
        <v>42230</v>
      </c>
      <c r="BV182" s="277">
        <v>12.428041458129883</v>
      </c>
      <c r="BW182" s="283">
        <v>42230</v>
      </c>
      <c r="BX182" s="277">
        <v>5.3509674072265625</v>
      </c>
      <c r="BY182" s="283">
        <v>42230</v>
      </c>
      <c r="BZ182"/>
      <c r="CB182" s="266">
        <v>1.51</v>
      </c>
      <c r="CC182"/>
      <c r="CD182" s="277">
        <v>3.5087719298245648</v>
      </c>
      <c r="CE182" s="291" t="s">
        <v>8398</v>
      </c>
      <c r="CF182"/>
      <c r="CG182"/>
      <c r="CH182">
        <v>2</v>
      </c>
      <c r="CI182">
        <v>3</v>
      </c>
      <c r="CK182"/>
      <c r="CL182">
        <v>2</v>
      </c>
      <c r="CM182" s="259">
        <v>42161</v>
      </c>
      <c r="CN182" s="137" t="s">
        <v>8406</v>
      </c>
    </row>
    <row r="183" spans="1:93">
      <c r="A183" s="258">
        <v>301</v>
      </c>
      <c r="B183" s="235">
        <v>301</v>
      </c>
      <c r="C183" s="235" t="s">
        <v>7627</v>
      </c>
      <c r="D183" s="235" t="s">
        <v>7461</v>
      </c>
      <c r="E183" s="235" t="s">
        <v>7627</v>
      </c>
      <c r="F183" s="235" t="s">
        <v>8440</v>
      </c>
      <c r="G183" s="235" t="str">
        <f t="shared" si="98"/>
        <v>Rapsodyn</v>
      </c>
      <c r="H183" s="235" t="s">
        <v>265</v>
      </c>
      <c r="I183" s="235">
        <v>1</v>
      </c>
      <c r="J183" s="235">
        <v>9019</v>
      </c>
      <c r="K183" s="235">
        <v>9</v>
      </c>
      <c r="L183" s="235">
        <f t="shared" si="90"/>
        <v>9</v>
      </c>
      <c r="M183" s="235">
        <v>5</v>
      </c>
      <c r="N183" s="235">
        <v>7</v>
      </c>
      <c r="O183" s="248">
        <v>42048</v>
      </c>
      <c r="P183">
        <v>3.3</v>
      </c>
      <c r="Q183" s="264">
        <v>42204</v>
      </c>
      <c r="R183"/>
      <c r="S183"/>
      <c r="T183"/>
      <c r="V183" s="219">
        <f t="shared" si="99"/>
        <v>9.2946876490553088</v>
      </c>
      <c r="W183" s="219"/>
      <c r="X183">
        <v>15.55</v>
      </c>
      <c r="Y183"/>
      <c r="Z183"/>
      <c r="AA183"/>
      <c r="AB183" s="220">
        <f t="shared" si="100"/>
        <v>3.4842144860270707</v>
      </c>
      <c r="AC183" s="219"/>
      <c r="AD183" s="221">
        <f t="shared" si="101"/>
        <v>40944.559362647713</v>
      </c>
      <c r="AE183" s="219"/>
      <c r="AF183" s="220">
        <f t="shared" si="102"/>
        <v>19.284887459807074</v>
      </c>
      <c r="AG183" s="219"/>
      <c r="AH183" s="220">
        <f t="shared" si="103"/>
        <v>21.624677573230624</v>
      </c>
      <c r="AI183" s="219"/>
      <c r="AJ183">
        <v>4.71</v>
      </c>
      <c r="AK183" s="284" t="s">
        <v>8400</v>
      </c>
      <c r="AL183">
        <v>175</v>
      </c>
      <c r="AM183"/>
      <c r="AN183" s="241">
        <v>72</v>
      </c>
      <c r="AO183" s="242">
        <v>42076</v>
      </c>
      <c r="AP183" s="255">
        <v>106</v>
      </c>
      <c r="AQ183" s="242">
        <v>42110</v>
      </c>
      <c r="AR183" s="223">
        <v>141</v>
      </c>
      <c r="AS183" s="297">
        <f t="shared" si="104"/>
        <v>141</v>
      </c>
      <c r="AT183" s="290">
        <v>42145</v>
      </c>
      <c r="AU183" s="298"/>
      <c r="AV183"/>
      <c r="AW183"/>
      <c r="AX183"/>
      <c r="AY183"/>
      <c r="AZ183"/>
      <c r="BA183"/>
      <c r="BB183"/>
      <c r="BC183"/>
      <c r="BD183"/>
      <c r="BE183"/>
      <c r="BF183" s="277">
        <v>32.472122192382813</v>
      </c>
      <c r="BG183" s="283">
        <v>42230</v>
      </c>
      <c r="BH183"/>
      <c r="BI183"/>
      <c r="BJ183"/>
      <c r="BK183"/>
      <c r="BL183" s="277">
        <v>60.365631103515625</v>
      </c>
      <c r="BM183" s="283">
        <v>42230</v>
      </c>
      <c r="BN183"/>
      <c r="BO183"/>
      <c r="BP183" s="277">
        <v>3.3022990226745605</v>
      </c>
      <c r="BQ183" s="283">
        <v>42230</v>
      </c>
      <c r="BR183" s="277">
        <v>48.196743011474609</v>
      </c>
      <c r="BS183" s="283">
        <v>42230</v>
      </c>
      <c r="BT183" s="277">
        <v>18.067071914672852</v>
      </c>
      <c r="BU183" s="283">
        <v>42230</v>
      </c>
      <c r="BV183" s="277">
        <v>53.749343872070313</v>
      </c>
      <c r="BW183" s="283">
        <v>42230</v>
      </c>
      <c r="BX183" s="277">
        <v>5.334991455078125</v>
      </c>
      <c r="BY183" s="283">
        <v>42230</v>
      </c>
      <c r="BZ183"/>
      <c r="CB183" s="266">
        <v>1.42</v>
      </c>
      <c r="CC183"/>
      <c r="CD183" s="277">
        <v>7.2727272727272796</v>
      </c>
      <c r="CE183" s="291" t="s">
        <v>8400</v>
      </c>
      <c r="CF183"/>
      <c r="CG183"/>
      <c r="CH183">
        <v>2</v>
      </c>
      <c r="CI183">
        <v>2</v>
      </c>
      <c r="CK183"/>
      <c r="CL183">
        <v>3</v>
      </c>
      <c r="CM183" s="259">
        <v>42161</v>
      </c>
      <c r="CN183" s="137" t="s">
        <v>8406</v>
      </c>
    </row>
    <row r="184" spans="1:93">
      <c r="A184" s="258">
        <v>302</v>
      </c>
      <c r="B184" s="235">
        <v>302</v>
      </c>
      <c r="C184" s="235" t="s">
        <v>7684</v>
      </c>
      <c r="D184" s="235" t="s">
        <v>7511</v>
      </c>
      <c r="E184" s="235" t="s">
        <v>7684</v>
      </c>
      <c r="F184" s="235" t="s">
        <v>8451</v>
      </c>
      <c r="G184" s="235" t="str">
        <f t="shared" si="98"/>
        <v>Rapsodyn</v>
      </c>
      <c r="H184" s="235" t="s">
        <v>265</v>
      </c>
      <c r="I184" s="235">
        <v>1</v>
      </c>
      <c r="J184" s="235">
        <v>9066</v>
      </c>
      <c r="K184" s="235">
        <v>10</v>
      </c>
      <c r="L184" s="235">
        <f t="shared" si="90"/>
        <v>10</v>
      </c>
      <c r="M184" s="235">
        <v>5</v>
      </c>
      <c r="N184" s="236">
        <v>5</v>
      </c>
      <c r="O184" s="248">
        <v>42048</v>
      </c>
      <c r="P184">
        <v>4.4000000000000004</v>
      </c>
      <c r="Q184" s="264">
        <v>42204</v>
      </c>
      <c r="R184"/>
      <c r="S184"/>
      <c r="T184"/>
      <c r="V184" s="219">
        <f t="shared" si="99"/>
        <v>13.410888868914542</v>
      </c>
      <c r="W184" s="219"/>
      <c r="X184">
        <v>15.55</v>
      </c>
      <c r="Y184"/>
      <c r="Z184"/>
      <c r="AA184"/>
      <c r="AB184" s="220">
        <f t="shared" si="100"/>
        <v>4.3847136995861398</v>
      </c>
      <c r="AC184" s="219"/>
      <c r="AD184" s="221">
        <f t="shared" si="101"/>
        <v>51785.93683790724</v>
      </c>
      <c r="AE184" s="219"/>
      <c r="AF184" s="220">
        <f t="shared" si="102"/>
        <v>26.721543408360134</v>
      </c>
      <c r="AG184" s="219"/>
      <c r="AH184" s="220">
        <f t="shared" si="103"/>
        <v>29.963605526306488</v>
      </c>
      <c r="AI184" s="219"/>
      <c r="AJ184">
        <v>5.16</v>
      </c>
      <c r="AK184" s="284" t="s">
        <v>8400</v>
      </c>
      <c r="AL184">
        <v>165</v>
      </c>
      <c r="AM184"/>
      <c r="AN184" s="241">
        <v>70</v>
      </c>
      <c r="AO184" s="242">
        <v>42074</v>
      </c>
      <c r="AP184" s="255">
        <v>104</v>
      </c>
      <c r="AQ184" s="242">
        <v>42108</v>
      </c>
      <c r="AR184" s="223">
        <v>127</v>
      </c>
      <c r="AS184" s="297">
        <f t="shared" si="104"/>
        <v>127</v>
      </c>
      <c r="AT184" s="290">
        <v>42131</v>
      </c>
      <c r="AU184" s="298"/>
      <c r="AV184"/>
      <c r="AW184"/>
      <c r="AX184"/>
      <c r="AY184"/>
      <c r="AZ184"/>
      <c r="BA184"/>
      <c r="BB184"/>
      <c r="BC184"/>
      <c r="BD184"/>
      <c r="BE184"/>
      <c r="BF184" s="277">
        <v>-2.3429830074310303</v>
      </c>
      <c r="BG184" s="283">
        <v>42230</v>
      </c>
      <c r="BH184"/>
      <c r="BI184"/>
      <c r="BJ184"/>
      <c r="BK184"/>
      <c r="BL184" s="277">
        <v>64.641471862792969</v>
      </c>
      <c r="BM184" s="283">
        <v>42230</v>
      </c>
      <c r="BN184"/>
      <c r="BO184"/>
      <c r="BP184" s="277">
        <v>3.4474329948425293</v>
      </c>
      <c r="BQ184" s="283">
        <v>42230</v>
      </c>
      <c r="BR184" s="277">
        <v>50.187553405761719</v>
      </c>
      <c r="BS184" s="283">
        <v>42230</v>
      </c>
      <c r="BT184" s="277">
        <v>16.408908843994141</v>
      </c>
      <c r="BU184" s="283">
        <v>42230</v>
      </c>
      <c r="BV184" s="277">
        <v>11.959454536437988</v>
      </c>
      <c r="BW184" s="283">
        <v>42230</v>
      </c>
      <c r="BX184" s="277">
        <v>5.2943344116210937</v>
      </c>
      <c r="BY184" s="283">
        <v>42230</v>
      </c>
      <c r="BZ184"/>
      <c r="CB184" s="266">
        <v>1.25</v>
      </c>
      <c r="CC184"/>
      <c r="CD184" s="277">
        <v>3.6363636363636398</v>
      </c>
      <c r="CE184" s="291" t="s">
        <v>8400</v>
      </c>
      <c r="CF184"/>
      <c r="CG184"/>
      <c r="CH184">
        <v>2</v>
      </c>
      <c r="CI184">
        <v>4</v>
      </c>
      <c r="CK184"/>
      <c r="CL184">
        <v>1</v>
      </c>
      <c r="CM184" s="259">
        <v>42161</v>
      </c>
      <c r="CN184" s="137" t="s">
        <v>8406</v>
      </c>
    </row>
    <row r="185" spans="1:93">
      <c r="A185" s="258">
        <v>303</v>
      </c>
      <c r="B185" s="235">
        <v>303</v>
      </c>
      <c r="C185" s="235" t="s">
        <v>7777</v>
      </c>
      <c r="D185" s="235" t="s">
        <v>7575</v>
      </c>
      <c r="E185" s="235" t="s">
        <v>7777</v>
      </c>
      <c r="F185" s="235" t="s">
        <v>8457</v>
      </c>
      <c r="G185" s="235" t="str">
        <f t="shared" si="98"/>
        <v>Rapsodyn</v>
      </c>
      <c r="H185" s="235" t="s">
        <v>265</v>
      </c>
      <c r="I185" s="235">
        <v>1</v>
      </c>
      <c r="J185" s="235">
        <v>9148</v>
      </c>
      <c r="K185" s="235">
        <v>11</v>
      </c>
      <c r="L185" s="235">
        <f t="shared" si="90"/>
        <v>11</v>
      </c>
      <c r="M185" s="235">
        <v>5</v>
      </c>
      <c r="N185" s="235">
        <v>5</v>
      </c>
      <c r="O185" s="248">
        <v>42048</v>
      </c>
      <c r="P185">
        <v>4.3</v>
      </c>
      <c r="Q185" s="264">
        <v>42204</v>
      </c>
      <c r="R185"/>
      <c r="S185"/>
      <c r="T185"/>
      <c r="V185" s="219">
        <f t="shared" si="99"/>
        <v>13.158624613665424</v>
      </c>
      <c r="W185" s="219"/>
      <c r="X185">
        <v>15.55</v>
      </c>
      <c r="Y185"/>
      <c r="Z185"/>
      <c r="AA185"/>
      <c r="AB185" s="220">
        <f t="shared" si="100"/>
        <v>4.1352445474804371</v>
      </c>
      <c r="AC185" s="219"/>
      <c r="AD185" s="221">
        <f t="shared" si="101"/>
        <v>57018.343832249695</v>
      </c>
      <c r="AE185" s="219"/>
      <c r="AF185" s="220">
        <f t="shared" si="102"/>
        <v>26.057383131338113</v>
      </c>
      <c r="AG185" s="219"/>
      <c r="AH185" s="220">
        <f t="shared" si="103"/>
        <v>29.218864242361644</v>
      </c>
      <c r="AI185" s="219"/>
      <c r="AJ185">
        <v>4.57</v>
      </c>
      <c r="AK185" s="284" t="s">
        <v>8399</v>
      </c>
      <c r="AL185">
        <v>165</v>
      </c>
      <c r="AM185"/>
      <c r="AN185" s="241">
        <v>70</v>
      </c>
      <c r="AO185" s="242">
        <v>42074</v>
      </c>
      <c r="AP185" s="255">
        <v>104</v>
      </c>
      <c r="AQ185" s="242">
        <v>42108</v>
      </c>
      <c r="AR185" s="223">
        <v>131</v>
      </c>
      <c r="AS185" s="297">
        <f t="shared" si="104"/>
        <v>131</v>
      </c>
      <c r="AT185" s="290">
        <v>42135</v>
      </c>
      <c r="AU185" s="298"/>
      <c r="AV185"/>
      <c r="AW185"/>
      <c r="AX185"/>
      <c r="AY185"/>
      <c r="AZ185"/>
      <c r="BA185"/>
      <c r="BB185"/>
      <c r="BC185"/>
      <c r="BD185"/>
      <c r="BE185"/>
      <c r="BF185" s="277">
        <v>2.112433910369873</v>
      </c>
      <c r="BG185" s="283">
        <v>42233</v>
      </c>
      <c r="BH185"/>
      <c r="BI185"/>
      <c r="BJ185"/>
      <c r="BK185"/>
      <c r="BL185" s="277">
        <v>66.317054748535156</v>
      </c>
      <c r="BM185" s="283">
        <v>42233</v>
      </c>
      <c r="BN185"/>
      <c r="BO185"/>
      <c r="BP185" s="277">
        <v>2.867103099822998</v>
      </c>
      <c r="BQ185" s="283">
        <v>42233</v>
      </c>
      <c r="BR185" s="277">
        <v>50.498641967773438</v>
      </c>
      <c r="BS185" s="283">
        <v>42233</v>
      </c>
      <c r="BT185" s="277">
        <v>15.86976146697998</v>
      </c>
      <c r="BU185" s="283">
        <v>42233</v>
      </c>
      <c r="BV185" s="277">
        <v>15.394283294677734</v>
      </c>
      <c r="BW185" s="283">
        <v>42233</v>
      </c>
      <c r="BX185" s="277">
        <v>5.3178939819335938</v>
      </c>
      <c r="BY185" s="283">
        <v>42233</v>
      </c>
      <c r="BZ185"/>
      <c r="CB185" s="266">
        <v>2.33</v>
      </c>
      <c r="CC185"/>
      <c r="CD185" s="277">
        <v>3.8461538461538494</v>
      </c>
      <c r="CE185" s="291" t="s">
        <v>8399</v>
      </c>
      <c r="CF185"/>
      <c r="CG185"/>
      <c r="CH185">
        <v>2</v>
      </c>
      <c r="CI185">
        <v>2</v>
      </c>
      <c r="CK185"/>
      <c r="CL185">
        <v>1</v>
      </c>
      <c r="CM185" s="259">
        <v>42161</v>
      </c>
      <c r="CN185" s="137" t="s">
        <v>8406</v>
      </c>
    </row>
    <row r="186" spans="1:93">
      <c r="A186" s="258">
        <v>304</v>
      </c>
      <c r="B186" s="235">
        <v>304</v>
      </c>
      <c r="C186" s="235" t="s">
        <v>7793</v>
      </c>
      <c r="D186" s="235" t="s">
        <v>7591</v>
      </c>
      <c r="E186" s="235" t="s">
        <v>7793</v>
      </c>
      <c r="F186" s="235" t="s">
        <v>8450</v>
      </c>
      <c r="G186" s="235" t="str">
        <f t="shared" si="98"/>
        <v>Rapsodyn</v>
      </c>
      <c r="H186" s="235" t="s">
        <v>265</v>
      </c>
      <c r="I186" s="235">
        <v>1</v>
      </c>
      <c r="J186" s="235">
        <v>9164</v>
      </c>
      <c r="K186" s="235">
        <v>12</v>
      </c>
      <c r="L186" s="235">
        <f t="shared" si="90"/>
        <v>12</v>
      </c>
      <c r="M186" s="235">
        <v>5</v>
      </c>
      <c r="N186" s="236">
        <v>5</v>
      </c>
      <c r="O186" s="248">
        <v>42048</v>
      </c>
      <c r="P186">
        <v>5.75</v>
      </c>
      <c r="Q186" s="264">
        <v>42204</v>
      </c>
      <c r="R186"/>
      <c r="S186"/>
      <c r="T186"/>
      <c r="V186" s="219">
        <f t="shared" si="99"/>
        <v>18.417859542449865</v>
      </c>
      <c r="W186" s="219"/>
      <c r="X186">
        <v>15.55</v>
      </c>
      <c r="Y186"/>
      <c r="Z186"/>
      <c r="AA186"/>
      <c r="AB186" s="220">
        <f t="shared" si="100"/>
        <v>5.2559451877199983</v>
      </c>
      <c r="AC186" s="219"/>
      <c r="AD186" s="221">
        <f t="shared" si="101"/>
        <v>76728.855068150471</v>
      </c>
      <c r="AE186" s="219"/>
      <c r="AF186" s="220">
        <f t="shared" si="102"/>
        <v>35.602188751621817</v>
      </c>
      <c r="AG186" s="219"/>
      <c r="AH186" s="220">
        <f t="shared" si="103"/>
        <v>39.9217187167771</v>
      </c>
      <c r="AI186" s="219"/>
      <c r="AJ186">
        <v>4.6399999999999997</v>
      </c>
      <c r="AK186" s="284" t="s">
        <v>8399</v>
      </c>
      <c r="AL186">
        <v>165</v>
      </c>
      <c r="AM186"/>
      <c r="AN186" s="241">
        <v>65</v>
      </c>
      <c r="AO186" s="242">
        <v>42069</v>
      </c>
      <c r="AP186" s="255">
        <v>104</v>
      </c>
      <c r="AQ186" s="242">
        <v>42108</v>
      </c>
      <c r="AR186" s="223">
        <v>127</v>
      </c>
      <c r="AS186" s="297">
        <f t="shared" si="104"/>
        <v>127</v>
      </c>
      <c r="AT186" s="290">
        <v>42131</v>
      </c>
      <c r="AU186" s="298"/>
      <c r="AV186"/>
      <c r="AW186"/>
      <c r="AX186"/>
      <c r="AY186"/>
      <c r="AZ186"/>
      <c r="BA186"/>
      <c r="BB186"/>
      <c r="BC186"/>
      <c r="BD186"/>
      <c r="BE186"/>
      <c r="BF186" s="277">
        <v>-2.7953610420227051</v>
      </c>
      <c r="BG186" s="283">
        <v>42233</v>
      </c>
      <c r="BH186"/>
      <c r="BI186"/>
      <c r="BJ186"/>
      <c r="BK186"/>
      <c r="BL186" s="277">
        <v>64.419845581054687</v>
      </c>
      <c r="BM186" s="283">
        <v>42233</v>
      </c>
      <c r="BN186"/>
      <c r="BO186"/>
      <c r="BP186" s="277">
        <v>3.3738861083984375</v>
      </c>
      <c r="BQ186" s="283">
        <v>42233</v>
      </c>
      <c r="BR186" s="277">
        <v>51.732379913330078</v>
      </c>
      <c r="BS186" s="283">
        <v>42233</v>
      </c>
      <c r="BT186" s="277">
        <v>14.762983322143555</v>
      </c>
      <c r="BU186" s="283">
        <v>42233</v>
      </c>
      <c r="BV186" s="277">
        <v>11.803115844726562</v>
      </c>
      <c r="BW186" s="283">
        <v>42233</v>
      </c>
      <c r="BX186" s="277">
        <v>5.1343841552734375</v>
      </c>
      <c r="BY186" s="283">
        <v>42233</v>
      </c>
      <c r="BZ186"/>
      <c r="CB186" s="266">
        <v>1.72</v>
      </c>
      <c r="CC186"/>
      <c r="CD186" s="277">
        <v>1.7543859649122899</v>
      </c>
      <c r="CE186" s="291" t="s">
        <v>8399</v>
      </c>
      <c r="CF186"/>
      <c r="CG186"/>
      <c r="CH186">
        <v>2</v>
      </c>
      <c r="CI186">
        <v>3</v>
      </c>
      <c r="CK186"/>
      <c r="CL186">
        <v>1</v>
      </c>
      <c r="CM186" s="259">
        <v>42161</v>
      </c>
      <c r="CN186" s="137" t="s">
        <v>8406</v>
      </c>
    </row>
    <row r="187" spans="1:93">
      <c r="A187" s="258">
        <v>305</v>
      </c>
      <c r="B187" s="235">
        <v>305</v>
      </c>
      <c r="C187" s="235" t="s">
        <v>7639</v>
      </c>
      <c r="D187" s="235" t="s">
        <v>7817</v>
      </c>
      <c r="E187" s="235" t="s">
        <v>7639</v>
      </c>
      <c r="F187" s="235" t="s">
        <v>8585</v>
      </c>
      <c r="G187" s="235" t="str">
        <f t="shared" si="98"/>
        <v>Rapsodyn</v>
      </c>
      <c r="H187" s="235" t="s">
        <v>265</v>
      </c>
      <c r="I187" s="235">
        <v>1</v>
      </c>
      <c r="J187" s="235">
        <v>9027</v>
      </c>
      <c r="K187" s="235">
        <v>13</v>
      </c>
      <c r="L187" s="235">
        <f t="shared" si="90"/>
        <v>13</v>
      </c>
      <c r="M187" s="235">
        <v>5</v>
      </c>
      <c r="N187" s="235">
        <v>3</v>
      </c>
      <c r="O187" s="248">
        <v>42048</v>
      </c>
      <c r="P187">
        <v>4.4000000000000004</v>
      </c>
      <c r="Q187" s="264">
        <v>42204</v>
      </c>
      <c r="R187"/>
      <c r="S187"/>
      <c r="T187"/>
      <c r="V187" s="219">
        <f t="shared" si="99"/>
        <v>13.655355418136292</v>
      </c>
      <c r="W187" s="219"/>
      <c r="X187">
        <v>15.55</v>
      </c>
      <c r="Y187"/>
      <c r="Z187"/>
      <c r="AA187"/>
      <c r="AB187" s="220">
        <f t="shared" si="100"/>
        <v>4.2899455762926877</v>
      </c>
      <c r="AC187" s="219"/>
      <c r="AD187" s="221">
        <f t="shared" si="101"/>
        <v>64553.992305808322</v>
      </c>
      <c r="AE187" s="219"/>
      <c r="AF187" s="220">
        <f t="shared" si="102"/>
        <v>26.789906806910459</v>
      </c>
      <c r="AG187" s="219"/>
      <c r="AH187" s="220">
        <f t="shared" si="103"/>
        <v>30.040263295481569</v>
      </c>
      <c r="AI187" s="219"/>
      <c r="AJ187">
        <v>4.1500000000000004</v>
      </c>
      <c r="AK187" s="284" t="s">
        <v>8403</v>
      </c>
      <c r="AL187">
        <v>165</v>
      </c>
      <c r="AM187"/>
      <c r="AN187" s="241">
        <v>65</v>
      </c>
      <c r="AO187" s="242">
        <v>42069</v>
      </c>
      <c r="AP187" s="255">
        <v>100</v>
      </c>
      <c r="AQ187" s="242">
        <v>42104</v>
      </c>
      <c r="AR187" s="223">
        <v>127</v>
      </c>
      <c r="AS187" s="297">
        <f t="shared" si="104"/>
        <v>127</v>
      </c>
      <c r="AT187" s="290">
        <v>42131</v>
      </c>
      <c r="AU187" s="298"/>
      <c r="AV187"/>
      <c r="AW187"/>
      <c r="AX187"/>
      <c r="AY187"/>
      <c r="AZ187"/>
      <c r="BA187"/>
      <c r="BB187"/>
      <c r="BC187"/>
      <c r="BD187"/>
      <c r="BE187"/>
      <c r="BF187" s="277">
        <v>-5.9560718536376953</v>
      </c>
      <c r="BG187" s="283">
        <v>42233</v>
      </c>
      <c r="BH187"/>
      <c r="BI187"/>
      <c r="BJ187"/>
      <c r="BK187"/>
      <c r="BL187" s="277">
        <v>63.970195770263672</v>
      </c>
      <c r="BM187" s="283">
        <v>42233</v>
      </c>
      <c r="BN187"/>
      <c r="BO187"/>
      <c r="BP187" s="277">
        <v>3.1385669708251953</v>
      </c>
      <c r="BQ187" s="283">
        <v>42233</v>
      </c>
      <c r="BR187" s="277">
        <v>50.972015380859375</v>
      </c>
      <c r="BS187" s="283">
        <v>42233</v>
      </c>
      <c r="BT187" s="277">
        <v>16.013290405273437</v>
      </c>
      <c r="BU187" s="283">
        <v>42233</v>
      </c>
      <c r="BV187" s="277">
        <v>45.114578247070313</v>
      </c>
      <c r="BW187" s="283">
        <v>42233</v>
      </c>
      <c r="BX187" s="277">
        <v>5.57342529296875</v>
      </c>
      <c r="BY187" s="283">
        <v>42233</v>
      </c>
      <c r="BZ187"/>
      <c r="CB187" s="266">
        <v>1.47</v>
      </c>
      <c r="CC187"/>
      <c r="CD187" s="277">
        <v>3.3898305084745792</v>
      </c>
      <c r="CE187" s="291" t="s">
        <v>8403</v>
      </c>
      <c r="CF187"/>
      <c r="CG187"/>
      <c r="CH187">
        <v>2</v>
      </c>
      <c r="CI187">
        <v>2</v>
      </c>
      <c r="CK187"/>
      <c r="CL187">
        <v>1</v>
      </c>
      <c r="CM187" s="259">
        <v>42161</v>
      </c>
      <c r="CN187" s="137" t="s">
        <v>8406</v>
      </c>
    </row>
    <row r="188" spans="1:93">
      <c r="A188" s="258">
        <v>307</v>
      </c>
      <c r="B188" s="235">
        <v>307</v>
      </c>
      <c r="C188" s="236" t="s">
        <v>7748</v>
      </c>
      <c r="D188" s="236" t="s">
        <v>7873</v>
      </c>
      <c r="E188" s="236" t="s">
        <v>7748</v>
      </c>
      <c r="F188" s="236" t="s">
        <v>8473</v>
      </c>
      <c r="G188" s="235" t="str">
        <f t="shared" si="98"/>
        <v>Rapsodyn</v>
      </c>
      <c r="H188" s="235" t="s">
        <v>265</v>
      </c>
      <c r="I188" s="235">
        <v>1</v>
      </c>
      <c r="J188" s="236">
        <v>9122</v>
      </c>
      <c r="K188" s="236">
        <v>15</v>
      </c>
      <c r="L188" s="235">
        <f t="shared" si="90"/>
        <v>15</v>
      </c>
      <c r="M188" s="236">
        <v>5</v>
      </c>
      <c r="N188" s="235">
        <v>7</v>
      </c>
      <c r="O188" s="248">
        <v>42048</v>
      </c>
      <c r="P188">
        <v>3.35</v>
      </c>
      <c r="Q188" s="264">
        <v>42204</v>
      </c>
      <c r="R188"/>
      <c r="S188"/>
      <c r="T188"/>
      <c r="V188" s="219">
        <f t="shared" si="99"/>
        <v>9.7637512607172408</v>
      </c>
      <c r="W188" s="219"/>
      <c r="X188">
        <v>15.55</v>
      </c>
      <c r="Y188"/>
      <c r="Z188"/>
      <c r="AA188"/>
      <c r="AB188" s="220">
        <f t="shared" si="100"/>
        <v>3.5384753642502993</v>
      </c>
      <c r="AC188" s="219"/>
      <c r="AD188" s="221">
        <f t="shared" si="101"/>
        <v>60240.547713954802</v>
      </c>
      <c r="AE188" s="219"/>
      <c r="AF188" s="220">
        <f t="shared" si="102"/>
        <v>19.939621293319039</v>
      </c>
      <c r="AG188" s="219"/>
      <c r="AH188" s="220">
        <f t="shared" si="103"/>
        <v>22.358848725408205</v>
      </c>
      <c r="AI188" s="219"/>
      <c r="AJ188">
        <v>3.31</v>
      </c>
      <c r="AK188" s="284" t="s">
        <v>8400</v>
      </c>
      <c r="AL188">
        <v>185</v>
      </c>
      <c r="AM188"/>
      <c r="AN188" s="241">
        <v>61</v>
      </c>
      <c r="AO188" s="243">
        <v>42065</v>
      </c>
      <c r="AP188" s="255">
        <v>110</v>
      </c>
      <c r="AQ188" s="242">
        <v>42114</v>
      </c>
      <c r="AR188" s="223">
        <v>133</v>
      </c>
      <c r="AS188" s="297">
        <f t="shared" si="104"/>
        <v>133</v>
      </c>
      <c r="AT188" s="290">
        <v>42137</v>
      </c>
      <c r="AU188" s="298"/>
      <c r="AV188"/>
      <c r="AW188"/>
      <c r="AX188"/>
      <c r="AY188"/>
      <c r="AZ188"/>
      <c r="BA188"/>
      <c r="BB188"/>
      <c r="BC188"/>
      <c r="BD188"/>
      <c r="BE188"/>
      <c r="BF188" s="277">
        <v>32.228263854980469</v>
      </c>
      <c r="BG188" s="283">
        <v>42230</v>
      </c>
      <c r="BH188"/>
      <c r="BI188"/>
      <c r="BJ188"/>
      <c r="BK188"/>
      <c r="BL188" s="277">
        <v>60.780704498291016</v>
      </c>
      <c r="BM188" s="283">
        <v>42230</v>
      </c>
      <c r="BN188"/>
      <c r="BO188"/>
      <c r="BP188" s="277">
        <v>3.0812399387359619</v>
      </c>
      <c r="BQ188" s="283">
        <v>42230</v>
      </c>
      <c r="BR188" s="277">
        <v>48.966583251953125</v>
      </c>
      <c r="BS188" s="283">
        <v>42230</v>
      </c>
      <c r="BT188" s="277">
        <v>17.745950698852539</v>
      </c>
      <c r="BU188" s="283">
        <v>42230</v>
      </c>
      <c r="BV188" s="277">
        <v>60.634201049804688</v>
      </c>
      <c r="BW188" s="283">
        <v>42230</v>
      </c>
      <c r="BX188" s="277">
        <v>5.5871810913085937</v>
      </c>
      <c r="BY188" s="283">
        <v>42230</v>
      </c>
      <c r="BZ188"/>
      <c r="CB188" s="266">
        <v>1.98</v>
      </c>
      <c r="CC188"/>
      <c r="CD188" s="277">
        <v>5.5555555555555687</v>
      </c>
      <c r="CE188" s="291" t="s">
        <v>8400</v>
      </c>
      <c r="CF188"/>
      <c r="CG188"/>
      <c r="CH188">
        <v>1</v>
      </c>
      <c r="CI188">
        <v>8</v>
      </c>
      <c r="CK188"/>
      <c r="CL188">
        <v>3</v>
      </c>
      <c r="CM188" s="259">
        <v>42161</v>
      </c>
      <c r="CO188" s="137" t="s">
        <v>8405</v>
      </c>
    </row>
    <row r="189" spans="1:93" s="227" customFormat="1">
      <c r="A189" s="258">
        <v>309</v>
      </c>
      <c r="B189" s="235">
        <v>309</v>
      </c>
      <c r="C189" s="235" t="s">
        <v>7674</v>
      </c>
      <c r="D189" s="235" t="s">
        <v>7503</v>
      </c>
      <c r="E189" s="235" t="s">
        <v>7674</v>
      </c>
      <c r="F189" s="235" t="s">
        <v>8501</v>
      </c>
      <c r="G189" s="235" t="str">
        <f t="shared" si="98"/>
        <v>Rapsodyn</v>
      </c>
      <c r="H189" s="235" t="s">
        <v>265</v>
      </c>
      <c r="I189" s="235">
        <v>1</v>
      </c>
      <c r="J189" s="235">
        <v>9056</v>
      </c>
      <c r="K189" s="235">
        <v>17</v>
      </c>
      <c r="L189" s="235">
        <f t="shared" si="90"/>
        <v>17</v>
      </c>
      <c r="M189" s="235">
        <v>5</v>
      </c>
      <c r="N189" s="235">
        <v>5</v>
      </c>
      <c r="O189" s="248">
        <v>42048</v>
      </c>
      <c r="P189" s="223">
        <v>3.6</v>
      </c>
      <c r="Q189" s="264">
        <v>42204</v>
      </c>
      <c r="R189" s="223"/>
      <c r="S189" s="223"/>
      <c r="T189" s="223"/>
      <c r="U189" s="225"/>
      <c r="V189" s="219">
        <f t="shared" si="99"/>
        <v>11.213760738330343</v>
      </c>
      <c r="W189" s="224"/>
      <c r="X189">
        <v>15.55</v>
      </c>
      <c r="Y189" s="223"/>
      <c r="Z189" s="223"/>
      <c r="AA189" s="223"/>
      <c r="AB189" s="220">
        <f t="shared" si="100"/>
        <v>3.6148392225968902</v>
      </c>
      <c r="AC189" s="224"/>
      <c r="AD189" s="221">
        <f t="shared" si="101"/>
        <v>45974.779386062633</v>
      </c>
      <c r="AE189" s="224"/>
      <c r="AF189" s="220">
        <f t="shared" si="102"/>
        <v>22.251793222854314</v>
      </c>
      <c r="AG189" s="224"/>
      <c r="AH189" s="220">
        <f t="shared" si="103"/>
        <v>24.951551046035334</v>
      </c>
      <c r="AI189" s="224"/>
      <c r="AJ189">
        <v>4.84</v>
      </c>
      <c r="AK189" s="290" t="s">
        <v>8400</v>
      </c>
      <c r="AL189" s="223">
        <v>150</v>
      </c>
      <c r="AM189" s="223"/>
      <c r="AN189" s="241">
        <v>72</v>
      </c>
      <c r="AO189" s="242">
        <v>42076</v>
      </c>
      <c r="AP189" s="255">
        <v>100</v>
      </c>
      <c r="AQ189" s="242">
        <v>42104</v>
      </c>
      <c r="AR189" s="223">
        <v>127</v>
      </c>
      <c r="AS189" s="297">
        <f t="shared" si="104"/>
        <v>127</v>
      </c>
      <c r="AT189" s="290">
        <v>42131</v>
      </c>
      <c r="AU189" s="298"/>
      <c r="AV189" s="223"/>
      <c r="AW189" s="223"/>
      <c r="AX189" s="223"/>
      <c r="AY189" s="223"/>
      <c r="AZ189" s="223"/>
      <c r="BA189" s="223"/>
      <c r="BB189" s="223"/>
      <c r="BC189" s="223"/>
      <c r="BD189" s="223"/>
      <c r="BE189" s="223"/>
      <c r="BF189" s="281">
        <v>-3.1576859951019287</v>
      </c>
      <c r="BG189" s="283">
        <v>42230</v>
      </c>
      <c r="BH189" s="223"/>
      <c r="BI189" s="223"/>
      <c r="BJ189" s="223"/>
      <c r="BK189" s="223"/>
      <c r="BL189" s="281">
        <v>61.659706115722656</v>
      </c>
      <c r="BM189" s="283">
        <v>42230</v>
      </c>
      <c r="BN189" s="223"/>
      <c r="BO189" s="223"/>
      <c r="BP189" s="281">
        <v>3.9777328968048096</v>
      </c>
      <c r="BQ189" s="283">
        <v>42230</v>
      </c>
      <c r="BR189" s="281">
        <v>50.394863128662109</v>
      </c>
      <c r="BS189" s="283">
        <v>42230</v>
      </c>
      <c r="BT189" s="281">
        <v>16.245159149169922</v>
      </c>
      <c r="BU189" s="283">
        <v>42230</v>
      </c>
      <c r="BV189" s="281">
        <v>13.199802398681641</v>
      </c>
      <c r="BW189" s="283">
        <v>42230</v>
      </c>
      <c r="BX189" s="281">
        <v>5.0611343383789062</v>
      </c>
      <c r="BY189" s="283">
        <v>42230</v>
      </c>
      <c r="BZ189" s="223"/>
      <c r="CA189" s="226"/>
      <c r="CB189" s="266">
        <v>1.25</v>
      </c>
      <c r="CC189" s="223"/>
      <c r="CD189" s="281">
        <v>1.9230769230769333</v>
      </c>
      <c r="CE189" s="291" t="s">
        <v>8400</v>
      </c>
      <c r="CF189" s="223"/>
      <c r="CG189" s="223"/>
      <c r="CH189" s="223">
        <v>3</v>
      </c>
      <c r="CI189" s="223">
        <v>4</v>
      </c>
      <c r="CK189" s="223"/>
      <c r="CL189" s="223">
        <v>1</v>
      </c>
      <c r="CM189" s="259">
        <v>42161</v>
      </c>
      <c r="CN189" s="137" t="s">
        <v>8406</v>
      </c>
    </row>
    <row r="190" spans="1:93" s="227" customFormat="1">
      <c r="A190" s="258">
        <v>310</v>
      </c>
      <c r="B190" s="235">
        <v>310</v>
      </c>
      <c r="C190" s="235" t="s">
        <v>7703</v>
      </c>
      <c r="D190" s="235" t="s">
        <v>7529</v>
      </c>
      <c r="E190" s="235" t="s">
        <v>7703</v>
      </c>
      <c r="F190" s="235" t="s">
        <v>8610</v>
      </c>
      <c r="G190" s="235" t="str">
        <f t="shared" si="98"/>
        <v>Rapsodyn</v>
      </c>
      <c r="H190" s="235" t="s">
        <v>265</v>
      </c>
      <c r="I190" s="235">
        <v>1</v>
      </c>
      <c r="J190" s="235">
        <v>9085</v>
      </c>
      <c r="K190" s="235">
        <v>18</v>
      </c>
      <c r="L190" s="235">
        <f t="shared" si="90"/>
        <v>18</v>
      </c>
      <c r="M190" s="235">
        <v>5</v>
      </c>
      <c r="N190" s="236">
        <v>5</v>
      </c>
      <c r="O190" s="248">
        <v>42048</v>
      </c>
      <c r="P190" s="223">
        <v>4.7</v>
      </c>
      <c r="Q190" s="264">
        <v>42204</v>
      </c>
      <c r="R190" s="223"/>
      <c r="S190" s="223"/>
      <c r="T190" s="223"/>
      <c r="U190" s="225"/>
      <c r="V190" s="219">
        <f t="shared" si="99"/>
        <v>13.706783354463996</v>
      </c>
      <c r="W190" s="224"/>
      <c r="X190">
        <v>15.55</v>
      </c>
      <c r="Y190" s="223"/>
      <c r="Z190" s="223"/>
      <c r="AA190" s="223"/>
      <c r="AB190" s="220">
        <f t="shared" si="100"/>
        <v>4.8985659884821073</v>
      </c>
      <c r="AC190" s="224"/>
      <c r="AD190" s="221">
        <f t="shared" si="101"/>
        <v>57581.456744230505</v>
      </c>
      <c r="AE190" s="224"/>
      <c r="AF190" s="220">
        <f t="shared" si="102"/>
        <v>27.46635486699795</v>
      </c>
      <c r="AG190" s="224"/>
      <c r="AH190" s="220">
        <f t="shared" si="103"/>
        <v>30.798783210358767</v>
      </c>
      <c r="AI190" s="224"/>
      <c r="AJ190">
        <v>4.7699999999999996</v>
      </c>
      <c r="AK190" s="290" t="s">
        <v>8399</v>
      </c>
      <c r="AL190" s="223">
        <v>160</v>
      </c>
      <c r="AM190" s="223"/>
      <c r="AN190" s="241">
        <v>72</v>
      </c>
      <c r="AO190" s="242">
        <v>42076</v>
      </c>
      <c r="AP190" s="255">
        <v>104</v>
      </c>
      <c r="AQ190" s="242">
        <v>42108</v>
      </c>
      <c r="AR190" s="223">
        <v>127</v>
      </c>
      <c r="AS190" s="297">
        <f t="shared" si="104"/>
        <v>127</v>
      </c>
      <c r="AT190" s="290">
        <v>42131</v>
      </c>
      <c r="AU190" s="298"/>
      <c r="AV190" s="223"/>
      <c r="AW190" s="223"/>
      <c r="AX190" s="223"/>
      <c r="AY190" s="223"/>
      <c r="AZ190" s="223"/>
      <c r="BA190" s="223"/>
      <c r="BB190" s="223"/>
      <c r="BC190" s="223"/>
      <c r="BD190" s="223"/>
      <c r="BE190" s="223"/>
      <c r="BF190" s="281">
        <v>-5.8975391387939453</v>
      </c>
      <c r="BG190" s="283">
        <v>42230</v>
      </c>
      <c r="BH190" s="223"/>
      <c r="BI190" s="223"/>
      <c r="BJ190" s="223"/>
      <c r="BK190" s="223"/>
      <c r="BL190" s="281">
        <v>63.083873748779297</v>
      </c>
      <c r="BM190" s="283">
        <v>42230</v>
      </c>
      <c r="BN190" s="223"/>
      <c r="BO190" s="223"/>
      <c r="BP190" s="281">
        <v>3.8988668918609619</v>
      </c>
      <c r="BQ190" s="283">
        <v>42230</v>
      </c>
      <c r="BR190" s="281">
        <v>49.903903961181641</v>
      </c>
      <c r="BS190" s="283">
        <v>42230</v>
      </c>
      <c r="BT190" s="281">
        <v>17.834787368774414</v>
      </c>
      <c r="BU190" s="283">
        <v>42230</v>
      </c>
      <c r="BV190" s="281">
        <v>15.931623458862305</v>
      </c>
      <c r="BW190" s="283">
        <v>42230</v>
      </c>
      <c r="BX190" s="281">
        <v>5.0256729125976563</v>
      </c>
      <c r="BY190" s="283">
        <v>42230</v>
      </c>
      <c r="BZ190" s="223"/>
      <c r="CA190" s="226"/>
      <c r="CB190" s="266">
        <v>1.22</v>
      </c>
      <c r="CC190" s="223"/>
      <c r="CD190" s="281">
        <v>7.2727272727272796</v>
      </c>
      <c r="CE190" s="291" t="s">
        <v>8399</v>
      </c>
      <c r="CF190" s="223"/>
      <c r="CG190" s="223"/>
      <c r="CH190" s="223">
        <v>3</v>
      </c>
      <c r="CI190" s="223">
        <v>4</v>
      </c>
      <c r="CK190" s="223"/>
      <c r="CL190" s="223">
        <v>2</v>
      </c>
      <c r="CM190" s="259">
        <v>42161</v>
      </c>
      <c r="CN190" s="137" t="s">
        <v>8406</v>
      </c>
    </row>
    <row r="191" spans="1:93">
      <c r="A191" s="258">
        <v>316</v>
      </c>
      <c r="B191" s="235">
        <v>316</v>
      </c>
      <c r="C191" s="235" t="s">
        <v>7620</v>
      </c>
      <c r="D191" s="235" t="s">
        <v>7815</v>
      </c>
      <c r="E191" s="235" t="s">
        <v>7620</v>
      </c>
      <c r="F191" s="235" t="s">
        <v>8583</v>
      </c>
      <c r="G191" s="235" t="str">
        <f t="shared" si="98"/>
        <v>Rapsodyn</v>
      </c>
      <c r="H191" s="235" t="s">
        <v>265</v>
      </c>
      <c r="I191" s="235">
        <v>1</v>
      </c>
      <c r="J191" s="235">
        <v>9013</v>
      </c>
      <c r="K191" s="235">
        <v>24</v>
      </c>
      <c r="L191" s="235">
        <f t="shared" si="90"/>
        <v>24</v>
      </c>
      <c r="M191" s="235">
        <v>5</v>
      </c>
      <c r="N191" s="235">
        <v>7</v>
      </c>
      <c r="O191" s="248">
        <v>42048</v>
      </c>
      <c r="P191">
        <v>3.8</v>
      </c>
      <c r="Q191" s="264">
        <v>42204</v>
      </c>
      <c r="R191"/>
      <c r="S191"/>
      <c r="T191"/>
      <c r="V191" s="219">
        <f t="shared" si="99"/>
        <v>11.084115095230542</v>
      </c>
      <c r="W191" s="219"/>
      <c r="X191">
        <v>15.55</v>
      </c>
      <c r="Y191"/>
      <c r="Z191"/>
      <c r="AA191"/>
      <c r="AB191" s="220">
        <f t="shared" si="100"/>
        <v>4.5251790282810616</v>
      </c>
      <c r="AC191" s="219"/>
      <c r="AD191" s="221">
        <f t="shared" si="101"/>
        <v>42322.807596119485</v>
      </c>
      <c r="AE191" s="219"/>
      <c r="AF191" s="220">
        <f t="shared" si="102"/>
        <v>23.10825294748124</v>
      </c>
      <c r="AG191" s="219"/>
      <c r="AH191" s="220">
        <f t="shared" si="103"/>
        <v>25.911923018032343</v>
      </c>
      <c r="AI191" s="219"/>
      <c r="AJ191">
        <v>5.46</v>
      </c>
      <c r="AK191" s="284" t="s">
        <v>8400</v>
      </c>
      <c r="AL191">
        <v>165</v>
      </c>
      <c r="AM191"/>
      <c r="AN191" s="241">
        <v>65</v>
      </c>
      <c r="AO191" s="242">
        <v>42069</v>
      </c>
      <c r="AP191" s="255">
        <v>104</v>
      </c>
      <c r="AQ191" s="242">
        <v>42108</v>
      </c>
      <c r="AR191" s="223">
        <v>127</v>
      </c>
      <c r="AS191" s="297">
        <f t="shared" si="104"/>
        <v>127</v>
      </c>
      <c r="AT191" s="290">
        <v>42131</v>
      </c>
      <c r="AU191" s="298"/>
      <c r="AV191"/>
      <c r="AW191"/>
      <c r="AX191"/>
      <c r="AY191"/>
      <c r="AZ191"/>
      <c r="BA191"/>
      <c r="BB191"/>
      <c r="BC191"/>
      <c r="BD191"/>
      <c r="BE191"/>
      <c r="BF191" s="277">
        <v>1.9649109840393066</v>
      </c>
      <c r="BG191" s="283">
        <v>42230</v>
      </c>
      <c r="BH191"/>
      <c r="BI191"/>
      <c r="BJ191"/>
      <c r="BK191"/>
      <c r="BL191" s="277">
        <v>61.558979034423828</v>
      </c>
      <c r="BM191" s="283">
        <v>42230</v>
      </c>
      <c r="BN191"/>
      <c r="BO191"/>
      <c r="BP191" s="277">
        <v>3.7919518947601318</v>
      </c>
      <c r="BQ191" s="283">
        <v>42230</v>
      </c>
      <c r="BR191" s="277">
        <v>47.966045379638672</v>
      </c>
      <c r="BS191" s="283">
        <v>42230</v>
      </c>
      <c r="BT191" s="277">
        <v>19.582523345947266</v>
      </c>
      <c r="BU191" s="283">
        <v>42230</v>
      </c>
      <c r="BV191" s="277">
        <v>37.798629760742188</v>
      </c>
      <c r="BW191" s="283">
        <v>42230</v>
      </c>
      <c r="BX191" s="277">
        <v>5.7212295532226562</v>
      </c>
      <c r="BY191" s="283">
        <v>42230</v>
      </c>
      <c r="BZ191"/>
      <c r="CB191" s="266">
        <v>1.72</v>
      </c>
      <c r="CC191"/>
      <c r="CD191" s="277">
        <v>3.5087719298245648</v>
      </c>
      <c r="CE191" s="291" t="s">
        <v>8400</v>
      </c>
      <c r="CF191"/>
      <c r="CG191"/>
      <c r="CH191">
        <v>1</v>
      </c>
      <c r="CI191">
        <v>3</v>
      </c>
      <c r="CK191"/>
      <c r="CL191">
        <v>1</v>
      </c>
      <c r="CM191" s="259">
        <v>42161</v>
      </c>
      <c r="CN191" s="137" t="s">
        <v>8406</v>
      </c>
    </row>
    <row r="192" spans="1:93" s="227" customFormat="1">
      <c r="A192" s="258">
        <v>317</v>
      </c>
      <c r="B192" s="235">
        <v>317</v>
      </c>
      <c r="C192" s="235" t="s">
        <v>7711</v>
      </c>
      <c r="D192" s="235" t="s">
        <v>7536</v>
      </c>
      <c r="E192" s="235" t="s">
        <v>7711</v>
      </c>
      <c r="F192" s="235" t="s">
        <v>8517</v>
      </c>
      <c r="G192" s="235" t="str">
        <f t="shared" si="98"/>
        <v>Rapsodyn</v>
      </c>
      <c r="H192" s="235" t="s">
        <v>265</v>
      </c>
      <c r="I192" s="235">
        <v>1</v>
      </c>
      <c r="J192" s="235">
        <v>9093</v>
      </c>
      <c r="K192" s="235">
        <v>25</v>
      </c>
      <c r="L192" s="235">
        <f t="shared" si="90"/>
        <v>25</v>
      </c>
      <c r="M192" s="235">
        <v>5</v>
      </c>
      <c r="N192" s="235">
        <v>3</v>
      </c>
      <c r="O192" s="248">
        <v>42048</v>
      </c>
      <c r="P192">
        <v>3.65</v>
      </c>
      <c r="Q192" s="264">
        <v>42204</v>
      </c>
      <c r="R192"/>
      <c r="S192"/>
      <c r="T192"/>
      <c r="U192" s="153"/>
      <c r="V192" s="219">
        <f t="shared" si="99"/>
        <v>10.799899548922063</v>
      </c>
      <c r="W192" s="219"/>
      <c r="X192">
        <v>15.55</v>
      </c>
      <c r="Y192"/>
      <c r="Z192"/>
      <c r="AA192"/>
      <c r="AB192" s="220">
        <f t="shared" si="100"/>
        <v>3.6092862566150301</v>
      </c>
      <c r="AC192" s="219"/>
      <c r="AD192" s="221">
        <f t="shared" si="101"/>
        <v>56429.244210594683</v>
      </c>
      <c r="AE192" s="219"/>
      <c r="AF192" s="220">
        <f t="shared" si="102"/>
        <v>21.725259021078951</v>
      </c>
      <c r="AG192" s="219"/>
      <c r="AH192" s="220">
        <f t="shared" si="103"/>
        <v>24.361133685892522</v>
      </c>
      <c r="AI192" s="219"/>
      <c r="AJ192">
        <v>3.85</v>
      </c>
      <c r="AK192" s="284" t="s">
        <v>8399</v>
      </c>
      <c r="AL192">
        <v>160</v>
      </c>
      <c r="AM192"/>
      <c r="AN192" s="241">
        <v>82</v>
      </c>
      <c r="AO192" s="242">
        <v>42086</v>
      </c>
      <c r="AP192" s="255">
        <v>110</v>
      </c>
      <c r="AQ192" s="242">
        <v>42114</v>
      </c>
      <c r="AR192" s="223">
        <v>145</v>
      </c>
      <c r="AS192" s="297">
        <f t="shared" si="104"/>
        <v>145</v>
      </c>
      <c r="AT192" s="290">
        <v>42149</v>
      </c>
      <c r="AU192" s="298"/>
      <c r="AV192"/>
      <c r="AW192"/>
      <c r="AX192"/>
      <c r="AY192"/>
      <c r="AZ192"/>
      <c r="BA192"/>
      <c r="BB192"/>
      <c r="BC192"/>
      <c r="BD192"/>
      <c r="BE192"/>
      <c r="BF192" s="277">
        <v>-1.0203720331192017</v>
      </c>
      <c r="BG192" s="283">
        <v>42233</v>
      </c>
      <c r="BH192"/>
      <c r="BI192"/>
      <c r="BJ192"/>
      <c r="BK192"/>
      <c r="BL192" s="277">
        <v>64.630592346191406</v>
      </c>
      <c r="BM192" s="283">
        <v>42233</v>
      </c>
      <c r="BN192"/>
      <c r="BO192"/>
      <c r="BP192" s="277">
        <v>3.9743490219116211</v>
      </c>
      <c r="BQ192" s="283">
        <v>42233</v>
      </c>
      <c r="BR192" s="277">
        <v>49.711257934570313</v>
      </c>
      <c r="BS192" s="283">
        <v>42233</v>
      </c>
      <c r="BT192" s="277">
        <v>16.613317489624023</v>
      </c>
      <c r="BU192" s="283">
        <v>42233</v>
      </c>
      <c r="BV192" s="277">
        <v>12.30856990814209</v>
      </c>
      <c r="BW192" s="283">
        <v>42233</v>
      </c>
      <c r="BX192" s="277">
        <v>5.385711669921875</v>
      </c>
      <c r="BY192" s="283">
        <v>42233</v>
      </c>
      <c r="BZ192"/>
      <c r="CA192" s="136"/>
      <c r="CB192" s="266">
        <v>1.22</v>
      </c>
      <c r="CC192"/>
      <c r="CD192" s="277">
        <v>5.5555555555555687</v>
      </c>
      <c r="CE192" s="291" t="s">
        <v>8399</v>
      </c>
      <c r="CF192"/>
      <c r="CG192"/>
      <c r="CH192">
        <v>1</v>
      </c>
      <c r="CI192">
        <v>7</v>
      </c>
      <c r="CK192"/>
      <c r="CL192">
        <v>2</v>
      </c>
      <c r="CM192" s="259">
        <v>42161</v>
      </c>
      <c r="CN192" s="137"/>
      <c r="CO192" s="137" t="s">
        <v>8405</v>
      </c>
    </row>
    <row r="193" spans="1:92" s="227" customFormat="1">
      <c r="A193" s="258">
        <v>318</v>
      </c>
      <c r="B193" s="235">
        <v>318</v>
      </c>
      <c r="C193" s="235" t="s">
        <v>7717</v>
      </c>
      <c r="D193" s="235" t="s">
        <v>7541</v>
      </c>
      <c r="E193" s="235" t="s">
        <v>7717</v>
      </c>
      <c r="F193" s="235" t="s">
        <v>8540</v>
      </c>
      <c r="G193" s="235" t="str">
        <f t="shared" si="98"/>
        <v>Rapsodyn</v>
      </c>
      <c r="H193" s="235" t="s">
        <v>265</v>
      </c>
      <c r="I193" s="235">
        <v>1</v>
      </c>
      <c r="J193" s="235">
        <v>9099</v>
      </c>
      <c r="K193" s="235">
        <v>26</v>
      </c>
      <c r="L193" s="235">
        <f t="shared" si="90"/>
        <v>26</v>
      </c>
      <c r="M193" s="235">
        <v>5</v>
      </c>
      <c r="N193" s="235">
        <v>7</v>
      </c>
      <c r="O193" s="248">
        <v>42048</v>
      </c>
      <c r="P193">
        <v>4.3</v>
      </c>
      <c r="Q193" s="264">
        <v>42204</v>
      </c>
      <c r="R193"/>
      <c r="S193"/>
      <c r="T193"/>
      <c r="U193" s="153"/>
      <c r="V193" s="219">
        <f t="shared" si="99"/>
        <v>12.641784148679285</v>
      </c>
      <c r="W193" s="219"/>
      <c r="X193">
        <v>15.55</v>
      </c>
      <c r="Y193"/>
      <c r="Z193"/>
      <c r="AA193"/>
      <c r="AB193" s="220">
        <f t="shared" si="100"/>
        <v>4.3837014662924654</v>
      </c>
      <c r="AC193" s="219"/>
      <c r="AD193" s="221">
        <f t="shared" si="101"/>
        <v>57576.436353126264</v>
      </c>
      <c r="AE193" s="219"/>
      <c r="AF193" s="220">
        <f t="shared" si="102"/>
        <v>25.621514177141187</v>
      </c>
      <c r="AG193" s="219"/>
      <c r="AH193" s="220">
        <f t="shared" si="103"/>
        <v>28.730112331398505</v>
      </c>
      <c r="AI193" s="219"/>
      <c r="AJ193">
        <v>4.45</v>
      </c>
      <c r="AK193" s="284" t="s">
        <v>8398</v>
      </c>
      <c r="AL193">
        <v>155</v>
      </c>
      <c r="AM193"/>
      <c r="AN193" s="241">
        <v>70</v>
      </c>
      <c r="AO193" s="242">
        <v>42074</v>
      </c>
      <c r="AP193" s="255">
        <v>104</v>
      </c>
      <c r="AQ193" s="242">
        <v>42108</v>
      </c>
      <c r="AR193" s="223">
        <v>127</v>
      </c>
      <c r="AS193" s="297">
        <f t="shared" si="104"/>
        <v>127</v>
      </c>
      <c r="AT193" s="290">
        <v>42131</v>
      </c>
      <c r="AU193" s="298"/>
      <c r="AV193"/>
      <c r="AW193"/>
      <c r="AX193"/>
      <c r="AY193"/>
      <c r="AZ193"/>
      <c r="BA193"/>
      <c r="BB193"/>
      <c r="BC193"/>
      <c r="BD193"/>
      <c r="BE193"/>
      <c r="BF193" s="277">
        <v>-1.0502380132675171</v>
      </c>
      <c r="BG193" s="283">
        <v>42234</v>
      </c>
      <c r="BH193"/>
      <c r="BI193"/>
      <c r="BJ193"/>
      <c r="BK193"/>
      <c r="BL193" s="277">
        <v>62.781681060791016</v>
      </c>
      <c r="BM193" s="283">
        <v>42234</v>
      </c>
      <c r="BN193"/>
      <c r="BO193"/>
      <c r="BP193" s="277">
        <v>3.3352899551391602</v>
      </c>
      <c r="BQ193" s="283">
        <v>42234</v>
      </c>
      <c r="BR193" s="277">
        <v>49.340503692626953</v>
      </c>
      <c r="BS193" s="283">
        <v>42234</v>
      </c>
      <c r="BT193" s="277">
        <v>17.109455108642578</v>
      </c>
      <c r="BU193" s="283">
        <v>42234</v>
      </c>
      <c r="BV193" s="277">
        <v>17.420938491821289</v>
      </c>
      <c r="BW193" s="283">
        <v>42234</v>
      </c>
      <c r="BX193" s="277">
        <v>5.482208251953125</v>
      </c>
      <c r="BY193" s="283">
        <v>42234</v>
      </c>
      <c r="BZ193"/>
      <c r="CA193" s="136"/>
      <c r="CB193" s="266">
        <v>1.26</v>
      </c>
      <c r="CC193"/>
      <c r="CD193" s="277">
        <v>5.4545454545454515</v>
      </c>
      <c r="CE193" s="291" t="s">
        <v>8398</v>
      </c>
      <c r="CF193"/>
      <c r="CG193"/>
      <c r="CH193">
        <v>3</v>
      </c>
      <c r="CI193">
        <v>3</v>
      </c>
      <c r="CK193"/>
      <c r="CL193">
        <v>1</v>
      </c>
      <c r="CM193" s="259">
        <v>42161</v>
      </c>
      <c r="CN193" s="137" t="s">
        <v>8406</v>
      </c>
    </row>
    <row r="194" spans="1:92" s="227" customFormat="1">
      <c r="A194" s="258">
        <v>319</v>
      </c>
      <c r="B194" s="235">
        <v>319</v>
      </c>
      <c r="C194" s="235" t="s">
        <v>7576</v>
      </c>
      <c r="D194" s="235"/>
      <c r="E194" s="235"/>
      <c r="F194" s="235"/>
      <c r="G194" s="235"/>
      <c r="H194" s="235" t="s">
        <v>265</v>
      </c>
      <c r="I194" s="235">
        <v>1</v>
      </c>
      <c r="J194" s="235"/>
      <c r="K194" s="235">
        <v>27</v>
      </c>
      <c r="L194" s="235">
        <f t="shared" si="90"/>
        <v>27</v>
      </c>
      <c r="M194" s="235">
        <v>5</v>
      </c>
      <c r="N194" s="235"/>
      <c r="O194" s="248">
        <v>42048</v>
      </c>
      <c r="P194"/>
      <c r="Q194" s="219"/>
      <c r="R194"/>
      <c r="S194"/>
      <c r="T194"/>
      <c r="U194" s="153"/>
      <c r="V194" s="219"/>
      <c r="W194" s="219"/>
      <c r="X194">
        <v>15.55</v>
      </c>
      <c r="Y194"/>
      <c r="Z194"/>
      <c r="AA194"/>
      <c r="AB194" s="220"/>
      <c r="AC194" s="219"/>
      <c r="AD194" s="221"/>
      <c r="AE194" s="219"/>
      <c r="AF194" s="220"/>
      <c r="AG194" s="219"/>
      <c r="AH194" s="220"/>
      <c r="AI194" s="219"/>
      <c r="AJ194" s="286"/>
      <c r="AK194" s="284"/>
      <c r="AL194"/>
      <c r="AM194"/>
      <c r="AN194" s="241">
        <v>70</v>
      </c>
      <c r="AO194" s="242">
        <v>42074</v>
      </c>
      <c r="AP194" s="255">
        <v>104</v>
      </c>
      <c r="AQ194" s="242">
        <v>42108</v>
      </c>
      <c r="AR194"/>
      <c r="AS194" s="297"/>
      <c r="AT194" s="290"/>
      <c r="AU194" s="298"/>
      <c r="AV194"/>
      <c r="AW194"/>
      <c r="AX194"/>
      <c r="AY194"/>
      <c r="AZ194"/>
      <c r="BA194"/>
      <c r="BB194"/>
      <c r="BC194"/>
      <c r="BD194"/>
      <c r="BE194"/>
      <c r="BF194" s="277"/>
      <c r="BG194" s="235"/>
      <c r="BH194"/>
      <c r="BI194"/>
      <c r="BJ194"/>
      <c r="BK194"/>
      <c r="BL194" s="277"/>
      <c r="BM194" s="235"/>
      <c r="BN194"/>
      <c r="BO194"/>
      <c r="BP194" s="277"/>
      <c r="BQ194" s="235"/>
      <c r="BR194" s="277"/>
      <c r="BS194" s="235"/>
      <c r="BT194" s="277"/>
      <c r="BU194" s="235"/>
      <c r="BV194" s="277"/>
      <c r="BW194" s="235"/>
      <c r="BX194" s="277"/>
      <c r="BY194" s="235"/>
      <c r="BZ194"/>
      <c r="CA194" s="136"/>
      <c r="CB194" s="266"/>
      <c r="CC194"/>
      <c r="CD194" s="277"/>
      <c r="CE194" s="291"/>
      <c r="CF194"/>
      <c r="CG194"/>
      <c r="CH194"/>
      <c r="CI194"/>
      <c r="CK194"/>
      <c r="CL194">
        <v>1</v>
      </c>
      <c r="CM194" s="259">
        <v>42161</v>
      </c>
    </row>
    <row r="195" spans="1:92" s="227" customFormat="1">
      <c r="A195" s="258">
        <v>320</v>
      </c>
      <c r="B195" s="235">
        <v>320</v>
      </c>
      <c r="C195" s="235" t="s">
        <v>7576</v>
      </c>
      <c r="D195" s="235"/>
      <c r="E195" s="235"/>
      <c r="F195" s="235"/>
      <c r="G195" s="235"/>
      <c r="H195" s="235" t="s">
        <v>265</v>
      </c>
      <c r="I195" s="235">
        <v>1</v>
      </c>
      <c r="J195" s="235"/>
      <c r="K195" s="235">
        <v>28</v>
      </c>
      <c r="L195" s="235">
        <f t="shared" si="90"/>
        <v>28</v>
      </c>
      <c r="M195" s="235">
        <v>5</v>
      </c>
      <c r="N195" s="235"/>
      <c r="O195" s="248">
        <v>42048</v>
      </c>
      <c r="P195"/>
      <c r="Q195" s="219"/>
      <c r="R195"/>
      <c r="S195"/>
      <c r="T195"/>
      <c r="U195" s="153"/>
      <c r="V195" s="219"/>
      <c r="W195" s="219"/>
      <c r="X195">
        <v>15.55</v>
      </c>
      <c r="Y195"/>
      <c r="Z195"/>
      <c r="AA195"/>
      <c r="AB195" s="220"/>
      <c r="AC195" s="219"/>
      <c r="AD195" s="221"/>
      <c r="AE195" s="219"/>
      <c r="AF195" s="220"/>
      <c r="AG195" s="219"/>
      <c r="AH195" s="220"/>
      <c r="AI195" s="219"/>
      <c r="AJ195" s="286"/>
      <c r="AK195" s="284"/>
      <c r="AL195"/>
      <c r="AM195"/>
      <c r="AN195" s="241">
        <v>70</v>
      </c>
      <c r="AO195" s="242">
        <v>42074</v>
      </c>
      <c r="AP195" s="255">
        <v>104</v>
      </c>
      <c r="AQ195" s="242">
        <v>42108</v>
      </c>
      <c r="AR195"/>
      <c r="AS195" s="297"/>
      <c r="AT195" s="290"/>
      <c r="AU195" s="298"/>
      <c r="AV195"/>
      <c r="AW195"/>
      <c r="AX195"/>
      <c r="AY195"/>
      <c r="AZ195"/>
      <c r="BA195"/>
      <c r="BB195"/>
      <c r="BC195"/>
      <c r="BD195"/>
      <c r="BE195"/>
      <c r="BF195" s="277"/>
      <c r="BG195" s="235"/>
      <c r="BH195"/>
      <c r="BI195"/>
      <c r="BJ195"/>
      <c r="BK195"/>
      <c r="BL195" s="277"/>
      <c r="BM195" s="235"/>
      <c r="BN195"/>
      <c r="BO195"/>
      <c r="BP195" s="277"/>
      <c r="BQ195" s="235"/>
      <c r="BR195" s="277"/>
      <c r="BS195" s="235"/>
      <c r="BT195" s="277"/>
      <c r="BU195" s="235"/>
      <c r="BV195" s="277"/>
      <c r="BW195" s="235"/>
      <c r="BX195" s="277"/>
      <c r="BY195" s="235"/>
      <c r="BZ195"/>
      <c r="CA195" s="136"/>
      <c r="CB195" s="266"/>
      <c r="CC195"/>
      <c r="CD195" s="277"/>
      <c r="CE195" s="291"/>
      <c r="CF195"/>
      <c r="CG195"/>
      <c r="CH195"/>
      <c r="CI195"/>
      <c r="CK195"/>
      <c r="CL195">
        <v>1</v>
      </c>
      <c r="CM195" s="259">
        <v>42161</v>
      </c>
    </row>
    <row r="196" spans="1:92">
      <c r="A196" s="258">
        <v>321</v>
      </c>
      <c r="B196" s="235">
        <v>321</v>
      </c>
      <c r="C196" s="235" t="s">
        <v>7719</v>
      </c>
      <c r="D196" s="235" t="s">
        <v>7543</v>
      </c>
      <c r="E196" s="235" t="s">
        <v>7719</v>
      </c>
      <c r="F196" s="235" t="s">
        <v>8518</v>
      </c>
      <c r="G196" s="235" t="str">
        <f t="shared" ref="G196:G204" si="105">IF(MID(C196,1,3)="BGA","Complement","Rapsodyn")</f>
        <v>Rapsodyn</v>
      </c>
      <c r="H196" s="235" t="s">
        <v>265</v>
      </c>
      <c r="I196" s="235">
        <v>1</v>
      </c>
      <c r="J196" s="235">
        <v>9101</v>
      </c>
      <c r="K196" s="235">
        <v>29</v>
      </c>
      <c r="L196" s="235">
        <f t="shared" si="90"/>
        <v>29</v>
      </c>
      <c r="M196" s="235">
        <v>5</v>
      </c>
      <c r="N196" s="235">
        <v>7</v>
      </c>
      <c r="O196" s="248">
        <v>42048</v>
      </c>
      <c r="P196">
        <v>4.8499999999999996</v>
      </c>
      <c r="Q196" s="264">
        <v>42204</v>
      </c>
      <c r="R196"/>
      <c r="S196"/>
      <c r="T196"/>
      <c r="V196" s="219">
        <f t="shared" ref="V196:V204" si="106">+BR196*AF196/100</f>
        <v>14.919941618437722</v>
      </c>
      <c r="W196" s="219"/>
      <c r="X196">
        <v>15.55</v>
      </c>
      <c r="Y196"/>
      <c r="Z196"/>
      <c r="AA196"/>
      <c r="AB196" s="220">
        <f t="shared" ref="AB196:AB204" si="107">+AF196*BT196/100</f>
        <v>4.2882626395745511</v>
      </c>
      <c r="AC196" s="219"/>
      <c r="AD196" s="221">
        <f t="shared" ref="AD196:AD204" si="108">+(AF196/AJ196)*10000</f>
        <v>66540.635916963671</v>
      </c>
      <c r="AE196" s="219"/>
      <c r="AF196" s="220">
        <f t="shared" ref="AF196:AF204" si="109">($P196/$X196)*(((100-$CD196)/100*(100-2)/100))*100</f>
        <v>29.011717259796164</v>
      </c>
      <c r="AG196" s="219"/>
      <c r="AH196" s="220">
        <f t="shared" ref="AH196:AH204" si="110">($P196/$X196)*(((100-$CD196)/(100-9)*(100-2)/(100-2))*100)</f>
        <v>32.531640793671414</v>
      </c>
      <c r="AI196" s="219"/>
      <c r="AJ196">
        <v>4.3600000000000003</v>
      </c>
      <c r="AK196" s="284" t="s">
        <v>8403</v>
      </c>
      <c r="AL196">
        <v>160</v>
      </c>
      <c r="AM196"/>
      <c r="AN196" s="241">
        <v>72</v>
      </c>
      <c r="AO196" s="242">
        <v>42076</v>
      </c>
      <c r="AP196" s="255">
        <v>104</v>
      </c>
      <c r="AQ196" s="242">
        <v>42108</v>
      </c>
      <c r="AR196" s="223">
        <v>131</v>
      </c>
      <c r="AS196" s="297">
        <f t="shared" ref="AS196:AS204" si="111">IF(AR196=0,,AR196)</f>
        <v>131</v>
      </c>
      <c r="AT196" s="290">
        <v>42135</v>
      </c>
      <c r="AU196" s="298"/>
      <c r="AV196"/>
      <c r="AW196"/>
      <c r="AX196"/>
      <c r="AY196"/>
      <c r="AZ196"/>
      <c r="BA196"/>
      <c r="BB196"/>
      <c r="BC196"/>
      <c r="BD196"/>
      <c r="BE196"/>
      <c r="BF196" s="277">
        <v>-1.2620010375976563</v>
      </c>
      <c r="BG196" s="283">
        <v>42230</v>
      </c>
      <c r="BH196"/>
      <c r="BI196"/>
      <c r="BJ196"/>
      <c r="BK196"/>
      <c r="BL196" s="277">
        <v>66.930252075195313</v>
      </c>
      <c r="BM196" s="283">
        <v>42230</v>
      </c>
      <c r="BN196"/>
      <c r="BO196"/>
      <c r="BP196" s="277">
        <v>3.51413893699646</v>
      </c>
      <c r="BQ196" s="283">
        <v>42230</v>
      </c>
      <c r="BR196" s="277">
        <v>51.427295684814453</v>
      </c>
      <c r="BS196" s="283">
        <v>42230</v>
      </c>
      <c r="BT196" s="277">
        <v>14.781140327453613</v>
      </c>
      <c r="BU196" s="283">
        <v>42230</v>
      </c>
      <c r="BV196" s="277">
        <v>14.067171096801758</v>
      </c>
      <c r="BW196" s="283">
        <v>42230</v>
      </c>
      <c r="BX196" s="277">
        <v>5.29400634765625</v>
      </c>
      <c r="BY196" s="283">
        <v>42230</v>
      </c>
      <c r="BZ196"/>
      <c r="CB196" s="266">
        <v>2.29</v>
      </c>
      <c r="CC196"/>
      <c r="CD196" s="277">
        <v>5.0847457627118757</v>
      </c>
      <c r="CE196" s="291" t="s">
        <v>8403</v>
      </c>
      <c r="CF196"/>
      <c r="CG196"/>
      <c r="CH196">
        <v>1</v>
      </c>
      <c r="CI196">
        <v>5</v>
      </c>
      <c r="CK196"/>
      <c r="CL196">
        <v>1</v>
      </c>
      <c r="CM196" s="259">
        <v>42161</v>
      </c>
      <c r="CN196" s="137" t="s">
        <v>8406</v>
      </c>
    </row>
    <row r="197" spans="1:92">
      <c r="A197" s="258">
        <v>323</v>
      </c>
      <c r="B197" s="235">
        <v>323</v>
      </c>
      <c r="C197" s="235" t="s">
        <v>7759</v>
      </c>
      <c r="D197" s="235" t="s">
        <v>7566</v>
      </c>
      <c r="E197" s="235" t="s">
        <v>7759</v>
      </c>
      <c r="F197" s="235" t="s">
        <v>8532</v>
      </c>
      <c r="G197" s="235" t="str">
        <f t="shared" si="105"/>
        <v>Rapsodyn</v>
      </c>
      <c r="H197" s="235" t="s">
        <v>265</v>
      </c>
      <c r="I197" s="235">
        <v>1</v>
      </c>
      <c r="J197" s="235">
        <v>9130</v>
      </c>
      <c r="K197" s="235">
        <v>31</v>
      </c>
      <c r="L197" s="235">
        <f t="shared" ref="L197:L235" si="112">K197</f>
        <v>31</v>
      </c>
      <c r="M197" s="235">
        <v>5</v>
      </c>
      <c r="N197" s="235">
        <v>7</v>
      </c>
      <c r="O197" s="248">
        <v>42048</v>
      </c>
      <c r="P197">
        <v>4.8499999999999996</v>
      </c>
      <c r="Q197" s="264">
        <v>42204</v>
      </c>
      <c r="R197"/>
      <c r="S197"/>
      <c r="T197"/>
      <c r="V197" s="219">
        <f t="shared" si="106"/>
        <v>14.070717574239159</v>
      </c>
      <c r="W197" s="219"/>
      <c r="X197">
        <v>15.55</v>
      </c>
      <c r="Y197"/>
      <c r="Z197"/>
      <c r="AA197"/>
      <c r="AB197" s="220">
        <f t="shared" si="107"/>
        <v>4.5758435617027065</v>
      </c>
      <c r="AC197" s="219"/>
      <c r="AD197" s="221">
        <f t="shared" si="108"/>
        <v>58376.463710301417</v>
      </c>
      <c r="AE197" s="219"/>
      <c r="AF197" s="220">
        <f t="shared" si="109"/>
        <v>27.787196726103474</v>
      </c>
      <c r="AG197" s="219"/>
      <c r="AH197" s="220">
        <f t="shared" si="110"/>
        <v>31.158552058873592</v>
      </c>
      <c r="AI197" s="219"/>
      <c r="AJ197">
        <v>4.76</v>
      </c>
      <c r="AK197" s="284" t="s">
        <v>8401</v>
      </c>
      <c r="AL197">
        <v>145</v>
      </c>
      <c r="AM197"/>
      <c r="AN197" s="241">
        <v>79</v>
      </c>
      <c r="AO197" s="242">
        <v>42083</v>
      </c>
      <c r="AP197" s="255">
        <v>106</v>
      </c>
      <c r="AQ197" s="242">
        <v>42110</v>
      </c>
      <c r="AR197" s="223">
        <v>127</v>
      </c>
      <c r="AS197" s="297">
        <f t="shared" si="111"/>
        <v>127</v>
      </c>
      <c r="AT197" s="290">
        <v>42131</v>
      </c>
      <c r="AU197" s="298"/>
      <c r="AV197"/>
      <c r="AW197"/>
      <c r="AX197"/>
      <c r="AY197"/>
      <c r="AZ197"/>
      <c r="BA197"/>
      <c r="BB197"/>
      <c r="BC197"/>
      <c r="BD197"/>
      <c r="BE197"/>
      <c r="BF197" s="277">
        <v>-2.5468559265136719</v>
      </c>
      <c r="BG197" s="283">
        <v>42233</v>
      </c>
      <c r="BH197"/>
      <c r="BI197"/>
      <c r="BJ197"/>
      <c r="BK197"/>
      <c r="BL197" s="277">
        <v>64.800430297851563</v>
      </c>
      <c r="BM197" s="283">
        <v>42233</v>
      </c>
      <c r="BN197"/>
      <c r="BO197"/>
      <c r="BP197" s="277">
        <v>3.6856870651245117</v>
      </c>
      <c r="BQ197" s="283">
        <v>42233</v>
      </c>
      <c r="BR197" s="277">
        <v>50.637413024902344</v>
      </c>
      <c r="BS197" s="283">
        <v>42233</v>
      </c>
      <c r="BT197" s="277">
        <v>16.467453002929687</v>
      </c>
      <c r="BU197" s="283">
        <v>42233</v>
      </c>
      <c r="BV197" s="277">
        <v>16.124340057373047</v>
      </c>
      <c r="BW197" s="283">
        <v>42233</v>
      </c>
      <c r="BX197" s="277">
        <v>5.2696304321289062</v>
      </c>
      <c r="BY197" s="283">
        <v>42233</v>
      </c>
      <c r="BZ197"/>
      <c r="CB197" s="266">
        <v>1.95</v>
      </c>
      <c r="CC197"/>
      <c r="CD197" s="277">
        <v>9.0909090909090917</v>
      </c>
      <c r="CE197" s="291" t="s">
        <v>8401</v>
      </c>
      <c r="CF197"/>
      <c r="CG197"/>
      <c r="CH197">
        <v>2</v>
      </c>
      <c r="CI197">
        <v>3</v>
      </c>
      <c r="CK197"/>
      <c r="CL197">
        <v>1</v>
      </c>
      <c r="CM197" s="259">
        <v>42161</v>
      </c>
      <c r="CN197" s="137" t="s">
        <v>8406</v>
      </c>
    </row>
    <row r="198" spans="1:92">
      <c r="A198" s="258">
        <v>326</v>
      </c>
      <c r="B198" s="235">
        <v>326</v>
      </c>
      <c r="C198" s="235" t="s">
        <v>8238</v>
      </c>
      <c r="D198" s="235" t="s">
        <v>7562</v>
      </c>
      <c r="E198" s="235" t="s">
        <v>8461</v>
      </c>
      <c r="F198" s="235" t="s">
        <v>8469</v>
      </c>
      <c r="G198" s="235" t="str">
        <f t="shared" si="105"/>
        <v>Rapsodyn</v>
      </c>
      <c r="H198" s="235" t="s">
        <v>265</v>
      </c>
      <c r="I198" s="235">
        <v>1</v>
      </c>
      <c r="J198" s="235">
        <v>9360</v>
      </c>
      <c r="K198" s="235">
        <v>34</v>
      </c>
      <c r="L198" s="235">
        <f t="shared" si="112"/>
        <v>34</v>
      </c>
      <c r="M198" s="235">
        <v>5</v>
      </c>
      <c r="N198" s="235">
        <v>7</v>
      </c>
      <c r="O198" s="248">
        <v>42048</v>
      </c>
      <c r="P198">
        <v>4.5999999999999996</v>
      </c>
      <c r="Q198" s="264">
        <v>42204</v>
      </c>
      <c r="R198"/>
      <c r="S198"/>
      <c r="T198"/>
      <c r="V198" s="219">
        <f t="shared" si="106"/>
        <v>13.770389373823898</v>
      </c>
      <c r="W198" s="219"/>
      <c r="X198">
        <v>15.55</v>
      </c>
      <c r="Y198"/>
      <c r="Z198"/>
      <c r="AA198"/>
      <c r="AB198" s="220">
        <f t="shared" si="107"/>
        <v>4.559254377189486</v>
      </c>
      <c r="AC198" s="219"/>
      <c r="AD198" s="221">
        <f t="shared" si="108"/>
        <v>60107.591398842029</v>
      </c>
      <c r="AE198" s="219"/>
      <c r="AF198" s="220">
        <f t="shared" si="109"/>
        <v>27.409061677871964</v>
      </c>
      <c r="AG198" s="219"/>
      <c r="AH198" s="220">
        <f t="shared" si="110"/>
        <v>30.734538773123983</v>
      </c>
      <c r="AI198" s="219"/>
      <c r="AJ198">
        <v>4.5599999999999996</v>
      </c>
      <c r="AK198" s="284" t="s">
        <v>8401</v>
      </c>
      <c r="AL198">
        <v>155</v>
      </c>
      <c r="AM198"/>
      <c r="AN198" s="241">
        <v>72</v>
      </c>
      <c r="AO198" s="242">
        <v>42076</v>
      </c>
      <c r="AP198" s="255">
        <v>104</v>
      </c>
      <c r="AQ198" s="242">
        <v>42108</v>
      </c>
      <c r="AR198" s="223">
        <v>127</v>
      </c>
      <c r="AS198" s="297">
        <f t="shared" si="111"/>
        <v>127</v>
      </c>
      <c r="AT198" s="290">
        <v>42131</v>
      </c>
      <c r="AU198" s="298"/>
      <c r="AV198"/>
      <c r="AW198"/>
      <c r="AX198"/>
      <c r="AY198"/>
      <c r="AZ198"/>
      <c r="BA198"/>
      <c r="BB198"/>
      <c r="BC198"/>
      <c r="BD198"/>
      <c r="BE198"/>
      <c r="BF198" s="277">
        <v>-3.1589999198913574</v>
      </c>
      <c r="BG198" s="283">
        <v>42230</v>
      </c>
      <c r="BH198"/>
      <c r="BI198"/>
      <c r="BJ198"/>
      <c r="BK198"/>
      <c r="BL198" s="277">
        <v>65.247116088867188</v>
      </c>
      <c r="BM198" s="283">
        <v>42230</v>
      </c>
      <c r="BN198"/>
      <c r="BO198"/>
      <c r="BP198" s="277">
        <v>4.158750057220459</v>
      </c>
      <c r="BQ198" s="283">
        <v>42230</v>
      </c>
      <c r="BR198" s="277">
        <v>50.240280151367188</v>
      </c>
      <c r="BS198" s="283">
        <v>42230</v>
      </c>
      <c r="BT198" s="277">
        <v>16.634113311767578</v>
      </c>
      <c r="BU198" s="283">
        <v>42230</v>
      </c>
      <c r="BV198" s="277">
        <v>18.367706298828125</v>
      </c>
      <c r="BW198" s="283">
        <v>42230</v>
      </c>
      <c r="BX198" s="277">
        <v>5.1920318603515625</v>
      </c>
      <c r="BY198" s="283">
        <v>42230</v>
      </c>
      <c r="BZ198"/>
      <c r="CB198" s="266">
        <v>1.55</v>
      </c>
      <c r="CC198"/>
      <c r="CD198" s="277">
        <v>5.4545454545454515</v>
      </c>
      <c r="CE198" s="291" t="s">
        <v>8401</v>
      </c>
      <c r="CF198"/>
      <c r="CG198"/>
      <c r="CH198">
        <v>2</v>
      </c>
      <c r="CI198">
        <v>4</v>
      </c>
      <c r="CK198"/>
      <c r="CL198">
        <v>1</v>
      </c>
      <c r="CM198" s="259">
        <v>42161</v>
      </c>
      <c r="CN198" s="137" t="s">
        <v>8406</v>
      </c>
    </row>
    <row r="199" spans="1:92">
      <c r="A199" s="258">
        <v>328</v>
      </c>
      <c r="B199" s="235">
        <v>328</v>
      </c>
      <c r="C199" s="235" t="s">
        <v>7730</v>
      </c>
      <c r="D199" s="235" t="s">
        <v>7553</v>
      </c>
      <c r="E199" s="235" t="s">
        <v>7730</v>
      </c>
      <c r="F199" s="235" t="s">
        <v>8591</v>
      </c>
      <c r="G199" s="235" t="str">
        <f t="shared" si="105"/>
        <v>Rapsodyn</v>
      </c>
      <c r="H199" s="235" t="s">
        <v>265</v>
      </c>
      <c r="I199" s="235">
        <v>1</v>
      </c>
      <c r="J199" s="235">
        <v>9112</v>
      </c>
      <c r="K199" s="235">
        <v>36</v>
      </c>
      <c r="L199" s="235">
        <f t="shared" si="112"/>
        <v>36</v>
      </c>
      <c r="M199" s="235">
        <v>5</v>
      </c>
      <c r="N199" s="235">
        <v>7</v>
      </c>
      <c r="O199" s="248">
        <v>42048</v>
      </c>
      <c r="P199">
        <v>4.6500000000000004</v>
      </c>
      <c r="Q199" s="264">
        <v>42204</v>
      </c>
      <c r="R199"/>
      <c r="S199"/>
      <c r="T199"/>
      <c r="V199" s="219">
        <f t="shared" si="106"/>
        <v>14.12680139735836</v>
      </c>
      <c r="W199" s="219"/>
      <c r="X199">
        <v>15.55</v>
      </c>
      <c r="Y199"/>
      <c r="Z199"/>
      <c r="AA199"/>
      <c r="AB199" s="220">
        <f t="shared" si="107"/>
        <v>4.3655884136596548</v>
      </c>
      <c r="AC199" s="219"/>
      <c r="AD199" s="221">
        <f t="shared" si="108"/>
        <v>69716.334459140213</v>
      </c>
      <c r="AE199" s="219"/>
      <c r="AF199" s="220">
        <f t="shared" si="109"/>
        <v>27.677384780278668</v>
      </c>
      <c r="AG199" s="219"/>
      <c r="AH199" s="220">
        <f t="shared" si="110"/>
        <v>31.035416887506916</v>
      </c>
      <c r="AI199" s="219"/>
      <c r="AJ199">
        <v>3.97</v>
      </c>
      <c r="AK199" s="284" t="s">
        <v>8402</v>
      </c>
      <c r="AL199">
        <v>160</v>
      </c>
      <c r="AM199"/>
      <c r="AN199" s="241">
        <v>70</v>
      </c>
      <c r="AO199" s="242">
        <v>42074</v>
      </c>
      <c r="AP199" s="255">
        <v>104</v>
      </c>
      <c r="AQ199" s="242">
        <v>42108</v>
      </c>
      <c r="AR199" s="223">
        <v>132</v>
      </c>
      <c r="AS199" s="297">
        <f t="shared" si="111"/>
        <v>132</v>
      </c>
      <c r="AT199" s="290">
        <v>42136</v>
      </c>
      <c r="AU199" s="298"/>
      <c r="AV199"/>
      <c r="AW199"/>
      <c r="AX199"/>
      <c r="AY199"/>
      <c r="AZ199"/>
      <c r="BA199"/>
      <c r="BB199"/>
      <c r="BC199"/>
      <c r="BD199"/>
      <c r="BE199"/>
      <c r="BF199" s="277">
        <v>-5.5696430206298828</v>
      </c>
      <c r="BG199" s="283">
        <v>42233</v>
      </c>
      <c r="BH199"/>
      <c r="BI199"/>
      <c r="BJ199"/>
      <c r="BK199"/>
      <c r="BL199" s="277">
        <v>64.254310607910156</v>
      </c>
      <c r="BM199" s="283">
        <v>42233</v>
      </c>
      <c r="BN199"/>
      <c r="BO199"/>
      <c r="BP199" s="277">
        <v>4.3322892189025879</v>
      </c>
      <c r="BQ199" s="283">
        <v>42233</v>
      </c>
      <c r="BR199" s="277">
        <v>51.04095458984375</v>
      </c>
      <c r="BS199" s="283">
        <v>42233</v>
      </c>
      <c r="BT199" s="277">
        <v>15.773124694824219</v>
      </c>
      <c r="BU199" s="283">
        <v>42233</v>
      </c>
      <c r="BV199" s="277">
        <v>15.718271255493164</v>
      </c>
      <c r="BW199" s="283">
        <v>42233</v>
      </c>
      <c r="BX199" s="277">
        <v>5.2945404052734375</v>
      </c>
      <c r="BY199" s="283">
        <v>42233</v>
      </c>
      <c r="BZ199"/>
      <c r="CB199" s="266">
        <v>1.56</v>
      </c>
      <c r="CC199"/>
      <c r="CD199" s="277">
        <v>5.5555555555555687</v>
      </c>
      <c r="CE199" s="291" t="s">
        <v>8402</v>
      </c>
      <c r="CF199"/>
      <c r="CG199"/>
      <c r="CH199">
        <v>2</v>
      </c>
      <c r="CI199">
        <v>5</v>
      </c>
      <c r="CK199"/>
      <c r="CL199">
        <v>7</v>
      </c>
      <c r="CM199" s="259">
        <v>42161</v>
      </c>
      <c r="CN199" s="137" t="s">
        <v>8406</v>
      </c>
    </row>
    <row r="200" spans="1:92" s="227" customFormat="1">
      <c r="A200" s="258">
        <v>333</v>
      </c>
      <c r="B200" s="235">
        <v>333</v>
      </c>
      <c r="C200" s="235" t="s">
        <v>7780</v>
      </c>
      <c r="D200" s="235" t="s">
        <v>7578</v>
      </c>
      <c r="E200" s="235" t="s">
        <v>7780</v>
      </c>
      <c r="F200" s="235" t="s">
        <v>8551</v>
      </c>
      <c r="G200" s="235" t="str">
        <f t="shared" si="105"/>
        <v>Rapsodyn</v>
      </c>
      <c r="H200" s="235" t="s">
        <v>265</v>
      </c>
      <c r="I200" s="235">
        <v>1</v>
      </c>
      <c r="J200" s="235">
        <v>9151</v>
      </c>
      <c r="K200" s="235">
        <v>41</v>
      </c>
      <c r="L200" s="235">
        <f t="shared" si="112"/>
        <v>41</v>
      </c>
      <c r="M200" s="235">
        <v>5</v>
      </c>
      <c r="N200" s="235">
        <v>7</v>
      </c>
      <c r="O200" s="248">
        <v>42048</v>
      </c>
      <c r="P200">
        <v>4.3499999999999996</v>
      </c>
      <c r="Q200" s="264">
        <v>42204</v>
      </c>
      <c r="R200"/>
      <c r="S200"/>
      <c r="T200"/>
      <c r="U200" s="153"/>
      <c r="V200" s="219">
        <f t="shared" si="106"/>
        <v>12.828448375842386</v>
      </c>
      <c r="W200" s="219"/>
      <c r="X200">
        <v>15.55</v>
      </c>
      <c r="Y200"/>
      <c r="Z200"/>
      <c r="AA200"/>
      <c r="AB200" s="220">
        <f t="shared" si="107"/>
        <v>4.6225045144048087</v>
      </c>
      <c r="AC200" s="219"/>
      <c r="AD200" s="221">
        <f t="shared" si="108"/>
        <v>56841.78104247267</v>
      </c>
      <c r="AE200" s="219"/>
      <c r="AF200" s="220">
        <f t="shared" si="109"/>
        <v>25.863010374325064</v>
      </c>
      <c r="AG200" s="219"/>
      <c r="AH200" s="220">
        <f t="shared" si="110"/>
        <v>29.000908695139113</v>
      </c>
      <c r="AI200" s="219"/>
      <c r="AJ200">
        <v>4.55</v>
      </c>
      <c r="AK200" s="284" t="s">
        <v>8401</v>
      </c>
      <c r="AL200">
        <v>155</v>
      </c>
      <c r="AM200"/>
      <c r="AN200" s="241">
        <v>70</v>
      </c>
      <c r="AO200" s="242">
        <v>42074</v>
      </c>
      <c r="AP200" s="255">
        <v>104</v>
      </c>
      <c r="AQ200" s="242">
        <v>42108</v>
      </c>
      <c r="AR200" s="223">
        <v>127</v>
      </c>
      <c r="AS200" s="297">
        <f t="shared" si="111"/>
        <v>127</v>
      </c>
      <c r="AT200" s="290">
        <v>42131</v>
      </c>
      <c r="AU200" s="298"/>
      <c r="AV200"/>
      <c r="AW200"/>
      <c r="AX200"/>
      <c r="AY200"/>
      <c r="AZ200"/>
      <c r="BA200"/>
      <c r="BB200"/>
      <c r="BC200"/>
      <c r="BD200"/>
      <c r="BE200"/>
      <c r="BF200" s="277">
        <v>-4.0097031593322754</v>
      </c>
      <c r="BG200" s="283">
        <v>42233</v>
      </c>
      <c r="BH200"/>
      <c r="BI200"/>
      <c r="BJ200"/>
      <c r="BK200"/>
      <c r="BL200" s="277">
        <v>66.43524169921875</v>
      </c>
      <c r="BM200" s="283">
        <v>42233</v>
      </c>
      <c r="BN200"/>
      <c r="BO200"/>
      <c r="BP200" s="277">
        <v>3.2831399440765381</v>
      </c>
      <c r="BQ200" s="283">
        <v>42233</v>
      </c>
      <c r="BR200" s="277">
        <v>49.601528167724609</v>
      </c>
      <c r="BS200" s="283">
        <v>42233</v>
      </c>
      <c r="BT200" s="277">
        <v>17.87303352355957</v>
      </c>
      <c r="BU200" s="283">
        <v>42233</v>
      </c>
      <c r="BV200" s="277">
        <v>11.702171325683594</v>
      </c>
      <c r="BW200" s="283">
        <v>42233</v>
      </c>
      <c r="BX200" s="277">
        <v>5.1914749145507812</v>
      </c>
      <c r="BY200" s="283">
        <v>42233</v>
      </c>
      <c r="BZ200"/>
      <c r="CA200" s="136"/>
      <c r="CB200" s="266">
        <v>1.47</v>
      </c>
      <c r="CC200"/>
      <c r="CD200" s="277">
        <v>5.660377358490563</v>
      </c>
      <c r="CE200" s="291" t="s">
        <v>8401</v>
      </c>
      <c r="CF200"/>
      <c r="CG200"/>
      <c r="CH200">
        <v>1</v>
      </c>
      <c r="CI200">
        <v>2</v>
      </c>
      <c r="CK200"/>
      <c r="CL200">
        <v>1</v>
      </c>
      <c r="CM200" s="259">
        <v>42161</v>
      </c>
      <c r="CN200" s="137" t="s">
        <v>8406</v>
      </c>
    </row>
    <row r="201" spans="1:92" s="227" customFormat="1">
      <c r="A201" s="258">
        <v>334</v>
      </c>
      <c r="B201" s="235">
        <v>334</v>
      </c>
      <c r="C201" s="235" t="s">
        <v>7723</v>
      </c>
      <c r="D201" s="235" t="s">
        <v>7547</v>
      </c>
      <c r="E201" s="235" t="s">
        <v>7723</v>
      </c>
      <c r="F201" s="235" t="s">
        <v>8446</v>
      </c>
      <c r="G201" s="235" t="str">
        <f t="shared" si="105"/>
        <v>Rapsodyn</v>
      </c>
      <c r="H201" s="235" t="s">
        <v>265</v>
      </c>
      <c r="I201" s="235">
        <v>1</v>
      </c>
      <c r="J201" s="235">
        <v>9105</v>
      </c>
      <c r="K201" s="235">
        <v>42</v>
      </c>
      <c r="L201" s="235">
        <f t="shared" si="112"/>
        <v>42</v>
      </c>
      <c r="M201" s="235">
        <v>5</v>
      </c>
      <c r="N201" s="235">
        <v>7</v>
      </c>
      <c r="O201" s="248">
        <v>42048</v>
      </c>
      <c r="P201">
        <v>4.4000000000000004</v>
      </c>
      <c r="Q201" s="264">
        <v>42204</v>
      </c>
      <c r="R201"/>
      <c r="S201"/>
      <c r="T201"/>
      <c r="U201" s="153"/>
      <c r="V201" s="219">
        <f t="shared" si="106"/>
        <v>13.485989184413311</v>
      </c>
      <c r="W201" s="219"/>
      <c r="X201">
        <v>15.55</v>
      </c>
      <c r="Y201"/>
      <c r="Z201"/>
      <c r="AA201"/>
      <c r="AB201" s="220">
        <f t="shared" si="107"/>
        <v>4.3672864509410809</v>
      </c>
      <c r="AC201" s="219"/>
      <c r="AD201" s="221">
        <f t="shared" si="108"/>
        <v>58081.543408360136</v>
      </c>
      <c r="AE201" s="219"/>
      <c r="AF201" s="220">
        <f t="shared" si="109"/>
        <v>26.721543408360134</v>
      </c>
      <c r="AG201" s="219"/>
      <c r="AH201" s="220">
        <f t="shared" si="110"/>
        <v>29.963605526306488</v>
      </c>
      <c r="AI201" s="219"/>
      <c r="AJ201" s="288">
        <v>4.6006944444444446</v>
      </c>
      <c r="AK201" s="284" t="s">
        <v>8403</v>
      </c>
      <c r="AL201">
        <v>155</v>
      </c>
      <c r="AM201"/>
      <c r="AN201" s="241">
        <v>70</v>
      </c>
      <c r="AO201" s="242">
        <v>42074</v>
      </c>
      <c r="AP201" s="255">
        <v>106</v>
      </c>
      <c r="AQ201" s="242">
        <v>42110</v>
      </c>
      <c r="AR201" s="223">
        <v>127</v>
      </c>
      <c r="AS201" s="297">
        <f t="shared" si="111"/>
        <v>127</v>
      </c>
      <c r="AT201" s="290">
        <v>42131</v>
      </c>
      <c r="AU201" s="298"/>
      <c r="AV201"/>
      <c r="AW201"/>
      <c r="AX201"/>
      <c r="AY201"/>
      <c r="AZ201"/>
      <c r="BA201"/>
      <c r="BB201"/>
      <c r="BC201"/>
      <c r="BD201"/>
      <c r="BE201"/>
      <c r="BF201" s="277">
        <v>-4.455197811126709</v>
      </c>
      <c r="BG201" s="283">
        <v>42233</v>
      </c>
      <c r="BH201"/>
      <c r="BI201"/>
      <c r="BJ201"/>
      <c r="BK201"/>
      <c r="BL201" s="277">
        <v>62.264469146728516</v>
      </c>
      <c r="BM201" s="283">
        <v>42233</v>
      </c>
      <c r="BN201"/>
      <c r="BO201"/>
      <c r="BP201" s="277">
        <v>3.5295660495758057</v>
      </c>
      <c r="BQ201" s="283">
        <v>42233</v>
      </c>
      <c r="BR201" s="277">
        <v>50.468601226806641</v>
      </c>
      <c r="BS201" s="283">
        <v>42233</v>
      </c>
      <c r="BT201" s="277">
        <v>16.343690872192383</v>
      </c>
      <c r="BU201" s="283">
        <v>42233</v>
      </c>
      <c r="BV201" s="277">
        <v>14.734742164611816</v>
      </c>
      <c r="BW201" s="283">
        <v>42233</v>
      </c>
      <c r="BX201" s="277">
        <v>5.0891494750976563</v>
      </c>
      <c r="BY201" s="283">
        <v>42233</v>
      </c>
      <c r="BZ201"/>
      <c r="CA201" s="136"/>
      <c r="CB201" s="266">
        <v>1.79</v>
      </c>
      <c r="CC201"/>
      <c r="CD201" s="277">
        <v>3.6363636363636398</v>
      </c>
      <c r="CE201" s="291" t="s">
        <v>8403</v>
      </c>
      <c r="CF201"/>
      <c r="CG201"/>
      <c r="CH201">
        <v>1</v>
      </c>
      <c r="CI201">
        <v>4</v>
      </c>
      <c r="CK201"/>
      <c r="CL201">
        <v>1</v>
      </c>
      <c r="CM201" s="259">
        <v>42161</v>
      </c>
      <c r="CN201" s="137" t="s">
        <v>8406</v>
      </c>
    </row>
    <row r="202" spans="1:92" s="227" customFormat="1">
      <c r="A202" s="258">
        <v>335</v>
      </c>
      <c r="B202" s="235">
        <v>335</v>
      </c>
      <c r="C202" s="235" t="s">
        <v>7806</v>
      </c>
      <c r="D202" s="235" t="s">
        <v>7600</v>
      </c>
      <c r="E202" s="235" t="s">
        <v>7806</v>
      </c>
      <c r="F202" s="235" t="s">
        <v>8508</v>
      </c>
      <c r="G202" s="235" t="str">
        <f t="shared" si="105"/>
        <v>Rapsodyn</v>
      </c>
      <c r="H202" s="235" t="s">
        <v>265</v>
      </c>
      <c r="I202" s="235">
        <v>1</v>
      </c>
      <c r="J202" s="235">
        <v>9177</v>
      </c>
      <c r="K202" s="235">
        <v>43</v>
      </c>
      <c r="L202" s="235">
        <f t="shared" si="112"/>
        <v>43</v>
      </c>
      <c r="M202" s="235">
        <v>5</v>
      </c>
      <c r="N202" s="235">
        <v>7</v>
      </c>
      <c r="O202" s="248">
        <v>42048</v>
      </c>
      <c r="P202">
        <v>5.6</v>
      </c>
      <c r="Q202" s="264">
        <v>42204</v>
      </c>
      <c r="R202"/>
      <c r="S202"/>
      <c r="T202"/>
      <c r="U202" s="153"/>
      <c r="V202" s="219">
        <f t="shared" si="106"/>
        <v>17.390569797663481</v>
      </c>
      <c r="W202" s="219"/>
      <c r="X202">
        <v>15.55</v>
      </c>
      <c r="Y202"/>
      <c r="Z202"/>
      <c r="AA202"/>
      <c r="AB202" s="220">
        <f t="shared" si="107"/>
        <v>5.1771265407401108</v>
      </c>
      <c r="AC202" s="219"/>
      <c r="AD202" s="221">
        <f t="shared" si="108"/>
        <v>60409.972849135578</v>
      </c>
      <c r="AE202" s="219"/>
      <c r="AF202" s="220">
        <f t="shared" si="109"/>
        <v>33.46712495842111</v>
      </c>
      <c r="AG202" s="219"/>
      <c r="AH202" s="220">
        <f t="shared" si="110"/>
        <v>37.527612646805466</v>
      </c>
      <c r="AI202" s="219"/>
      <c r="AJ202">
        <v>5.54</v>
      </c>
      <c r="AK202" s="284" t="s">
        <v>8403</v>
      </c>
      <c r="AL202">
        <v>160</v>
      </c>
      <c r="AM202"/>
      <c r="AN202" s="241">
        <v>70</v>
      </c>
      <c r="AO202" s="242">
        <v>42074</v>
      </c>
      <c r="AP202" s="255">
        <v>104</v>
      </c>
      <c r="AQ202" s="242">
        <v>42108</v>
      </c>
      <c r="AR202" s="223">
        <v>125</v>
      </c>
      <c r="AS202" s="297">
        <f t="shared" si="111"/>
        <v>125</v>
      </c>
      <c r="AT202" s="290">
        <v>42129</v>
      </c>
      <c r="AU202" s="298"/>
      <c r="AV202"/>
      <c r="AW202"/>
      <c r="AX202"/>
      <c r="AY202"/>
      <c r="AZ202"/>
      <c r="BA202"/>
      <c r="BB202"/>
      <c r="BC202"/>
      <c r="BD202"/>
      <c r="BE202"/>
      <c r="BF202" s="277">
        <v>-4.5063438415527344</v>
      </c>
      <c r="BG202" s="283">
        <v>42230</v>
      </c>
      <c r="BH202"/>
      <c r="BI202"/>
      <c r="BJ202"/>
      <c r="BK202"/>
      <c r="BL202" s="277">
        <v>65.752647399902344</v>
      </c>
      <c r="BM202" s="283">
        <v>42230</v>
      </c>
      <c r="BN202"/>
      <c r="BO202"/>
      <c r="BP202" s="277">
        <v>3.7610371112823486</v>
      </c>
      <c r="BQ202" s="283">
        <v>42230</v>
      </c>
      <c r="BR202" s="277">
        <v>51.963142395019531</v>
      </c>
      <c r="BS202" s="283">
        <v>42230</v>
      </c>
      <c r="BT202" s="277">
        <v>15.469289779663086</v>
      </c>
      <c r="BU202" s="283">
        <v>42230</v>
      </c>
      <c r="BV202" s="277">
        <v>20.712009429931641</v>
      </c>
      <c r="BW202" s="283">
        <v>42230</v>
      </c>
      <c r="BX202" s="277">
        <v>5.0572891235351562</v>
      </c>
      <c r="BY202" s="283">
        <v>42230</v>
      </c>
      <c r="BZ202"/>
      <c r="CA202" s="136"/>
      <c r="CB202" s="266">
        <v>2.11</v>
      </c>
      <c r="CC202"/>
      <c r="CD202" s="277">
        <v>5.1724137931034457</v>
      </c>
      <c r="CE202" s="291" t="s">
        <v>8403</v>
      </c>
      <c r="CF202"/>
      <c r="CG202"/>
      <c r="CH202">
        <v>1</v>
      </c>
      <c r="CI202">
        <v>2</v>
      </c>
      <c r="CK202"/>
      <c r="CL202">
        <v>1</v>
      </c>
      <c r="CM202" s="259">
        <v>42161</v>
      </c>
      <c r="CN202" s="137" t="s">
        <v>8406</v>
      </c>
    </row>
    <row r="203" spans="1:92" s="227" customFormat="1">
      <c r="A203" s="258">
        <v>337</v>
      </c>
      <c r="B203" s="235">
        <v>337</v>
      </c>
      <c r="C203" s="235" t="s">
        <v>7713</v>
      </c>
      <c r="D203" s="235" t="s">
        <v>7537</v>
      </c>
      <c r="E203" s="235" t="s">
        <v>7713</v>
      </c>
      <c r="F203" s="235" t="s">
        <v>8546</v>
      </c>
      <c r="G203" s="235" t="str">
        <f t="shared" si="105"/>
        <v>Rapsodyn</v>
      </c>
      <c r="H203" s="235" t="s">
        <v>265</v>
      </c>
      <c r="I203" s="235">
        <v>1</v>
      </c>
      <c r="J203" s="235">
        <v>9095</v>
      </c>
      <c r="K203" s="235">
        <v>45</v>
      </c>
      <c r="L203" s="235">
        <f t="shared" si="112"/>
        <v>45</v>
      </c>
      <c r="M203" s="235">
        <v>5</v>
      </c>
      <c r="N203" s="235">
        <v>7</v>
      </c>
      <c r="O203" s="248">
        <v>42048</v>
      </c>
      <c r="P203">
        <v>2.95</v>
      </c>
      <c r="Q203" s="264">
        <v>42204</v>
      </c>
      <c r="R203"/>
      <c r="S203"/>
      <c r="T203"/>
      <c r="U203" s="153"/>
      <c r="V203" s="219">
        <f t="shared" si="106"/>
        <v>8.6765969777797185</v>
      </c>
      <c r="W203" s="219"/>
      <c r="X203">
        <v>15.55</v>
      </c>
      <c r="Y203"/>
      <c r="Z203"/>
      <c r="AA203"/>
      <c r="AB203" s="220">
        <f t="shared" si="107"/>
        <v>3.3071212694345946</v>
      </c>
      <c r="AC203" s="219"/>
      <c r="AD203" s="221">
        <f t="shared" si="108"/>
        <v>37840.127234380932</v>
      </c>
      <c r="AE203" s="219"/>
      <c r="AF203" s="220">
        <f t="shared" si="109"/>
        <v>17.595659163987136</v>
      </c>
      <c r="AG203" s="219"/>
      <c r="AH203" s="220">
        <f t="shared" si="110"/>
        <v>19.730499174688426</v>
      </c>
      <c r="AI203" s="219"/>
      <c r="AJ203">
        <v>4.6500000000000004</v>
      </c>
      <c r="AK203" s="284" t="s">
        <v>8400</v>
      </c>
      <c r="AL203">
        <v>155</v>
      </c>
      <c r="AM203"/>
      <c r="AN203" s="241">
        <v>70</v>
      </c>
      <c r="AO203" s="242">
        <v>42074</v>
      </c>
      <c r="AP203" s="255">
        <v>104</v>
      </c>
      <c r="AQ203" s="242">
        <v>42108</v>
      </c>
      <c r="AR203" s="223">
        <v>127</v>
      </c>
      <c r="AS203" s="297">
        <f t="shared" si="111"/>
        <v>127</v>
      </c>
      <c r="AT203" s="290">
        <v>42131</v>
      </c>
      <c r="AU203" s="298"/>
      <c r="AV203"/>
      <c r="AW203"/>
      <c r="AX203"/>
      <c r="AY203"/>
      <c r="AZ203"/>
      <c r="BA203"/>
      <c r="BB203"/>
      <c r="BC203"/>
      <c r="BD203"/>
      <c r="BE203"/>
      <c r="BF203" s="277">
        <v>9.4449996948242188E-2</v>
      </c>
      <c r="BG203" s="283">
        <v>42234</v>
      </c>
      <c r="BH203"/>
      <c r="BI203"/>
      <c r="BJ203"/>
      <c r="BK203"/>
      <c r="BL203" s="277">
        <v>63.620674133300781</v>
      </c>
      <c r="BM203" s="283">
        <v>42234</v>
      </c>
      <c r="BN203"/>
      <c r="BO203"/>
      <c r="BP203" s="277">
        <v>2.2974889278411865</v>
      </c>
      <c r="BQ203" s="283">
        <v>42234</v>
      </c>
      <c r="BR203" s="277">
        <v>49.311008453369141</v>
      </c>
      <c r="BS203" s="283">
        <v>42234</v>
      </c>
      <c r="BT203" s="277">
        <v>18.795097351074219</v>
      </c>
      <c r="BU203" s="283">
        <v>42234</v>
      </c>
      <c r="BV203" s="277">
        <v>22.569965362548828</v>
      </c>
      <c r="BW203" s="283">
        <v>42234</v>
      </c>
      <c r="BX203" s="277">
        <v>5.2849884033203125</v>
      </c>
      <c r="BY203" s="283">
        <v>42234</v>
      </c>
      <c r="BZ203"/>
      <c r="CA203" s="136"/>
      <c r="CB203" s="266">
        <v>2.09</v>
      </c>
      <c r="CC203"/>
      <c r="CD203" s="277">
        <v>5.3571428571428541</v>
      </c>
      <c r="CE203" s="291" t="s">
        <v>8400</v>
      </c>
      <c r="CF203"/>
      <c r="CG203"/>
      <c r="CH203">
        <v>1</v>
      </c>
      <c r="CI203">
        <v>3</v>
      </c>
      <c r="CK203"/>
      <c r="CL203">
        <v>3</v>
      </c>
      <c r="CM203" s="259">
        <v>42161</v>
      </c>
      <c r="CN203" s="137" t="s">
        <v>8406</v>
      </c>
    </row>
    <row r="204" spans="1:92" s="227" customFormat="1">
      <c r="A204" s="258">
        <v>338</v>
      </c>
      <c r="B204" s="235">
        <v>338</v>
      </c>
      <c r="C204" s="235" t="s">
        <v>7634</v>
      </c>
      <c r="D204" s="235" t="s">
        <v>7467</v>
      </c>
      <c r="E204" s="235" t="s">
        <v>7634</v>
      </c>
      <c r="F204" s="235" t="s">
        <v>8580</v>
      </c>
      <c r="G204" s="235" t="str">
        <f t="shared" si="105"/>
        <v>Rapsodyn</v>
      </c>
      <c r="H204" s="235" t="s">
        <v>265</v>
      </c>
      <c r="I204" s="235">
        <v>1</v>
      </c>
      <c r="J204" s="235">
        <v>9022</v>
      </c>
      <c r="K204" s="235">
        <v>46</v>
      </c>
      <c r="L204" s="235">
        <f t="shared" si="112"/>
        <v>46</v>
      </c>
      <c r="M204" s="235">
        <v>5</v>
      </c>
      <c r="N204" s="235">
        <v>7</v>
      </c>
      <c r="O204" s="248">
        <v>42048</v>
      </c>
      <c r="P204">
        <v>4.45</v>
      </c>
      <c r="Q204" s="264">
        <v>42204</v>
      </c>
      <c r="R204"/>
      <c r="S204"/>
      <c r="T204"/>
      <c r="U204" s="153"/>
      <c r="V204" s="219">
        <f t="shared" si="106"/>
        <v>14.319132956717997</v>
      </c>
      <c r="W204" s="219"/>
      <c r="X204">
        <v>15.55</v>
      </c>
      <c r="Y204"/>
      <c r="Z204"/>
      <c r="AA204"/>
      <c r="AB204" s="220">
        <f t="shared" si="107"/>
        <v>4.5040620621070984</v>
      </c>
      <c r="AC204" s="219"/>
      <c r="AD204" s="221">
        <f t="shared" si="108"/>
        <v>51736.229459800685</v>
      </c>
      <c r="AE204" s="219"/>
      <c r="AF204" s="220">
        <f t="shared" si="109"/>
        <v>27.006311778015956</v>
      </c>
      <c r="AG204" s="219"/>
      <c r="AH204" s="220">
        <f t="shared" si="110"/>
        <v>30.282924173599408</v>
      </c>
      <c r="AI204" s="219"/>
      <c r="AJ204">
        <v>5.22</v>
      </c>
      <c r="AK204" s="284" t="s">
        <v>8398</v>
      </c>
      <c r="AL204">
        <v>160</v>
      </c>
      <c r="AM204"/>
      <c r="AN204" s="241">
        <v>70</v>
      </c>
      <c r="AO204" s="242">
        <v>42074</v>
      </c>
      <c r="AP204" s="255">
        <v>104</v>
      </c>
      <c r="AQ204" s="242">
        <v>42108</v>
      </c>
      <c r="AR204" s="223">
        <v>125</v>
      </c>
      <c r="AS204" s="297">
        <f t="shared" si="111"/>
        <v>125</v>
      </c>
      <c r="AT204" s="290">
        <v>42129</v>
      </c>
      <c r="AU204" s="298"/>
      <c r="AV204"/>
      <c r="AW204"/>
      <c r="AX204"/>
      <c r="AY204"/>
      <c r="AZ204"/>
      <c r="BA204"/>
      <c r="BB204"/>
      <c r="BC204"/>
      <c r="BD204"/>
      <c r="BE204"/>
      <c r="BF204" s="277">
        <v>39.689762115478516</v>
      </c>
      <c r="BG204" s="283">
        <v>42233</v>
      </c>
      <c r="BH204"/>
      <c r="BI204"/>
      <c r="BJ204"/>
      <c r="BK204"/>
      <c r="BL204" s="277">
        <v>66.065742492675781</v>
      </c>
      <c r="BM204" s="283">
        <v>42233</v>
      </c>
      <c r="BN204"/>
      <c r="BO204"/>
      <c r="BP204" s="277">
        <v>2.4760708808898926</v>
      </c>
      <c r="BQ204" s="283">
        <v>42233</v>
      </c>
      <c r="BR204" s="277">
        <v>53.021430969238281</v>
      </c>
      <c r="BS204" s="283">
        <v>42233</v>
      </c>
      <c r="BT204" s="277">
        <v>16.677812576293945</v>
      </c>
      <c r="BU204" s="283">
        <v>42233</v>
      </c>
      <c r="BV204" s="277">
        <v>17.336387634277344</v>
      </c>
      <c r="BW204" s="283">
        <v>42233</v>
      </c>
      <c r="BX204" s="277">
        <v>4.8585052490234375</v>
      </c>
      <c r="BY204" s="283">
        <v>42233</v>
      </c>
      <c r="BZ204"/>
      <c r="CA204" s="136"/>
      <c r="CB204" s="266">
        <v>2.68</v>
      </c>
      <c r="CC204"/>
      <c r="CD204" s="277">
        <v>3.7037037037037068</v>
      </c>
      <c r="CE204" s="291" t="s">
        <v>8398</v>
      </c>
      <c r="CF204"/>
      <c r="CG204"/>
      <c r="CH204">
        <v>1</v>
      </c>
      <c r="CI204">
        <v>3</v>
      </c>
      <c r="CK204"/>
      <c r="CL204">
        <v>3</v>
      </c>
      <c r="CM204" s="259">
        <v>42161</v>
      </c>
      <c r="CN204" s="137" t="s">
        <v>8406</v>
      </c>
    </row>
    <row r="205" spans="1:92" s="227" customFormat="1">
      <c r="A205" s="258">
        <v>341</v>
      </c>
      <c r="B205" s="235">
        <v>341</v>
      </c>
      <c r="C205" s="235" t="s">
        <v>7576</v>
      </c>
      <c r="D205" s="235"/>
      <c r="E205" s="235"/>
      <c r="F205" s="235"/>
      <c r="G205" s="235"/>
      <c r="H205" s="235" t="s">
        <v>265</v>
      </c>
      <c r="I205" s="235">
        <v>1</v>
      </c>
      <c r="J205" s="235"/>
      <c r="K205" s="235">
        <v>49</v>
      </c>
      <c r="L205" s="235">
        <f t="shared" si="112"/>
        <v>49</v>
      </c>
      <c r="M205" s="235">
        <v>5</v>
      </c>
      <c r="N205" s="235"/>
      <c r="O205" s="248">
        <v>42048</v>
      </c>
      <c r="P205"/>
      <c r="Q205" s="219"/>
      <c r="R205"/>
      <c r="S205"/>
      <c r="T205"/>
      <c r="U205" s="153"/>
      <c r="V205" s="219"/>
      <c r="W205" s="219"/>
      <c r="X205">
        <v>15.55</v>
      </c>
      <c r="Y205"/>
      <c r="Z205"/>
      <c r="AA205"/>
      <c r="AB205" s="220"/>
      <c r="AC205" s="219"/>
      <c r="AD205" s="221"/>
      <c r="AE205" s="219"/>
      <c r="AF205" s="220"/>
      <c r="AG205" s="219"/>
      <c r="AH205" s="220"/>
      <c r="AI205" s="219"/>
      <c r="AJ205" s="286"/>
      <c r="AK205" s="284"/>
      <c r="AL205"/>
      <c r="AM205"/>
      <c r="AN205" s="241">
        <v>70</v>
      </c>
      <c r="AO205" s="242">
        <v>42074</v>
      </c>
      <c r="AP205" s="255">
        <v>104</v>
      </c>
      <c r="AQ205" s="242">
        <v>42108</v>
      </c>
      <c r="AR205"/>
      <c r="AS205" s="297"/>
      <c r="AT205" s="290"/>
      <c r="AU205" s="298"/>
      <c r="AV205"/>
      <c r="AW205"/>
      <c r="AX205"/>
      <c r="AY205"/>
      <c r="AZ205"/>
      <c r="BA205"/>
      <c r="BB205"/>
      <c r="BC205"/>
      <c r="BD205"/>
      <c r="BE205"/>
      <c r="BF205" s="277"/>
      <c r="BG205" s="235"/>
      <c r="BH205"/>
      <c r="BI205"/>
      <c r="BJ205"/>
      <c r="BK205"/>
      <c r="BL205" s="277"/>
      <c r="BM205" s="235"/>
      <c r="BN205"/>
      <c r="BO205"/>
      <c r="BP205" s="277"/>
      <c r="BQ205" s="235"/>
      <c r="BR205" s="277"/>
      <c r="BS205" s="235"/>
      <c r="BT205" s="277"/>
      <c r="BU205" s="235"/>
      <c r="BV205" s="277"/>
      <c r="BW205" s="235"/>
      <c r="BX205" s="277"/>
      <c r="BY205" s="235"/>
      <c r="BZ205"/>
      <c r="CA205" s="136"/>
      <c r="CB205" s="266"/>
      <c r="CC205"/>
      <c r="CD205" s="277"/>
      <c r="CE205" s="291"/>
      <c r="CF205"/>
      <c r="CG205"/>
      <c r="CH205"/>
      <c r="CI205"/>
      <c r="CK205"/>
      <c r="CL205">
        <v>1</v>
      </c>
      <c r="CM205" s="259">
        <v>42161</v>
      </c>
    </row>
    <row r="206" spans="1:92" s="227" customFormat="1">
      <c r="A206" s="258">
        <v>342</v>
      </c>
      <c r="B206" s="235">
        <v>342</v>
      </c>
      <c r="C206" s="235" t="s">
        <v>7576</v>
      </c>
      <c r="D206" s="235"/>
      <c r="E206" s="235"/>
      <c r="F206" s="235"/>
      <c r="G206" s="235"/>
      <c r="H206" s="235" t="s">
        <v>265</v>
      </c>
      <c r="I206" s="235">
        <v>1</v>
      </c>
      <c r="J206" s="235"/>
      <c r="K206" s="235">
        <v>50</v>
      </c>
      <c r="L206" s="235">
        <f t="shared" si="112"/>
        <v>50</v>
      </c>
      <c r="M206" s="235">
        <v>5</v>
      </c>
      <c r="N206" s="235"/>
      <c r="O206" s="248">
        <v>42048</v>
      </c>
      <c r="P206" s="223"/>
      <c r="Q206" s="224"/>
      <c r="R206" s="223"/>
      <c r="S206" s="223"/>
      <c r="T206" s="223"/>
      <c r="U206" s="225"/>
      <c r="V206" s="219"/>
      <c r="W206" s="224"/>
      <c r="X206">
        <v>15.55</v>
      </c>
      <c r="Y206" s="223"/>
      <c r="Z206" s="223"/>
      <c r="AA206" s="223"/>
      <c r="AB206" s="220"/>
      <c r="AC206" s="224"/>
      <c r="AD206" s="221"/>
      <c r="AE206" s="224"/>
      <c r="AF206" s="220"/>
      <c r="AG206" s="224"/>
      <c r="AH206" s="220"/>
      <c r="AI206" s="224"/>
      <c r="AJ206" s="286"/>
      <c r="AK206" s="290"/>
      <c r="AL206" s="223"/>
      <c r="AM206" s="223"/>
      <c r="AN206" s="241">
        <v>70</v>
      </c>
      <c r="AO206" s="242">
        <v>42074</v>
      </c>
      <c r="AP206" s="255">
        <v>104</v>
      </c>
      <c r="AQ206" s="242">
        <v>42108</v>
      </c>
      <c r="AR206" s="223"/>
      <c r="AS206" s="297"/>
      <c r="AT206" s="290"/>
      <c r="AU206" s="298"/>
      <c r="AV206" s="223"/>
      <c r="AW206" s="223"/>
      <c r="AX206" s="223"/>
      <c r="AY206" s="223"/>
      <c r="AZ206" s="223"/>
      <c r="BA206" s="223"/>
      <c r="BB206" s="223"/>
      <c r="BC206" s="223"/>
      <c r="BD206" s="223"/>
      <c r="BE206" s="223"/>
      <c r="BF206" s="281"/>
      <c r="BG206" s="235"/>
      <c r="BH206" s="223"/>
      <c r="BI206" s="223"/>
      <c r="BJ206" s="223"/>
      <c r="BK206" s="223"/>
      <c r="BL206" s="281"/>
      <c r="BM206" s="235"/>
      <c r="BN206" s="223"/>
      <c r="BO206" s="223"/>
      <c r="BP206" s="281"/>
      <c r="BQ206" s="235"/>
      <c r="BR206" s="281"/>
      <c r="BS206" s="235"/>
      <c r="BT206" s="281"/>
      <c r="BU206" s="235"/>
      <c r="BV206" s="281"/>
      <c r="BW206" s="235"/>
      <c r="BX206" s="281"/>
      <c r="BY206" s="235"/>
      <c r="BZ206" s="223"/>
      <c r="CA206" s="226"/>
      <c r="CB206" s="266"/>
      <c r="CC206" s="223"/>
      <c r="CD206" s="281"/>
      <c r="CE206" s="291"/>
      <c r="CF206" s="223"/>
      <c r="CG206" s="223"/>
      <c r="CH206" s="223"/>
      <c r="CI206" s="223"/>
      <c r="CK206" s="223"/>
      <c r="CL206" s="223">
        <v>1</v>
      </c>
      <c r="CM206" s="259">
        <v>42161</v>
      </c>
    </row>
    <row r="207" spans="1:92" s="227" customFormat="1">
      <c r="A207" s="258">
        <v>344</v>
      </c>
      <c r="B207" s="235">
        <v>344</v>
      </c>
      <c r="C207" s="235" t="s">
        <v>7706</v>
      </c>
      <c r="D207" s="235" t="s">
        <v>7532</v>
      </c>
      <c r="E207" s="235" t="s">
        <v>7706</v>
      </c>
      <c r="F207" s="235" t="s">
        <v>8612</v>
      </c>
      <c r="G207" s="235" t="str">
        <f t="shared" ref="G207:G218" si="113">IF(MID(C207,1,3)="BGA","Complement","Rapsodyn")</f>
        <v>Rapsodyn</v>
      </c>
      <c r="H207" s="235" t="s">
        <v>265</v>
      </c>
      <c r="I207" s="235">
        <v>1</v>
      </c>
      <c r="J207" s="235">
        <v>9088</v>
      </c>
      <c r="K207" s="235">
        <v>52</v>
      </c>
      <c r="L207" s="235">
        <f t="shared" si="112"/>
        <v>52</v>
      </c>
      <c r="M207" s="235">
        <v>5</v>
      </c>
      <c r="N207" s="235">
        <v>5</v>
      </c>
      <c r="O207" s="248">
        <v>42048</v>
      </c>
      <c r="P207">
        <v>4.75</v>
      </c>
      <c r="Q207" s="264">
        <v>42204</v>
      </c>
      <c r="R207"/>
      <c r="S207"/>
      <c r="T207"/>
      <c r="U207" s="153"/>
      <c r="V207" s="219">
        <f t="shared" ref="V207:V218" si="114">+BR207*AF207/100</f>
        <v>15.155040152515458</v>
      </c>
      <c r="W207" s="219"/>
      <c r="X207">
        <v>15.55</v>
      </c>
      <c r="Y207"/>
      <c r="Z207"/>
      <c r="AA207"/>
      <c r="AB207" s="220">
        <f t="shared" ref="AB207:AB218" si="115">+AF207*BT207/100</f>
        <v>4.5314072754187258</v>
      </c>
      <c r="AC207" s="219"/>
      <c r="AD207" s="221">
        <f t="shared" ref="AD207:AD218" si="116">+(AF207/AJ207)*10000</f>
        <v>59256.866979094972</v>
      </c>
      <c r="AE207" s="219"/>
      <c r="AF207" s="220">
        <f t="shared" ref="AF207:AF218" si="117">($P207/$X207)*(((100-$CD207)/100*(100-2)/100))*100</f>
        <v>29.391406021631106</v>
      </c>
      <c r="AG207" s="219"/>
      <c r="AH207" s="220">
        <f t="shared" ref="AH207:AH218" si="118">($P207/$X207)*(((100-$CD207)/(100-9)*(100-2)/(100-2))*100)</f>
        <v>32.957396301447751</v>
      </c>
      <c r="AI207" s="219"/>
      <c r="AJ207">
        <v>4.96</v>
      </c>
      <c r="AK207" s="284" t="s">
        <v>8401</v>
      </c>
      <c r="AL207">
        <v>180</v>
      </c>
      <c r="AM207"/>
      <c r="AN207" s="241">
        <v>63</v>
      </c>
      <c r="AO207" s="242">
        <v>42067</v>
      </c>
      <c r="AP207" s="255">
        <v>104</v>
      </c>
      <c r="AQ207" s="242">
        <v>42108</v>
      </c>
      <c r="AR207" s="223">
        <v>139</v>
      </c>
      <c r="AS207" s="297">
        <f t="shared" ref="AS207:AS218" si="119">IF(AR207=0,,AR207)</f>
        <v>139</v>
      </c>
      <c r="AT207" s="290">
        <v>42143</v>
      </c>
      <c r="AU207" s="298"/>
      <c r="AV207"/>
      <c r="AW207"/>
      <c r="AX207"/>
      <c r="AY207"/>
      <c r="AZ207"/>
      <c r="BA207"/>
      <c r="BB207"/>
      <c r="BC207"/>
      <c r="BD207"/>
      <c r="BE207"/>
      <c r="BF207" s="277">
        <v>-2.7518999576568604</v>
      </c>
      <c r="BG207" s="283">
        <v>42233</v>
      </c>
      <c r="BH207"/>
      <c r="BI207"/>
      <c r="BJ207"/>
      <c r="BK207"/>
      <c r="BL207" s="277">
        <v>65.227088928222656</v>
      </c>
      <c r="BM207" s="283">
        <v>42233</v>
      </c>
      <c r="BN207"/>
      <c r="BO207"/>
      <c r="BP207" s="277">
        <v>3.5363900661468506</v>
      </c>
      <c r="BQ207" s="283">
        <v>42233</v>
      </c>
      <c r="BR207" s="277">
        <v>51.562828063964844</v>
      </c>
      <c r="BS207" s="283">
        <v>42233</v>
      </c>
      <c r="BT207" s="277">
        <v>15.41745662689209</v>
      </c>
      <c r="BU207" s="283">
        <v>42233</v>
      </c>
      <c r="BV207" s="277">
        <v>13.495721817016602</v>
      </c>
      <c r="BW207" s="283">
        <v>42233</v>
      </c>
      <c r="BX207" s="277">
        <v>5.133514404296875</v>
      </c>
      <c r="BY207" s="283">
        <v>42233</v>
      </c>
      <c r="BZ207"/>
      <c r="CA207" s="136"/>
      <c r="CB207" s="266">
        <v>1.91</v>
      </c>
      <c r="CC207"/>
      <c r="CD207" s="277">
        <v>1.8181818181818119</v>
      </c>
      <c r="CE207" s="291" t="s">
        <v>8401</v>
      </c>
      <c r="CF207"/>
      <c r="CG207"/>
      <c r="CH207">
        <v>2</v>
      </c>
      <c r="CI207">
        <v>3</v>
      </c>
      <c r="CK207"/>
      <c r="CL207">
        <v>2</v>
      </c>
      <c r="CM207" s="259">
        <v>42161</v>
      </c>
      <c r="CN207" s="137" t="s">
        <v>8406</v>
      </c>
    </row>
    <row r="208" spans="1:92" s="227" customFormat="1">
      <c r="A208" s="258">
        <v>345</v>
      </c>
      <c r="B208" s="235">
        <v>345</v>
      </c>
      <c r="C208" s="236" t="s">
        <v>7794</v>
      </c>
      <c r="D208" s="236" t="s">
        <v>7592</v>
      </c>
      <c r="E208" s="236" t="s">
        <v>7794</v>
      </c>
      <c r="F208" s="236" t="s">
        <v>8603</v>
      </c>
      <c r="G208" s="235" t="str">
        <f t="shared" si="113"/>
        <v>Rapsodyn</v>
      </c>
      <c r="H208" s="235" t="s">
        <v>265</v>
      </c>
      <c r="I208" s="235">
        <v>1</v>
      </c>
      <c r="J208" s="236">
        <v>9165</v>
      </c>
      <c r="K208" s="236">
        <v>53</v>
      </c>
      <c r="L208" s="235">
        <f t="shared" si="112"/>
        <v>53</v>
      </c>
      <c r="M208" s="236">
        <v>5</v>
      </c>
      <c r="N208" s="235">
        <v>7</v>
      </c>
      <c r="O208" s="248">
        <v>42048</v>
      </c>
      <c r="P208" s="223">
        <v>5.25</v>
      </c>
      <c r="Q208" s="264">
        <v>42204</v>
      </c>
      <c r="R208" s="223"/>
      <c r="S208" s="223"/>
      <c r="T208" s="223"/>
      <c r="U208" s="225"/>
      <c r="V208" s="219">
        <f t="shared" si="114"/>
        <v>16.321799431347237</v>
      </c>
      <c r="W208" s="224"/>
      <c r="X208">
        <v>15.55</v>
      </c>
      <c r="Y208" s="223"/>
      <c r="Z208" s="223"/>
      <c r="AA208" s="223"/>
      <c r="AB208" s="220">
        <f t="shared" si="115"/>
        <v>5.4005710741921042</v>
      </c>
      <c r="AC208" s="224"/>
      <c r="AD208" s="221">
        <f t="shared" si="116"/>
        <v>74332.352444862569</v>
      </c>
      <c r="AE208" s="224"/>
      <c r="AF208" s="220">
        <f t="shared" si="117"/>
        <v>31.814246846401183</v>
      </c>
      <c r="AG208" s="224"/>
      <c r="AH208" s="220">
        <f t="shared" si="118"/>
        <v>35.674194714511309</v>
      </c>
      <c r="AI208" s="224"/>
      <c r="AJ208">
        <v>4.28</v>
      </c>
      <c r="AK208" s="290" t="s">
        <v>8399</v>
      </c>
      <c r="AL208" s="223">
        <v>175</v>
      </c>
      <c r="AM208" s="223"/>
      <c r="AN208" s="241">
        <v>63</v>
      </c>
      <c r="AO208" s="243">
        <v>42067</v>
      </c>
      <c r="AP208" s="255">
        <v>104</v>
      </c>
      <c r="AQ208" s="242">
        <v>42108</v>
      </c>
      <c r="AR208" s="223">
        <v>139</v>
      </c>
      <c r="AS208" s="297">
        <f t="shared" si="119"/>
        <v>139</v>
      </c>
      <c r="AT208" s="290">
        <v>42143</v>
      </c>
      <c r="AU208" s="298"/>
      <c r="AV208" s="223"/>
      <c r="AW208" s="223"/>
      <c r="AX208" s="223"/>
      <c r="AY208" s="223"/>
      <c r="AZ208" s="223"/>
      <c r="BA208" s="223"/>
      <c r="BB208" s="223"/>
      <c r="BC208" s="223"/>
      <c r="BD208" s="223"/>
      <c r="BE208" s="223"/>
      <c r="BF208" s="281">
        <v>-0.71943902969360352</v>
      </c>
      <c r="BG208" s="283">
        <v>42233</v>
      </c>
      <c r="BH208" s="223"/>
      <c r="BI208" s="223"/>
      <c r="BJ208" s="223"/>
      <c r="BK208" s="223"/>
      <c r="BL208" s="281">
        <v>64.817863464355469</v>
      </c>
      <c r="BM208" s="283">
        <v>42233</v>
      </c>
      <c r="BN208" s="223"/>
      <c r="BO208" s="223"/>
      <c r="BP208" s="281">
        <v>3.3340210914611816</v>
      </c>
      <c r="BQ208" s="283">
        <v>42233</v>
      </c>
      <c r="BR208" s="281">
        <v>51.303428649902344</v>
      </c>
      <c r="BS208" s="283">
        <v>42233</v>
      </c>
      <c r="BT208" s="281">
        <v>16.975322723388672</v>
      </c>
      <c r="BU208" s="283">
        <v>42233</v>
      </c>
      <c r="BV208" s="281">
        <v>13.438390731811523</v>
      </c>
      <c r="BW208" s="283">
        <v>42233</v>
      </c>
      <c r="BX208" s="281">
        <v>5.1734695434570313</v>
      </c>
      <c r="BY208" s="283">
        <v>42233</v>
      </c>
      <c r="BZ208" s="223"/>
      <c r="CA208" s="226"/>
      <c r="CB208" s="266">
        <v>2.04</v>
      </c>
      <c r="CC208" s="223"/>
      <c r="CD208" s="281">
        <v>3.8461538461538494</v>
      </c>
      <c r="CE208" s="291" t="s">
        <v>8399</v>
      </c>
      <c r="CF208" s="223"/>
      <c r="CG208" s="223"/>
      <c r="CH208" s="223">
        <v>2</v>
      </c>
      <c r="CI208" s="223">
        <v>3</v>
      </c>
      <c r="CK208" s="223"/>
      <c r="CL208" s="223">
        <v>1</v>
      </c>
      <c r="CM208" s="259">
        <v>42161</v>
      </c>
      <c r="CN208" s="137" t="s">
        <v>8406</v>
      </c>
    </row>
    <row r="209" spans="1:92" s="227" customFormat="1">
      <c r="A209" s="258">
        <v>348</v>
      </c>
      <c r="B209" s="235">
        <v>348</v>
      </c>
      <c r="C209" s="235" t="s">
        <v>7781</v>
      </c>
      <c r="D209" s="235" t="s">
        <v>7579</v>
      </c>
      <c r="E209" s="235" t="s">
        <v>7781</v>
      </c>
      <c r="F209" s="235" t="s">
        <v>8569</v>
      </c>
      <c r="G209" s="235" t="str">
        <f t="shared" si="113"/>
        <v>Rapsodyn</v>
      </c>
      <c r="H209" s="235" t="s">
        <v>265</v>
      </c>
      <c r="I209" s="235">
        <v>1</v>
      </c>
      <c r="J209" s="235">
        <v>9152</v>
      </c>
      <c r="K209" s="235">
        <v>56</v>
      </c>
      <c r="L209" s="235">
        <f t="shared" si="112"/>
        <v>56</v>
      </c>
      <c r="M209" s="235">
        <v>5</v>
      </c>
      <c r="N209" s="235">
        <v>7</v>
      </c>
      <c r="O209" s="248">
        <v>42048</v>
      </c>
      <c r="P209">
        <v>5.45</v>
      </c>
      <c r="Q209" s="264">
        <v>42204</v>
      </c>
      <c r="R209"/>
      <c r="S209"/>
      <c r="T209"/>
      <c r="U209" s="153"/>
      <c r="V209" s="219">
        <f t="shared" si="114"/>
        <v>16.70075089512914</v>
      </c>
      <c r="W209" s="219"/>
      <c r="X209">
        <v>15.55</v>
      </c>
      <c r="Y209"/>
      <c r="Z209"/>
      <c r="AA209"/>
      <c r="AB209" s="220">
        <f t="shared" si="115"/>
        <v>5.60008526010912</v>
      </c>
      <c r="AC209" s="219"/>
      <c r="AD209" s="221">
        <f t="shared" si="116"/>
        <v>62023.555764297846</v>
      </c>
      <c r="AE209" s="219"/>
      <c r="AF209" s="220">
        <f t="shared" si="117"/>
        <v>33.120578778135048</v>
      </c>
      <c r="AG209" s="219"/>
      <c r="AH209" s="220">
        <f t="shared" si="118"/>
        <v>37.139020832176556</v>
      </c>
      <c r="AI209" s="219"/>
      <c r="AJ209">
        <v>5.34</v>
      </c>
      <c r="AK209" s="284" t="s">
        <v>8399</v>
      </c>
      <c r="AL209">
        <v>165</v>
      </c>
      <c r="AM209"/>
      <c r="AN209" s="241">
        <v>63</v>
      </c>
      <c r="AO209" s="242">
        <v>42067</v>
      </c>
      <c r="AP209" s="255">
        <v>104</v>
      </c>
      <c r="AQ209" s="242">
        <v>42108</v>
      </c>
      <c r="AR209" s="223">
        <v>127</v>
      </c>
      <c r="AS209" s="297">
        <f t="shared" si="119"/>
        <v>127</v>
      </c>
      <c r="AT209" s="290">
        <v>42131</v>
      </c>
      <c r="AU209" s="298"/>
      <c r="AV209"/>
      <c r="AW209"/>
      <c r="AX209"/>
      <c r="AY209"/>
      <c r="AZ209"/>
      <c r="BA209"/>
      <c r="BB209"/>
      <c r="BC209"/>
      <c r="BD209"/>
      <c r="BE209"/>
      <c r="BF209" s="277">
        <v>-5.6424331665039062</v>
      </c>
      <c r="BG209" s="283">
        <v>42234</v>
      </c>
      <c r="BH209"/>
      <c r="BI209"/>
      <c r="BJ209"/>
      <c r="BK209"/>
      <c r="BL209" s="277">
        <v>63.274257659912109</v>
      </c>
      <c r="BM209" s="283">
        <v>42234</v>
      </c>
      <c r="BN209"/>
      <c r="BO209"/>
      <c r="BP209" s="277">
        <v>3.2987580299377441</v>
      </c>
      <c r="BQ209" s="283">
        <v>42234</v>
      </c>
      <c r="BR209" s="277">
        <v>50.424091339111328</v>
      </c>
      <c r="BS209" s="283">
        <v>42234</v>
      </c>
      <c r="BT209" s="277">
        <v>16.908174514770508</v>
      </c>
      <c r="BU209" s="283">
        <v>42234</v>
      </c>
      <c r="BV209" s="277">
        <v>9.6514110565185547</v>
      </c>
      <c r="BW209" s="283">
        <v>42234</v>
      </c>
      <c r="BX209" s="277">
        <v>5.3910751342773437</v>
      </c>
      <c r="BY209" s="283">
        <v>42234</v>
      </c>
      <c r="BZ209"/>
      <c r="CA209" s="136"/>
      <c r="CB209" s="266">
        <v>1.89</v>
      </c>
      <c r="CC209"/>
      <c r="CD209" s="277">
        <v>3.5714285714285587</v>
      </c>
      <c r="CE209" s="291" t="s">
        <v>8399</v>
      </c>
      <c r="CF209"/>
      <c r="CG209"/>
      <c r="CH209">
        <v>2</v>
      </c>
      <c r="CI209">
        <v>2</v>
      </c>
      <c r="CK209"/>
      <c r="CL209">
        <v>1</v>
      </c>
      <c r="CM209" s="259">
        <v>42161</v>
      </c>
      <c r="CN209" s="137" t="s">
        <v>8406</v>
      </c>
    </row>
    <row r="210" spans="1:92" s="227" customFormat="1">
      <c r="A210" s="258">
        <v>350</v>
      </c>
      <c r="B210" s="235">
        <v>350</v>
      </c>
      <c r="C210" s="235" t="s">
        <v>7764</v>
      </c>
      <c r="D210" s="235" t="s">
        <v>7841</v>
      </c>
      <c r="E210" s="235" t="s">
        <v>7764</v>
      </c>
      <c r="F210" s="235" t="s">
        <v>8596</v>
      </c>
      <c r="G210" s="235" t="str">
        <f t="shared" si="113"/>
        <v>Rapsodyn</v>
      </c>
      <c r="H210" s="235" t="s">
        <v>265</v>
      </c>
      <c r="I210" s="235">
        <v>1</v>
      </c>
      <c r="J210" s="235">
        <v>9135</v>
      </c>
      <c r="K210" s="235">
        <v>58</v>
      </c>
      <c r="L210" s="235">
        <f t="shared" si="112"/>
        <v>58</v>
      </c>
      <c r="M210" s="235">
        <v>5</v>
      </c>
      <c r="N210" s="235">
        <v>7</v>
      </c>
      <c r="O210" s="248">
        <v>42048</v>
      </c>
      <c r="P210">
        <v>4.5999999999999996</v>
      </c>
      <c r="Q210" s="264">
        <v>42204</v>
      </c>
      <c r="R210"/>
      <c r="S210"/>
      <c r="T210"/>
      <c r="U210" s="153"/>
      <c r="V210" s="219">
        <f t="shared" si="114"/>
        <v>14.004948976964428</v>
      </c>
      <c r="W210" s="219"/>
      <c r="X210">
        <v>15.55</v>
      </c>
      <c r="Y210"/>
      <c r="Z210"/>
      <c r="AA210"/>
      <c r="AB210" s="220">
        <f t="shared" si="115"/>
        <v>4.7026928400141692</v>
      </c>
      <c r="AC210" s="219"/>
      <c r="AD210" s="221">
        <f t="shared" si="116"/>
        <v>57825.024636860682</v>
      </c>
      <c r="AE210" s="219"/>
      <c r="AF210" s="220">
        <f t="shared" si="117"/>
        <v>27.409061677871964</v>
      </c>
      <c r="AG210" s="219"/>
      <c r="AH210" s="220">
        <f t="shared" si="118"/>
        <v>30.734538773123983</v>
      </c>
      <c r="AI210" s="219"/>
      <c r="AJ210">
        <v>4.74</v>
      </c>
      <c r="AK210" s="284" t="s">
        <v>8401</v>
      </c>
      <c r="AL210">
        <v>145</v>
      </c>
      <c r="AM210"/>
      <c r="AN210" s="241">
        <v>70</v>
      </c>
      <c r="AO210" s="242">
        <v>42074</v>
      </c>
      <c r="AP210" s="255">
        <v>104</v>
      </c>
      <c r="AQ210" s="242">
        <v>42108</v>
      </c>
      <c r="AR210" s="223">
        <v>127</v>
      </c>
      <c r="AS210" s="297">
        <f t="shared" si="119"/>
        <v>127</v>
      </c>
      <c r="AT210" s="290">
        <v>42131</v>
      </c>
      <c r="AU210" s="298"/>
      <c r="AV210"/>
      <c r="AW210"/>
      <c r="AX210"/>
      <c r="AY210"/>
      <c r="AZ210"/>
      <c r="BA210"/>
      <c r="BB210"/>
      <c r="BC210"/>
      <c r="BD210"/>
      <c r="BE210"/>
      <c r="BF210" s="277">
        <v>-4.1300787925720215</v>
      </c>
      <c r="BG210" s="283">
        <v>42233</v>
      </c>
      <c r="BH210"/>
      <c r="BI210"/>
      <c r="BJ210"/>
      <c r="BK210"/>
      <c r="BL210" s="277">
        <v>63.101383209228516</v>
      </c>
      <c r="BM210" s="283">
        <v>42233</v>
      </c>
      <c r="BN210"/>
      <c r="BO210"/>
      <c r="BP210" s="277">
        <v>3.6126151084899902</v>
      </c>
      <c r="BQ210" s="283">
        <v>42233</v>
      </c>
      <c r="BR210" s="277">
        <v>51.096054077148438</v>
      </c>
      <c r="BS210" s="283">
        <v>42233</v>
      </c>
      <c r="BT210" s="277">
        <v>17.157438278198242</v>
      </c>
      <c r="BU210" s="283">
        <v>42233</v>
      </c>
      <c r="BV210" s="277">
        <v>12.757552146911621</v>
      </c>
      <c r="BW210" s="283">
        <v>42233</v>
      </c>
      <c r="BX210" s="277">
        <v>5.1880874633789062</v>
      </c>
      <c r="BY210" s="283">
        <v>42233</v>
      </c>
      <c r="BZ210"/>
      <c r="CA210" s="136"/>
      <c r="CB210" s="266">
        <v>1.53</v>
      </c>
      <c r="CC210"/>
      <c r="CD210" s="277">
        <v>5.4545454545454515</v>
      </c>
      <c r="CE210" s="291" t="s">
        <v>8401</v>
      </c>
      <c r="CF210"/>
      <c r="CG210"/>
      <c r="CH210">
        <v>2</v>
      </c>
      <c r="CI210">
        <v>2</v>
      </c>
      <c r="CK210"/>
      <c r="CL210">
        <v>1</v>
      </c>
      <c r="CM210" s="259">
        <v>42161</v>
      </c>
      <c r="CN210" s="137" t="s">
        <v>8406</v>
      </c>
    </row>
    <row r="211" spans="1:92" s="227" customFormat="1">
      <c r="A211" s="258">
        <v>351</v>
      </c>
      <c r="B211" s="235">
        <v>351</v>
      </c>
      <c r="C211" s="235" t="s">
        <v>7683</v>
      </c>
      <c r="D211" s="235" t="s">
        <v>7510</v>
      </c>
      <c r="E211" s="235" t="s">
        <v>7683</v>
      </c>
      <c r="F211" s="235" t="s">
        <v>8482</v>
      </c>
      <c r="G211" s="235" t="str">
        <f t="shared" si="113"/>
        <v>Rapsodyn</v>
      </c>
      <c r="H211" s="235" t="s">
        <v>265</v>
      </c>
      <c r="I211" s="235">
        <v>1</v>
      </c>
      <c r="J211" s="235">
        <v>9065</v>
      </c>
      <c r="K211" s="235">
        <v>59</v>
      </c>
      <c r="L211" s="235">
        <f t="shared" si="112"/>
        <v>59</v>
      </c>
      <c r="M211" s="235">
        <v>5</v>
      </c>
      <c r="N211" s="235">
        <v>7</v>
      </c>
      <c r="O211" s="248">
        <v>42048</v>
      </c>
      <c r="P211">
        <v>4.6500000000000004</v>
      </c>
      <c r="Q211" s="264">
        <v>42204</v>
      </c>
      <c r="R211"/>
      <c r="S211"/>
      <c r="T211"/>
      <c r="U211" s="153"/>
      <c r="V211" s="219">
        <f t="shared" si="114"/>
        <v>14.79549002836128</v>
      </c>
      <c r="W211" s="219"/>
      <c r="X211">
        <v>15.55</v>
      </c>
      <c r="Y211"/>
      <c r="Z211"/>
      <c r="AA211"/>
      <c r="AB211" s="220">
        <f t="shared" si="115"/>
        <v>4.6899916185581425</v>
      </c>
      <c r="AC211" s="219"/>
      <c r="AD211" s="221">
        <f t="shared" si="116"/>
        <v>60958.982159047569</v>
      </c>
      <c r="AE211" s="219"/>
      <c r="AF211" s="220">
        <f t="shared" si="117"/>
        <v>28.772639579070454</v>
      </c>
      <c r="AG211" s="219"/>
      <c r="AH211" s="220">
        <f t="shared" si="118"/>
        <v>32.263556379312007</v>
      </c>
      <c r="AI211" s="219"/>
      <c r="AJ211">
        <v>4.72</v>
      </c>
      <c r="AK211" s="284" t="s">
        <v>8398</v>
      </c>
      <c r="AL211">
        <v>150</v>
      </c>
      <c r="AM211"/>
      <c r="AN211" s="241">
        <v>70</v>
      </c>
      <c r="AO211" s="242">
        <v>42074</v>
      </c>
      <c r="AP211" s="255">
        <v>106</v>
      </c>
      <c r="AQ211" s="242">
        <v>42110</v>
      </c>
      <c r="AR211" s="223">
        <v>141</v>
      </c>
      <c r="AS211" s="297">
        <f t="shared" si="119"/>
        <v>141</v>
      </c>
      <c r="AT211" s="290">
        <v>42145</v>
      </c>
      <c r="AU211" s="298"/>
      <c r="AV211"/>
      <c r="AW211"/>
      <c r="AX211"/>
      <c r="AY211"/>
      <c r="AZ211"/>
      <c r="BA211"/>
      <c r="BB211"/>
      <c r="BC211"/>
      <c r="BD211"/>
      <c r="BE211"/>
      <c r="BF211" s="277">
        <v>-6.6713919639587402</v>
      </c>
      <c r="BG211" s="283">
        <v>42230</v>
      </c>
      <c r="BH211"/>
      <c r="BI211"/>
      <c r="BJ211"/>
      <c r="BK211"/>
      <c r="BL211" s="277">
        <v>62.19415283203125</v>
      </c>
      <c r="BM211" s="283">
        <v>42230</v>
      </c>
      <c r="BN211"/>
      <c r="BO211"/>
      <c r="BP211" s="277">
        <v>3.6547610759735107</v>
      </c>
      <c r="BQ211" s="283">
        <v>42230</v>
      </c>
      <c r="BR211" s="277">
        <v>51.422080993652344</v>
      </c>
      <c r="BS211" s="283">
        <v>42230</v>
      </c>
      <c r="BT211" s="277">
        <v>16.300178527832031</v>
      </c>
      <c r="BU211" s="283">
        <v>42230</v>
      </c>
      <c r="BV211" s="277">
        <v>13.463516235351563</v>
      </c>
      <c r="BW211" s="283">
        <v>42230</v>
      </c>
      <c r="BX211" s="277">
        <v>5.2945404052734375</v>
      </c>
      <c r="BY211" s="283">
        <v>42230</v>
      </c>
      <c r="BZ211"/>
      <c r="CA211" s="136"/>
      <c r="CB211" s="266">
        <v>1.71</v>
      </c>
      <c r="CC211"/>
      <c r="CD211" s="277">
        <v>1.8181818181818119</v>
      </c>
      <c r="CE211" s="291" t="s">
        <v>8398</v>
      </c>
      <c r="CF211"/>
      <c r="CG211"/>
      <c r="CH211">
        <v>3</v>
      </c>
      <c r="CI211">
        <v>2</v>
      </c>
      <c r="CK211"/>
      <c r="CL211">
        <v>1</v>
      </c>
      <c r="CM211" s="259">
        <v>42161</v>
      </c>
      <c r="CN211" s="137" t="s">
        <v>8406</v>
      </c>
    </row>
    <row r="212" spans="1:92" s="227" customFormat="1">
      <c r="A212" s="258">
        <v>352</v>
      </c>
      <c r="B212" s="235">
        <v>352</v>
      </c>
      <c r="C212" s="235" t="s">
        <v>7621</v>
      </c>
      <c r="D212" s="235" t="s">
        <v>7456</v>
      </c>
      <c r="E212" s="235" t="s">
        <v>7621</v>
      </c>
      <c r="F212" s="235" t="s">
        <v>8478</v>
      </c>
      <c r="G212" s="235" t="str">
        <f t="shared" si="113"/>
        <v>Rapsodyn</v>
      </c>
      <c r="H212" s="235" t="s">
        <v>265</v>
      </c>
      <c r="I212" s="235">
        <v>1</v>
      </c>
      <c r="J212" s="235">
        <v>9014</v>
      </c>
      <c r="K212" s="235">
        <v>60</v>
      </c>
      <c r="L212" s="235">
        <f t="shared" si="112"/>
        <v>60</v>
      </c>
      <c r="M212" s="235">
        <v>5</v>
      </c>
      <c r="N212" s="235">
        <v>9</v>
      </c>
      <c r="O212" s="248">
        <v>42048</v>
      </c>
      <c r="P212">
        <v>2.75</v>
      </c>
      <c r="Q212" s="264">
        <v>42204</v>
      </c>
      <c r="R212"/>
      <c r="S212"/>
      <c r="T212"/>
      <c r="U212" s="153"/>
      <c r="V212" s="219">
        <f t="shared" si="114"/>
        <v>8.395000441146836</v>
      </c>
      <c r="W212" s="219"/>
      <c r="X212">
        <v>15.55</v>
      </c>
      <c r="Y212"/>
      <c r="Z212"/>
      <c r="AA212"/>
      <c r="AB212" s="220">
        <f t="shared" si="115"/>
        <v>3.0966769631840618</v>
      </c>
      <c r="AC212" s="219"/>
      <c r="AD212" s="221">
        <f t="shared" si="116"/>
        <v>38604.589240092471</v>
      </c>
      <c r="AE212" s="219"/>
      <c r="AF212" s="220">
        <f t="shared" si="117"/>
        <v>16.677182551719948</v>
      </c>
      <c r="AG212" s="219"/>
      <c r="AH212" s="220">
        <f t="shared" si="118"/>
        <v>18.700585951693149</v>
      </c>
      <c r="AI212" s="219"/>
      <c r="AJ212">
        <v>4.32</v>
      </c>
      <c r="AK212" s="284" t="s">
        <v>8398</v>
      </c>
      <c r="AL212">
        <v>140</v>
      </c>
      <c r="AM212"/>
      <c r="AN212" s="241">
        <v>72</v>
      </c>
      <c r="AO212" s="242">
        <v>42076</v>
      </c>
      <c r="AP212" s="255">
        <v>104</v>
      </c>
      <c r="AQ212" s="242">
        <v>42108</v>
      </c>
      <c r="AR212" s="223">
        <v>131</v>
      </c>
      <c r="AS212" s="297">
        <f t="shared" si="119"/>
        <v>131</v>
      </c>
      <c r="AT212" s="290">
        <v>42135</v>
      </c>
      <c r="AU212" s="298"/>
      <c r="AV212"/>
      <c r="AW212"/>
      <c r="AX212"/>
      <c r="AY212"/>
      <c r="AZ212"/>
      <c r="BA212"/>
      <c r="BB212"/>
      <c r="BC212"/>
      <c r="BD212"/>
      <c r="BE212"/>
      <c r="BF212" s="277">
        <v>31.014772415161133</v>
      </c>
      <c r="BG212" s="283">
        <v>42230</v>
      </c>
      <c r="BH212"/>
      <c r="BI212"/>
      <c r="BJ212"/>
      <c r="BK212"/>
      <c r="BL212" s="277">
        <v>61.357734680175781</v>
      </c>
      <c r="BM212" s="283">
        <v>42230</v>
      </c>
      <c r="BN212"/>
      <c r="BO212"/>
      <c r="BP212" s="277">
        <v>3.7289969921112061</v>
      </c>
      <c r="BQ212" s="283">
        <v>42230</v>
      </c>
      <c r="BR212" s="277">
        <v>50.338241577148438</v>
      </c>
      <c r="BS212" s="283">
        <v>42230</v>
      </c>
      <c r="BT212" s="277">
        <v>18.56834602355957</v>
      </c>
      <c r="BU212" s="283">
        <v>42230</v>
      </c>
      <c r="BV212" s="277">
        <v>60.312110900878906</v>
      </c>
      <c r="BW212" s="283">
        <v>42230</v>
      </c>
      <c r="BX212" s="277">
        <v>5.269287109375</v>
      </c>
      <c r="BY212" s="283">
        <v>42230</v>
      </c>
      <c r="BZ212"/>
      <c r="CA212" s="136"/>
      <c r="CB212" s="266">
        <v>1.48</v>
      </c>
      <c r="CC212"/>
      <c r="CD212" s="277">
        <v>3.7735849056603805</v>
      </c>
      <c r="CE212" s="291" t="s">
        <v>8398</v>
      </c>
      <c r="CF212"/>
      <c r="CG212"/>
      <c r="CH212">
        <v>4</v>
      </c>
      <c r="CI212">
        <v>4</v>
      </c>
      <c r="CK212"/>
      <c r="CL212">
        <v>2</v>
      </c>
      <c r="CM212" s="259">
        <v>42161</v>
      </c>
      <c r="CN212" s="137" t="s">
        <v>8406</v>
      </c>
    </row>
    <row r="213" spans="1:92" s="227" customFormat="1">
      <c r="A213" s="258">
        <v>354</v>
      </c>
      <c r="B213" s="235">
        <v>354</v>
      </c>
      <c r="C213" s="235" t="s">
        <v>7681</v>
      </c>
      <c r="D213" s="235" t="s">
        <v>7508</v>
      </c>
      <c r="E213" s="235" t="s">
        <v>7681</v>
      </c>
      <c r="F213" s="235" t="s">
        <v>8489</v>
      </c>
      <c r="G213" s="235" t="str">
        <f t="shared" si="113"/>
        <v>Rapsodyn</v>
      </c>
      <c r="H213" s="235" t="s">
        <v>265</v>
      </c>
      <c r="I213" s="235">
        <v>1</v>
      </c>
      <c r="J213" s="235">
        <v>9063</v>
      </c>
      <c r="K213" s="235">
        <v>62</v>
      </c>
      <c r="L213" s="235">
        <f t="shared" si="112"/>
        <v>62</v>
      </c>
      <c r="M213" s="235">
        <v>5</v>
      </c>
      <c r="N213" s="235">
        <v>7</v>
      </c>
      <c r="O213" s="248">
        <v>42048</v>
      </c>
      <c r="P213">
        <v>4.6500000000000004</v>
      </c>
      <c r="Q213" s="264">
        <v>42204</v>
      </c>
      <c r="R213"/>
      <c r="S213"/>
      <c r="T213"/>
      <c r="U213" s="153"/>
      <c r="V213" s="219">
        <f t="shared" si="114"/>
        <v>14.257894202590583</v>
      </c>
      <c r="W213" s="219"/>
      <c r="X213">
        <v>15.55</v>
      </c>
      <c r="Y213"/>
      <c r="Z213"/>
      <c r="AA213"/>
      <c r="AB213" s="220">
        <f t="shared" si="115"/>
        <v>4.9497036279356648</v>
      </c>
      <c r="AC213" s="219"/>
      <c r="AD213" s="221">
        <f t="shared" si="116"/>
        <v>56031.374841664234</v>
      </c>
      <c r="AE213" s="219"/>
      <c r="AF213" s="220">
        <f t="shared" si="117"/>
        <v>28.239812920198776</v>
      </c>
      <c r="AG213" s="219"/>
      <c r="AH213" s="220">
        <f t="shared" si="118"/>
        <v>31.666083113028446</v>
      </c>
      <c r="AI213" s="219"/>
      <c r="AJ213">
        <v>5.04</v>
      </c>
      <c r="AK213" s="284" t="s">
        <v>8398</v>
      </c>
      <c r="AL213">
        <v>160</v>
      </c>
      <c r="AM213"/>
      <c r="AN213" s="241">
        <v>70</v>
      </c>
      <c r="AO213" s="242">
        <v>42074</v>
      </c>
      <c r="AP213" s="255">
        <v>104</v>
      </c>
      <c r="AQ213" s="242">
        <v>42108</v>
      </c>
      <c r="AR213" s="223">
        <v>126</v>
      </c>
      <c r="AS213" s="297">
        <f t="shared" si="119"/>
        <v>126</v>
      </c>
      <c r="AT213" s="290">
        <v>42130</v>
      </c>
      <c r="AU213" s="298"/>
      <c r="AV213"/>
      <c r="AW213"/>
      <c r="AX213"/>
      <c r="AY213"/>
      <c r="AZ213"/>
      <c r="BA213"/>
      <c r="BB213"/>
      <c r="BC213"/>
      <c r="BD213"/>
      <c r="BE213"/>
      <c r="BF213" s="277">
        <v>-1.5569319725036621</v>
      </c>
      <c r="BG213" s="283">
        <v>42230</v>
      </c>
      <c r="BH213"/>
      <c r="BI213"/>
      <c r="BJ213"/>
      <c r="BK213"/>
      <c r="BL213" s="277">
        <v>62.217613220214844</v>
      </c>
      <c r="BM213" s="283">
        <v>42230</v>
      </c>
      <c r="BN213"/>
      <c r="BO213"/>
      <c r="BP213" s="277">
        <v>2.6466529369354248</v>
      </c>
      <c r="BQ213" s="283">
        <v>42230</v>
      </c>
      <c r="BR213" s="277">
        <v>50.488628387451172</v>
      </c>
      <c r="BS213" s="283">
        <v>42230</v>
      </c>
      <c r="BT213" s="277">
        <v>17.527395248413086</v>
      </c>
      <c r="BU213" s="283">
        <v>42230</v>
      </c>
      <c r="BV213" s="277">
        <v>15.329429626464844</v>
      </c>
      <c r="BW213" s="283">
        <v>42230</v>
      </c>
      <c r="BX213" s="277">
        <v>5.274993896484375</v>
      </c>
      <c r="BY213" s="283">
        <v>42230</v>
      </c>
      <c r="BZ213"/>
      <c r="CA213" s="136"/>
      <c r="CB213" s="266">
        <v>2.9</v>
      </c>
      <c r="CC213"/>
      <c r="CD213" s="277">
        <v>3.6363636363636398</v>
      </c>
      <c r="CE213" s="291" t="s">
        <v>8398</v>
      </c>
      <c r="CF213"/>
      <c r="CG213"/>
      <c r="CH213">
        <v>2</v>
      </c>
      <c r="CI213">
        <v>3</v>
      </c>
      <c r="CK213"/>
      <c r="CL213">
        <v>3</v>
      </c>
      <c r="CM213" s="259">
        <v>42161</v>
      </c>
      <c r="CN213" s="137" t="s">
        <v>8406</v>
      </c>
    </row>
    <row r="214" spans="1:92" s="227" customFormat="1">
      <c r="A214" s="258">
        <v>358</v>
      </c>
      <c r="B214" s="235">
        <v>358</v>
      </c>
      <c r="C214" s="236" t="s">
        <v>7799</v>
      </c>
      <c r="D214" s="236" t="s">
        <v>7597</v>
      </c>
      <c r="E214" s="236" t="s">
        <v>7799</v>
      </c>
      <c r="F214" s="236" t="s">
        <v>8614</v>
      </c>
      <c r="G214" s="235" t="str">
        <f t="shared" si="113"/>
        <v>Rapsodyn</v>
      </c>
      <c r="H214" s="235" t="s">
        <v>265</v>
      </c>
      <c r="I214" s="235">
        <v>1</v>
      </c>
      <c r="J214" s="236">
        <v>9170</v>
      </c>
      <c r="K214" s="236">
        <v>66</v>
      </c>
      <c r="L214" s="235">
        <f t="shared" si="112"/>
        <v>66</v>
      </c>
      <c r="M214" s="236">
        <v>5</v>
      </c>
      <c r="N214" s="235">
        <v>7</v>
      </c>
      <c r="O214" s="248">
        <v>42048</v>
      </c>
      <c r="P214" s="223">
        <v>4.4000000000000004</v>
      </c>
      <c r="Q214" s="264">
        <v>42204</v>
      </c>
      <c r="R214" s="223"/>
      <c r="S214" s="223"/>
      <c r="T214" s="223"/>
      <c r="U214" s="225"/>
      <c r="V214" s="219">
        <f t="shared" si="114"/>
        <v>13.47527480838948</v>
      </c>
      <c r="W214" s="224"/>
      <c r="X214">
        <v>15.55</v>
      </c>
      <c r="Y214" s="223"/>
      <c r="Z214" s="223"/>
      <c r="AA214" s="223"/>
      <c r="AB214" s="220">
        <f t="shared" si="115"/>
        <v>4.3412318627768558</v>
      </c>
      <c r="AC214" s="224"/>
      <c r="AD214" s="221">
        <f t="shared" si="116"/>
        <v>49380.51678527848</v>
      </c>
      <c r="AE214" s="224"/>
      <c r="AF214" s="220">
        <f t="shared" si="117"/>
        <v>26.270434929768154</v>
      </c>
      <c r="AG214" s="224"/>
      <c r="AH214" s="220">
        <f t="shared" si="118"/>
        <v>29.457765115236771</v>
      </c>
      <c r="AI214" s="224"/>
      <c r="AJ214">
        <v>5.32</v>
      </c>
      <c r="AK214" s="290" t="s">
        <v>8399</v>
      </c>
      <c r="AL214" s="223">
        <v>165</v>
      </c>
      <c r="AM214" s="223"/>
      <c r="AN214" s="241">
        <v>63</v>
      </c>
      <c r="AO214" s="243">
        <v>42067</v>
      </c>
      <c r="AP214" s="255">
        <v>100</v>
      </c>
      <c r="AQ214" s="245">
        <v>42104</v>
      </c>
      <c r="AR214" s="223">
        <v>123</v>
      </c>
      <c r="AS214" s="297">
        <f t="shared" si="119"/>
        <v>123</v>
      </c>
      <c r="AT214" s="290">
        <v>42127</v>
      </c>
      <c r="AU214" s="298"/>
      <c r="AV214" s="223"/>
      <c r="AW214" s="223"/>
      <c r="AX214" s="223"/>
      <c r="AY214" s="223"/>
      <c r="AZ214" s="223"/>
      <c r="BA214" s="223"/>
      <c r="BB214" s="223"/>
      <c r="BC214" s="223"/>
      <c r="BD214" s="223"/>
      <c r="BE214" s="223"/>
      <c r="BF214" s="281">
        <v>1.1719650030136108</v>
      </c>
      <c r="BG214" s="283">
        <v>42233</v>
      </c>
      <c r="BH214" s="223"/>
      <c r="BI214" s="223"/>
      <c r="BJ214" s="223"/>
      <c r="BK214" s="223"/>
      <c r="BL214" s="281">
        <v>64.156173706054687</v>
      </c>
      <c r="BM214" s="283">
        <v>42233</v>
      </c>
      <c r="BN214" s="223"/>
      <c r="BO214" s="223"/>
      <c r="BP214" s="281">
        <v>3.3059549331665039</v>
      </c>
      <c r="BQ214" s="283">
        <v>42233</v>
      </c>
      <c r="BR214" s="281">
        <v>51.294448852539062</v>
      </c>
      <c r="BS214" s="283">
        <v>42233</v>
      </c>
      <c r="BT214" s="281">
        <v>16.525161743164063</v>
      </c>
      <c r="BU214" s="283">
        <v>42233</v>
      </c>
      <c r="BV214" s="281">
        <v>15.395451545715332</v>
      </c>
      <c r="BW214" s="283">
        <v>42233</v>
      </c>
      <c r="BX214" s="281">
        <v>5.2704696655273437</v>
      </c>
      <c r="BY214" s="283">
        <v>42233</v>
      </c>
      <c r="BZ214" s="223"/>
      <c r="CA214" s="226"/>
      <c r="CB214" s="266">
        <v>2.1</v>
      </c>
      <c r="CC214" s="223"/>
      <c r="CD214" s="281">
        <v>5.2631578947368389</v>
      </c>
      <c r="CE214" s="291" t="s">
        <v>8399</v>
      </c>
      <c r="CF214" s="223"/>
      <c r="CG214" s="223"/>
      <c r="CH214" s="223">
        <v>2</v>
      </c>
      <c r="CI214" s="223">
        <v>3</v>
      </c>
      <c r="CK214" s="223"/>
      <c r="CL214" s="223">
        <v>1</v>
      </c>
      <c r="CM214" s="259">
        <v>42161</v>
      </c>
      <c r="CN214" s="137" t="s">
        <v>8406</v>
      </c>
    </row>
    <row r="215" spans="1:92" s="227" customFormat="1">
      <c r="A215" s="258">
        <v>359</v>
      </c>
      <c r="B215" s="235">
        <v>359</v>
      </c>
      <c r="C215" s="235" t="s">
        <v>7675</v>
      </c>
      <c r="D215" s="235" t="s">
        <v>7504</v>
      </c>
      <c r="E215" s="235" t="s">
        <v>7675</v>
      </c>
      <c r="F215" s="235" t="s">
        <v>8437</v>
      </c>
      <c r="G215" s="235" t="str">
        <f t="shared" si="113"/>
        <v>Rapsodyn</v>
      </c>
      <c r="H215" s="235" t="s">
        <v>265</v>
      </c>
      <c r="I215" s="235">
        <v>1</v>
      </c>
      <c r="J215" s="235">
        <v>9057</v>
      </c>
      <c r="K215" s="235">
        <v>67</v>
      </c>
      <c r="L215" s="235">
        <f t="shared" si="112"/>
        <v>67</v>
      </c>
      <c r="M215" s="235">
        <v>5</v>
      </c>
      <c r="N215" s="235">
        <v>7</v>
      </c>
      <c r="O215" s="248">
        <v>42048</v>
      </c>
      <c r="P215">
        <v>5.2</v>
      </c>
      <c r="Q215" s="264">
        <v>42204</v>
      </c>
      <c r="R215"/>
      <c r="S215"/>
      <c r="T215"/>
      <c r="U215" s="153"/>
      <c r="V215" s="219">
        <f t="shared" si="114"/>
        <v>15.861958637157507</v>
      </c>
      <c r="W215" s="219"/>
      <c r="X215">
        <v>15.55</v>
      </c>
      <c r="Y215"/>
      <c r="Z215"/>
      <c r="AA215"/>
      <c r="AB215" s="220">
        <f t="shared" si="115"/>
        <v>5.0341438389172684</v>
      </c>
      <c r="AC215" s="219"/>
      <c r="AD215" s="221">
        <f t="shared" si="116"/>
        <v>72170.177123897956</v>
      </c>
      <c r="AE215" s="219"/>
      <c r="AF215" s="220">
        <f t="shared" si="117"/>
        <v>31.105346340400018</v>
      </c>
      <c r="AG215" s="219"/>
      <c r="AH215" s="220">
        <f t="shared" si="118"/>
        <v>34.879284974658013</v>
      </c>
      <c r="AI215" s="219"/>
      <c r="AJ215">
        <v>4.3099999999999996</v>
      </c>
      <c r="AK215" s="284" t="s">
        <v>8399</v>
      </c>
      <c r="AL215">
        <v>170</v>
      </c>
      <c r="AM215"/>
      <c r="AN215" s="241">
        <v>72</v>
      </c>
      <c r="AO215" s="242">
        <v>42076</v>
      </c>
      <c r="AP215" s="255">
        <v>106</v>
      </c>
      <c r="AQ215" s="242">
        <v>42110</v>
      </c>
      <c r="AR215" s="223">
        <v>131</v>
      </c>
      <c r="AS215" s="297">
        <f t="shared" si="119"/>
        <v>131</v>
      </c>
      <c r="AT215" s="290">
        <v>42135</v>
      </c>
      <c r="AU215" s="298"/>
      <c r="AV215"/>
      <c r="AW215"/>
      <c r="AX215"/>
      <c r="AY215"/>
      <c r="AZ215"/>
      <c r="BA215"/>
      <c r="BB215"/>
      <c r="BC215"/>
      <c r="BD215"/>
      <c r="BE215"/>
      <c r="BF215" s="277">
        <v>-3.0185489654541016</v>
      </c>
      <c r="BG215" s="283">
        <v>42233</v>
      </c>
      <c r="BH215"/>
      <c r="BI215"/>
      <c r="BJ215"/>
      <c r="BK215"/>
      <c r="BL215" s="277">
        <v>66.188529968261719</v>
      </c>
      <c r="BM215" s="283">
        <v>42233</v>
      </c>
      <c r="BN215"/>
      <c r="BO215"/>
      <c r="BP215" s="277">
        <v>2.4409151077270508</v>
      </c>
      <c r="BQ215" s="283">
        <v>42233</v>
      </c>
      <c r="BR215" s="277">
        <v>50.994316101074219</v>
      </c>
      <c r="BS215" s="283">
        <v>42233</v>
      </c>
      <c r="BT215" s="277">
        <v>16.184175491333008</v>
      </c>
      <c r="BU215" s="283">
        <v>42233</v>
      </c>
      <c r="BV215" s="277">
        <v>15.227794647216797</v>
      </c>
      <c r="BW215" s="283">
        <v>42233</v>
      </c>
      <c r="BX215" s="277">
        <v>5.1624221801757812</v>
      </c>
      <c r="BY215" s="283">
        <v>42233</v>
      </c>
      <c r="BZ215"/>
      <c r="CA215" s="136"/>
      <c r="CB215" s="266">
        <v>2.2599999999999998</v>
      </c>
      <c r="CC215"/>
      <c r="CD215" s="277">
        <v>5.0847457627118757</v>
      </c>
      <c r="CE215" s="291" t="s">
        <v>8399</v>
      </c>
      <c r="CF215"/>
      <c r="CG215"/>
      <c r="CH215">
        <v>2</v>
      </c>
      <c r="CI215">
        <v>2</v>
      </c>
      <c r="CK215"/>
      <c r="CL215">
        <v>1</v>
      </c>
      <c r="CM215" s="259">
        <v>42161</v>
      </c>
      <c r="CN215" s="137" t="s">
        <v>8406</v>
      </c>
    </row>
    <row r="216" spans="1:92" s="227" customFormat="1">
      <c r="A216" s="258">
        <v>360</v>
      </c>
      <c r="B216" s="235">
        <v>360</v>
      </c>
      <c r="C216" s="238" t="s">
        <v>7804</v>
      </c>
      <c r="D216" s="238" t="s">
        <v>8421</v>
      </c>
      <c r="E216" s="238" t="s">
        <v>7804</v>
      </c>
      <c r="F216" s="238" t="s">
        <v>8589</v>
      </c>
      <c r="G216" s="235" t="str">
        <f t="shared" si="113"/>
        <v>Rapsodyn</v>
      </c>
      <c r="H216" s="235" t="s">
        <v>265</v>
      </c>
      <c r="I216" s="235">
        <v>1</v>
      </c>
      <c r="J216" s="238">
        <v>9175</v>
      </c>
      <c r="K216" s="238">
        <v>68</v>
      </c>
      <c r="L216" s="235">
        <f t="shared" si="112"/>
        <v>68</v>
      </c>
      <c r="M216" s="238">
        <v>5</v>
      </c>
      <c r="N216" s="235">
        <v>7</v>
      </c>
      <c r="O216" s="248">
        <v>42048</v>
      </c>
      <c r="P216">
        <v>5.75</v>
      </c>
      <c r="Q216" s="264">
        <v>42204</v>
      </c>
      <c r="R216"/>
      <c r="S216"/>
      <c r="T216"/>
      <c r="U216" s="153"/>
      <c r="V216" s="219">
        <f t="shared" si="114"/>
        <v>18.133256319394668</v>
      </c>
      <c r="W216" s="219"/>
      <c r="X216">
        <v>15.55</v>
      </c>
      <c r="Y216"/>
      <c r="Z216"/>
      <c r="AA216"/>
      <c r="AB216" s="220">
        <f t="shared" si="115"/>
        <v>5.264652021389912</v>
      </c>
      <c r="AC216" s="219"/>
      <c r="AD216" s="221">
        <f t="shared" si="116"/>
        <v>77318.121082354133</v>
      </c>
      <c r="AE216" s="219"/>
      <c r="AF216" s="220">
        <f t="shared" si="117"/>
        <v>34.870472608141711</v>
      </c>
      <c r="AG216" s="219"/>
      <c r="AH216" s="220">
        <f t="shared" si="118"/>
        <v>39.101225171722042</v>
      </c>
      <c r="AI216" s="219"/>
      <c r="AJ216">
        <v>4.51</v>
      </c>
      <c r="AK216" s="284" t="s">
        <v>8399</v>
      </c>
      <c r="AL216">
        <v>160</v>
      </c>
      <c r="AM216"/>
      <c r="AN216" s="241">
        <v>63</v>
      </c>
      <c r="AO216" s="246">
        <v>42067</v>
      </c>
      <c r="AP216" s="255">
        <v>104</v>
      </c>
      <c r="AQ216" s="242">
        <v>42108</v>
      </c>
      <c r="AR216" s="223">
        <v>127</v>
      </c>
      <c r="AS216" s="297">
        <f t="shared" si="119"/>
        <v>127</v>
      </c>
      <c r="AT216" s="290">
        <v>42131</v>
      </c>
      <c r="AU216" s="298"/>
      <c r="AV216"/>
      <c r="AW216"/>
      <c r="AX216"/>
      <c r="AY216"/>
      <c r="AZ216"/>
      <c r="BA216"/>
      <c r="BB216"/>
      <c r="BC216"/>
      <c r="BD216"/>
      <c r="BE216"/>
      <c r="BF216" s="277">
        <v>-1.007146954536438</v>
      </c>
      <c r="BG216" s="283">
        <v>42233</v>
      </c>
      <c r="BH216"/>
      <c r="BI216"/>
      <c r="BJ216"/>
      <c r="BK216"/>
      <c r="BL216" s="277">
        <v>63.988059997558594</v>
      </c>
      <c r="BM216" s="283">
        <v>42233</v>
      </c>
      <c r="BN216"/>
      <c r="BO216"/>
      <c r="BP216" s="277">
        <v>2.8588299751281738</v>
      </c>
      <c r="BQ216" s="283">
        <v>42233</v>
      </c>
      <c r="BR216" s="277">
        <v>52.001750946044922</v>
      </c>
      <c r="BS216" s="283">
        <v>42233</v>
      </c>
      <c r="BT216" s="277">
        <v>15.097736358642578</v>
      </c>
      <c r="BU216" s="283">
        <v>42233</v>
      </c>
      <c r="BV216" s="277">
        <v>14.088163375854492</v>
      </c>
      <c r="BW216" s="283">
        <v>42233</v>
      </c>
      <c r="BX216" s="277">
        <v>5.3857650756835937</v>
      </c>
      <c r="BY216" s="283">
        <v>42233</v>
      </c>
      <c r="BZ216"/>
      <c r="CA216" s="136"/>
      <c r="CB216" s="266">
        <v>2.54</v>
      </c>
      <c r="CC216"/>
      <c r="CD216" s="277">
        <v>3.7735849056603805</v>
      </c>
      <c r="CE216" s="291" t="s">
        <v>8399</v>
      </c>
      <c r="CF216"/>
      <c r="CG216"/>
      <c r="CH216">
        <v>1</v>
      </c>
      <c r="CI216">
        <v>2</v>
      </c>
      <c r="CK216"/>
      <c r="CL216">
        <v>1</v>
      </c>
      <c r="CM216" s="259">
        <v>42161</v>
      </c>
      <c r="CN216" s="137" t="s">
        <v>8406</v>
      </c>
    </row>
    <row r="217" spans="1:92" s="227" customFormat="1">
      <c r="A217" s="258">
        <v>361</v>
      </c>
      <c r="B217" s="235">
        <v>361</v>
      </c>
      <c r="C217" s="235" t="s">
        <v>7673</v>
      </c>
      <c r="D217" s="235" t="s">
        <v>7502</v>
      </c>
      <c r="E217" s="235" t="s">
        <v>7673</v>
      </c>
      <c r="F217" s="235" t="s">
        <v>8538</v>
      </c>
      <c r="G217" s="235" t="str">
        <f t="shared" si="113"/>
        <v>Rapsodyn</v>
      </c>
      <c r="H217" s="235" t="s">
        <v>265</v>
      </c>
      <c r="I217" s="235">
        <v>1</v>
      </c>
      <c r="J217" s="235">
        <v>9055</v>
      </c>
      <c r="K217" s="235">
        <v>69</v>
      </c>
      <c r="L217" s="235">
        <f t="shared" si="112"/>
        <v>69</v>
      </c>
      <c r="M217" s="235">
        <v>5</v>
      </c>
      <c r="N217" s="236">
        <v>9</v>
      </c>
      <c r="O217" s="248">
        <v>42048</v>
      </c>
      <c r="P217">
        <v>5.7</v>
      </c>
      <c r="Q217" s="264">
        <v>42204</v>
      </c>
      <c r="R217"/>
      <c r="S217"/>
      <c r="T217"/>
      <c r="U217" s="153"/>
      <c r="V217" s="219">
        <f t="shared" si="114"/>
        <v>17.433684617270856</v>
      </c>
      <c r="W217" s="219"/>
      <c r="X217">
        <v>15.55</v>
      </c>
      <c r="Y217"/>
      <c r="Z217"/>
      <c r="AA217"/>
      <c r="AB217" s="220">
        <f t="shared" si="115"/>
        <v>5.267545662503883</v>
      </c>
      <c r="AC217" s="219"/>
      <c r="AD217" s="221">
        <f t="shared" si="116"/>
        <v>73994.340988855838</v>
      </c>
      <c r="AE217" s="219"/>
      <c r="AF217" s="220">
        <f t="shared" si="117"/>
        <v>33.96340251388483</v>
      </c>
      <c r="AG217" s="219"/>
      <c r="AH217" s="220">
        <f t="shared" si="118"/>
        <v>38.084102392784068</v>
      </c>
      <c r="AI217" s="219"/>
      <c r="AJ217">
        <v>4.59</v>
      </c>
      <c r="AK217" s="284" t="s">
        <v>8403</v>
      </c>
      <c r="AL217">
        <v>165</v>
      </c>
      <c r="AM217"/>
      <c r="AN217" s="241">
        <v>72</v>
      </c>
      <c r="AO217" s="242">
        <v>42076</v>
      </c>
      <c r="AP217" s="255">
        <v>106</v>
      </c>
      <c r="AQ217" s="242">
        <v>42110</v>
      </c>
      <c r="AR217" s="223">
        <v>133</v>
      </c>
      <c r="AS217" s="297">
        <f t="shared" si="119"/>
        <v>133</v>
      </c>
      <c r="AT217" s="290">
        <v>42137</v>
      </c>
      <c r="AU217" s="298"/>
      <c r="AV217"/>
      <c r="AW217"/>
      <c r="AX217"/>
      <c r="AY217"/>
      <c r="AZ217"/>
      <c r="BA217"/>
      <c r="BB217"/>
      <c r="BC217"/>
      <c r="BD217"/>
      <c r="BE217"/>
      <c r="BF217" s="277">
        <v>-3.9278240203857422</v>
      </c>
      <c r="BG217" s="283">
        <v>42233</v>
      </c>
      <c r="BH217"/>
      <c r="BI217"/>
      <c r="BJ217"/>
      <c r="BK217"/>
      <c r="BL217" s="277">
        <v>64.059677124023437</v>
      </c>
      <c r="BM217" s="283">
        <v>42233</v>
      </c>
      <c r="BN217"/>
      <c r="BO217"/>
      <c r="BP217" s="277">
        <v>4.0678539276123047</v>
      </c>
      <c r="BQ217" s="283">
        <v>42233</v>
      </c>
      <c r="BR217" s="277">
        <v>51.330795288085938</v>
      </c>
      <c r="BS217" s="283">
        <v>42233</v>
      </c>
      <c r="BT217" s="277">
        <v>15.509475708007813</v>
      </c>
      <c r="BU217" s="283">
        <v>42233</v>
      </c>
      <c r="BV217" s="277">
        <v>18.582929611206055</v>
      </c>
      <c r="BW217" s="283">
        <v>42233</v>
      </c>
      <c r="BX217" s="277">
        <v>5.272674560546875</v>
      </c>
      <c r="BY217" s="283">
        <v>42233</v>
      </c>
      <c r="BZ217"/>
      <c r="CA217" s="136"/>
      <c r="CB217" s="266">
        <v>2.1800000000000002</v>
      </c>
      <c r="CC217"/>
      <c r="CD217" s="277">
        <v>5.4545454545454515</v>
      </c>
      <c r="CE217" s="291" t="s">
        <v>8403</v>
      </c>
      <c r="CF217"/>
      <c r="CG217"/>
      <c r="CH217">
        <v>3</v>
      </c>
      <c r="CI217">
        <v>4</v>
      </c>
      <c r="CK217"/>
      <c r="CL217">
        <v>1</v>
      </c>
      <c r="CM217" s="259">
        <v>42161</v>
      </c>
      <c r="CN217" s="137" t="s">
        <v>8406</v>
      </c>
    </row>
    <row r="218" spans="1:92" s="227" customFormat="1">
      <c r="A218" s="258">
        <v>362</v>
      </c>
      <c r="B218" s="236">
        <v>362</v>
      </c>
      <c r="C218" s="235" t="s">
        <v>7776</v>
      </c>
      <c r="D218" s="235" t="s">
        <v>7574</v>
      </c>
      <c r="E218" s="235" t="s">
        <v>7776</v>
      </c>
      <c r="F218" s="235" t="s">
        <v>8577</v>
      </c>
      <c r="G218" s="235" t="str">
        <f t="shared" si="113"/>
        <v>Rapsodyn</v>
      </c>
      <c r="H218" s="235" t="s">
        <v>265</v>
      </c>
      <c r="I218" s="235">
        <v>1</v>
      </c>
      <c r="J218" s="235">
        <v>9147</v>
      </c>
      <c r="K218" s="235">
        <v>70</v>
      </c>
      <c r="L218" s="235">
        <f t="shared" si="112"/>
        <v>70</v>
      </c>
      <c r="M218" s="235">
        <v>5</v>
      </c>
      <c r="N218" s="235">
        <v>7</v>
      </c>
      <c r="O218" s="248">
        <v>42048</v>
      </c>
      <c r="P218" s="223">
        <v>5.45</v>
      </c>
      <c r="Q218" s="264">
        <v>42204</v>
      </c>
      <c r="R218" s="223"/>
      <c r="S218" s="223"/>
      <c r="T218" s="223"/>
      <c r="U218" s="225"/>
      <c r="V218" s="219">
        <f t="shared" si="114"/>
        <v>16.614558215701518</v>
      </c>
      <c r="W218" s="224"/>
      <c r="X218">
        <v>15.55</v>
      </c>
      <c r="Y218" s="223"/>
      <c r="Z218" s="223"/>
      <c r="AA218" s="223"/>
      <c r="AB218" s="220">
        <f t="shared" si="115"/>
        <v>4.8947185524471788</v>
      </c>
      <c r="AC218" s="224"/>
      <c r="AD218" s="221">
        <f t="shared" si="116"/>
        <v>72406.473807021946</v>
      </c>
      <c r="AE218" s="224"/>
      <c r="AF218" s="220">
        <f t="shared" si="117"/>
        <v>32.365693791738806</v>
      </c>
      <c r="AG218" s="224"/>
      <c r="AH218" s="220">
        <f t="shared" si="118"/>
        <v>36.292547422896185</v>
      </c>
      <c r="AI218" s="224"/>
      <c r="AJ218">
        <v>4.47</v>
      </c>
      <c r="AK218" s="290" t="s">
        <v>8403</v>
      </c>
      <c r="AL218" s="223">
        <v>170</v>
      </c>
      <c r="AM218" s="223"/>
      <c r="AN218" s="241">
        <v>70</v>
      </c>
      <c r="AO218" s="242">
        <v>42074</v>
      </c>
      <c r="AP218" s="255">
        <v>104</v>
      </c>
      <c r="AQ218" s="242">
        <v>42108</v>
      </c>
      <c r="AR218" s="223">
        <v>132</v>
      </c>
      <c r="AS218" s="297">
        <f t="shared" si="119"/>
        <v>132</v>
      </c>
      <c r="AT218" s="290">
        <v>42136</v>
      </c>
      <c r="AU218" s="298"/>
      <c r="AV218" s="223"/>
      <c r="AW218" s="223"/>
      <c r="AX218" s="223"/>
      <c r="AY218" s="223"/>
      <c r="AZ218" s="223"/>
      <c r="BA218" s="223"/>
      <c r="BB218" s="223"/>
      <c r="BC218" s="223"/>
      <c r="BD218" s="223"/>
      <c r="BE218" s="223"/>
      <c r="BF218" s="281">
        <v>-4.5186119079589844</v>
      </c>
      <c r="BG218" s="283">
        <v>42233</v>
      </c>
      <c r="BH218" s="223"/>
      <c r="BI218" s="223"/>
      <c r="BJ218" s="223"/>
      <c r="BK218" s="223"/>
      <c r="BL218" s="281">
        <v>66.080192565917969</v>
      </c>
      <c r="BM218" s="283">
        <v>42233</v>
      </c>
      <c r="BN218" s="223"/>
      <c r="BO218" s="223"/>
      <c r="BP218" s="281">
        <v>3.5880091190338135</v>
      </c>
      <c r="BQ218" s="283">
        <v>42233</v>
      </c>
      <c r="BR218" s="281">
        <v>51.333854675292969</v>
      </c>
      <c r="BS218" s="283">
        <v>42233</v>
      </c>
      <c r="BT218" s="281">
        <v>15.1231689453125</v>
      </c>
      <c r="BU218" s="283">
        <v>42233</v>
      </c>
      <c r="BV218" s="281">
        <v>14.213810920715332</v>
      </c>
      <c r="BW218" s="283">
        <v>42233</v>
      </c>
      <c r="BX218" s="281">
        <v>5.3742599487304687</v>
      </c>
      <c r="BY218" s="283">
        <v>42233</v>
      </c>
      <c r="BZ218" s="223"/>
      <c r="CA218" s="226"/>
      <c r="CB218" s="266">
        <v>2.4</v>
      </c>
      <c r="CC218" s="223"/>
      <c r="CD218" s="281">
        <v>5.7692307692307656</v>
      </c>
      <c r="CE218" s="291" t="s">
        <v>8403</v>
      </c>
      <c r="CF218" s="223"/>
      <c r="CG218" s="223"/>
      <c r="CH218" s="223">
        <v>2</v>
      </c>
      <c r="CI218" s="223">
        <v>3</v>
      </c>
      <c r="CK218" s="223"/>
      <c r="CL218" s="223">
        <v>1</v>
      </c>
      <c r="CM218" s="259">
        <v>42161</v>
      </c>
      <c r="CN218" s="137" t="s">
        <v>8406</v>
      </c>
    </row>
    <row r="219" spans="1:92" s="227" customFormat="1">
      <c r="A219" s="258">
        <v>363</v>
      </c>
      <c r="B219" s="235">
        <v>363</v>
      </c>
      <c r="C219" s="235" t="s">
        <v>7576</v>
      </c>
      <c r="D219" s="235"/>
      <c r="E219" s="235"/>
      <c r="F219" s="235"/>
      <c r="G219" s="235"/>
      <c r="H219" s="235" t="s">
        <v>265</v>
      </c>
      <c r="I219" s="235">
        <v>1</v>
      </c>
      <c r="J219" s="235"/>
      <c r="K219" s="235">
        <v>71</v>
      </c>
      <c r="L219" s="235">
        <f t="shared" si="112"/>
        <v>71</v>
      </c>
      <c r="M219" s="235">
        <v>5</v>
      </c>
      <c r="N219" s="235"/>
      <c r="O219" s="248">
        <v>42048</v>
      </c>
      <c r="P219"/>
      <c r="Q219" s="219"/>
      <c r="R219"/>
      <c r="S219"/>
      <c r="T219"/>
      <c r="U219" s="153"/>
      <c r="V219" s="219"/>
      <c r="W219" s="219"/>
      <c r="X219">
        <v>15.55</v>
      </c>
      <c r="Y219"/>
      <c r="Z219"/>
      <c r="AA219"/>
      <c r="AB219" s="220"/>
      <c r="AC219" s="219"/>
      <c r="AD219" s="221"/>
      <c r="AE219" s="219"/>
      <c r="AF219" s="220"/>
      <c r="AG219" s="219"/>
      <c r="AH219" s="220"/>
      <c r="AI219" s="219"/>
      <c r="AJ219" s="286"/>
      <c r="AK219" s="284"/>
      <c r="AL219"/>
      <c r="AM219"/>
      <c r="AN219" s="241">
        <v>70</v>
      </c>
      <c r="AO219" s="242">
        <v>42074</v>
      </c>
      <c r="AP219" s="255">
        <v>104</v>
      </c>
      <c r="AQ219" s="242">
        <v>42108</v>
      </c>
      <c r="AR219"/>
      <c r="AS219" s="297"/>
      <c r="AT219" s="290"/>
      <c r="AU219" s="298"/>
      <c r="AV219"/>
      <c r="AW219"/>
      <c r="AX219"/>
      <c r="AY219"/>
      <c r="AZ219"/>
      <c r="BA219"/>
      <c r="BB219"/>
      <c r="BC219"/>
      <c r="BD219"/>
      <c r="BE219"/>
      <c r="BF219" s="277"/>
      <c r="BG219" s="235"/>
      <c r="BH219"/>
      <c r="BI219"/>
      <c r="BJ219"/>
      <c r="BK219"/>
      <c r="BL219" s="277"/>
      <c r="BM219" s="235"/>
      <c r="BN219"/>
      <c r="BO219"/>
      <c r="BP219" s="277"/>
      <c r="BQ219" s="235"/>
      <c r="BR219" s="277"/>
      <c r="BS219" s="235"/>
      <c r="BT219" s="277"/>
      <c r="BU219" s="235"/>
      <c r="BV219" s="277"/>
      <c r="BW219" s="235"/>
      <c r="BX219" s="277"/>
      <c r="BY219" s="235"/>
      <c r="BZ219"/>
      <c r="CA219" s="136"/>
      <c r="CB219" s="266"/>
      <c r="CC219"/>
      <c r="CD219" s="277"/>
      <c r="CE219" s="291"/>
      <c r="CF219"/>
      <c r="CG219"/>
      <c r="CH219"/>
      <c r="CI219"/>
      <c r="CK219"/>
      <c r="CL219">
        <v>1</v>
      </c>
      <c r="CM219" s="259">
        <v>42161</v>
      </c>
    </row>
    <row r="220" spans="1:92" s="227" customFormat="1">
      <c r="A220" s="258">
        <v>364</v>
      </c>
      <c r="B220" s="235">
        <v>364</v>
      </c>
      <c r="C220" s="235" t="s">
        <v>7576</v>
      </c>
      <c r="D220" s="235"/>
      <c r="E220" s="235"/>
      <c r="F220" s="235"/>
      <c r="G220" s="235"/>
      <c r="H220" s="235" t="s">
        <v>265</v>
      </c>
      <c r="I220" s="235">
        <v>1</v>
      </c>
      <c r="J220" s="235"/>
      <c r="K220" s="235">
        <v>72</v>
      </c>
      <c r="L220" s="235">
        <f t="shared" si="112"/>
        <v>72</v>
      </c>
      <c r="M220" s="235">
        <v>5</v>
      </c>
      <c r="N220" s="235"/>
      <c r="O220" s="248">
        <v>42048</v>
      </c>
      <c r="P220"/>
      <c r="Q220" s="219"/>
      <c r="R220"/>
      <c r="S220"/>
      <c r="T220"/>
      <c r="U220" s="153"/>
      <c r="V220" s="219"/>
      <c r="W220" s="219"/>
      <c r="X220">
        <v>15.55</v>
      </c>
      <c r="Y220"/>
      <c r="Z220"/>
      <c r="AA220"/>
      <c r="AB220" s="220"/>
      <c r="AC220" s="219"/>
      <c r="AD220" s="221"/>
      <c r="AE220" s="219"/>
      <c r="AF220" s="220"/>
      <c r="AG220" s="219"/>
      <c r="AH220" s="220"/>
      <c r="AI220" s="219"/>
      <c r="AJ220" s="286"/>
      <c r="AK220" s="284"/>
      <c r="AL220"/>
      <c r="AM220"/>
      <c r="AN220" s="241">
        <v>70</v>
      </c>
      <c r="AO220" s="242">
        <v>42074</v>
      </c>
      <c r="AP220" s="255">
        <v>104</v>
      </c>
      <c r="AQ220" s="242">
        <v>42108</v>
      </c>
      <c r="AR220"/>
      <c r="AS220" s="297"/>
      <c r="AT220" s="290"/>
      <c r="AU220" s="298"/>
      <c r="AV220"/>
      <c r="AW220"/>
      <c r="AX220"/>
      <c r="AY220"/>
      <c r="AZ220"/>
      <c r="BA220"/>
      <c r="BB220"/>
      <c r="BC220"/>
      <c r="BD220"/>
      <c r="BE220"/>
      <c r="BF220" s="277"/>
      <c r="BG220" s="235"/>
      <c r="BH220"/>
      <c r="BI220"/>
      <c r="BJ220"/>
      <c r="BK220"/>
      <c r="BL220" s="277"/>
      <c r="BM220" s="235"/>
      <c r="BN220"/>
      <c r="BO220"/>
      <c r="BP220" s="277"/>
      <c r="BQ220" s="235"/>
      <c r="BR220" s="277"/>
      <c r="BS220" s="235"/>
      <c r="BT220" s="277"/>
      <c r="BU220" s="235"/>
      <c r="BV220" s="277"/>
      <c r="BW220" s="235"/>
      <c r="BX220" s="277"/>
      <c r="BY220" s="235"/>
      <c r="BZ220"/>
      <c r="CA220" s="136"/>
      <c r="CB220" s="266"/>
      <c r="CC220"/>
      <c r="CD220" s="277"/>
      <c r="CE220" s="291"/>
      <c r="CF220"/>
      <c r="CG220"/>
      <c r="CH220"/>
      <c r="CI220"/>
      <c r="CK220"/>
      <c r="CL220">
        <v>2</v>
      </c>
      <c r="CM220" s="259">
        <v>42161</v>
      </c>
    </row>
    <row r="221" spans="1:92" s="227" customFormat="1">
      <c r="A221" s="258">
        <v>365</v>
      </c>
      <c r="B221" s="235">
        <v>365</v>
      </c>
      <c r="C221" s="235" t="s">
        <v>7576</v>
      </c>
      <c r="D221" s="235"/>
      <c r="E221" s="235"/>
      <c r="F221" s="235"/>
      <c r="G221" s="235"/>
      <c r="H221" s="235" t="s">
        <v>265</v>
      </c>
      <c r="I221" s="235">
        <v>1</v>
      </c>
      <c r="J221" s="235"/>
      <c r="K221" s="235">
        <v>73</v>
      </c>
      <c r="L221" s="235">
        <f t="shared" si="112"/>
        <v>73</v>
      </c>
      <c r="M221" s="235">
        <v>5</v>
      </c>
      <c r="N221" s="235"/>
      <c r="O221" s="248">
        <v>42048</v>
      </c>
      <c r="P221"/>
      <c r="Q221" s="219"/>
      <c r="R221"/>
      <c r="S221"/>
      <c r="T221"/>
      <c r="U221" s="153"/>
      <c r="V221" s="219"/>
      <c r="W221" s="219"/>
      <c r="X221">
        <v>15.55</v>
      </c>
      <c r="Y221"/>
      <c r="Z221"/>
      <c r="AA221"/>
      <c r="AB221" s="220"/>
      <c r="AC221" s="219"/>
      <c r="AD221" s="221"/>
      <c r="AE221" s="219"/>
      <c r="AF221" s="220"/>
      <c r="AG221" s="219"/>
      <c r="AH221" s="220"/>
      <c r="AI221" s="219"/>
      <c r="AJ221" s="286"/>
      <c r="AK221" s="284"/>
      <c r="AL221"/>
      <c r="AM221"/>
      <c r="AN221" s="241">
        <v>70</v>
      </c>
      <c r="AO221" s="242">
        <v>42074</v>
      </c>
      <c r="AP221" s="255">
        <v>104</v>
      </c>
      <c r="AQ221" s="242">
        <v>42108</v>
      </c>
      <c r="AR221"/>
      <c r="AS221" s="297"/>
      <c r="AT221" s="290"/>
      <c r="AU221" s="298"/>
      <c r="AV221"/>
      <c r="AW221"/>
      <c r="AX221"/>
      <c r="AY221"/>
      <c r="AZ221"/>
      <c r="BA221"/>
      <c r="BB221"/>
      <c r="BC221"/>
      <c r="BD221"/>
      <c r="BE221"/>
      <c r="BF221" s="277"/>
      <c r="BG221" s="235"/>
      <c r="BH221"/>
      <c r="BI221"/>
      <c r="BJ221"/>
      <c r="BK221"/>
      <c r="BL221" s="277"/>
      <c r="BM221" s="235"/>
      <c r="BN221"/>
      <c r="BO221"/>
      <c r="BP221" s="277"/>
      <c r="BQ221" s="235"/>
      <c r="BR221" s="277"/>
      <c r="BS221" s="235"/>
      <c r="BT221" s="277"/>
      <c r="BU221" s="235"/>
      <c r="BV221" s="277"/>
      <c r="BW221" s="235"/>
      <c r="BX221" s="277"/>
      <c r="BY221" s="235"/>
      <c r="BZ221"/>
      <c r="CA221" s="136"/>
      <c r="CB221" s="266"/>
      <c r="CC221"/>
      <c r="CD221" s="277"/>
      <c r="CE221" s="291"/>
      <c r="CF221"/>
      <c r="CG221"/>
      <c r="CH221"/>
      <c r="CI221"/>
      <c r="CK221"/>
      <c r="CL221">
        <v>2</v>
      </c>
      <c r="CM221" s="259">
        <v>42161</v>
      </c>
    </row>
    <row r="222" spans="1:92" s="227" customFormat="1">
      <c r="A222" s="258">
        <v>366</v>
      </c>
      <c r="B222" s="235">
        <v>366</v>
      </c>
      <c r="C222" s="235" t="s">
        <v>7576</v>
      </c>
      <c r="D222" s="235"/>
      <c r="E222" s="235"/>
      <c r="F222" s="235"/>
      <c r="G222" s="235"/>
      <c r="H222" s="235" t="s">
        <v>265</v>
      </c>
      <c r="I222" s="235">
        <v>1</v>
      </c>
      <c r="J222" s="235"/>
      <c r="K222" s="235">
        <v>73</v>
      </c>
      <c r="L222" s="235">
        <f t="shared" si="112"/>
        <v>73</v>
      </c>
      <c r="M222" s="235">
        <v>6</v>
      </c>
      <c r="N222" s="235"/>
      <c r="O222" s="248">
        <v>42048</v>
      </c>
      <c r="P222" s="223"/>
      <c r="Q222" s="224"/>
      <c r="R222" s="223"/>
      <c r="S222" s="223"/>
      <c r="T222" s="223"/>
      <c r="U222" s="225"/>
      <c r="V222" s="219"/>
      <c r="W222" s="224"/>
      <c r="X222">
        <v>15.55</v>
      </c>
      <c r="Y222" s="223"/>
      <c r="Z222" s="223"/>
      <c r="AA222" s="223"/>
      <c r="AB222" s="220"/>
      <c r="AC222" s="224"/>
      <c r="AD222" s="221"/>
      <c r="AE222" s="224"/>
      <c r="AF222" s="220"/>
      <c r="AG222" s="224"/>
      <c r="AH222" s="220"/>
      <c r="AI222" s="224"/>
      <c r="AJ222" s="286"/>
      <c r="AK222" s="290"/>
      <c r="AL222" s="223"/>
      <c r="AM222" s="223"/>
      <c r="AN222" s="241">
        <v>70</v>
      </c>
      <c r="AO222" s="242">
        <v>42074</v>
      </c>
      <c r="AP222" s="255">
        <v>104</v>
      </c>
      <c r="AQ222" s="242">
        <v>42108</v>
      </c>
      <c r="AR222" s="223"/>
      <c r="AS222" s="297"/>
      <c r="AT222" s="290"/>
      <c r="AU222" s="298"/>
      <c r="AV222" s="223"/>
      <c r="AW222" s="223"/>
      <c r="AX222" s="223"/>
      <c r="AY222" s="223"/>
      <c r="AZ222" s="223"/>
      <c r="BA222" s="223"/>
      <c r="BB222" s="223"/>
      <c r="BC222" s="223"/>
      <c r="BD222" s="223"/>
      <c r="BE222" s="223"/>
      <c r="BF222" s="281"/>
      <c r="BG222" s="235"/>
      <c r="BH222" s="223"/>
      <c r="BI222" s="223"/>
      <c r="BJ222" s="223"/>
      <c r="BK222" s="223"/>
      <c r="BL222" s="281"/>
      <c r="BM222" s="235"/>
      <c r="BN222" s="223"/>
      <c r="BO222" s="223"/>
      <c r="BP222" s="281"/>
      <c r="BQ222" s="235"/>
      <c r="BR222" s="281"/>
      <c r="BS222" s="235"/>
      <c r="BT222" s="281"/>
      <c r="BU222" s="235"/>
      <c r="BV222" s="281"/>
      <c r="BW222" s="235"/>
      <c r="BX222" s="281"/>
      <c r="BY222" s="235"/>
      <c r="BZ222" s="223"/>
      <c r="CA222" s="226"/>
      <c r="CB222" s="266"/>
      <c r="CC222" s="223"/>
      <c r="CD222" s="281"/>
      <c r="CE222" s="291"/>
      <c r="CF222" s="223"/>
      <c r="CG222" s="223"/>
      <c r="CH222" s="223"/>
      <c r="CI222" s="223"/>
      <c r="CK222" s="223"/>
      <c r="CL222" s="223">
        <v>1</v>
      </c>
      <c r="CM222" s="259">
        <v>42161</v>
      </c>
    </row>
    <row r="223" spans="1:92" s="227" customFormat="1">
      <c r="A223" s="258">
        <v>367</v>
      </c>
      <c r="B223" s="235">
        <v>367</v>
      </c>
      <c r="C223" s="235" t="s">
        <v>7576</v>
      </c>
      <c r="D223" s="235"/>
      <c r="E223" s="235"/>
      <c r="F223" s="235"/>
      <c r="G223" s="235"/>
      <c r="H223" s="235" t="s">
        <v>265</v>
      </c>
      <c r="I223" s="235">
        <v>1</v>
      </c>
      <c r="J223" s="235"/>
      <c r="K223" s="235">
        <v>72</v>
      </c>
      <c r="L223" s="235">
        <f t="shared" si="112"/>
        <v>72</v>
      </c>
      <c r="M223" s="235">
        <v>6</v>
      </c>
      <c r="N223" s="235"/>
      <c r="O223" s="248">
        <v>42048</v>
      </c>
      <c r="P223"/>
      <c r="Q223" s="219"/>
      <c r="R223"/>
      <c r="S223"/>
      <c r="T223"/>
      <c r="U223" s="153"/>
      <c r="V223" s="219"/>
      <c r="W223" s="219"/>
      <c r="X223">
        <v>15.55</v>
      </c>
      <c r="Y223"/>
      <c r="Z223"/>
      <c r="AA223"/>
      <c r="AB223" s="220"/>
      <c r="AC223" s="219"/>
      <c r="AD223" s="221"/>
      <c r="AE223" s="219"/>
      <c r="AF223" s="220"/>
      <c r="AG223" s="219"/>
      <c r="AH223" s="220"/>
      <c r="AI223" s="219"/>
      <c r="AJ223" s="286"/>
      <c r="AK223" s="284"/>
      <c r="AL223"/>
      <c r="AM223"/>
      <c r="AN223" s="241">
        <v>70</v>
      </c>
      <c r="AO223" s="242">
        <v>42074</v>
      </c>
      <c r="AP223" s="255">
        <v>104</v>
      </c>
      <c r="AQ223" s="242">
        <v>42108</v>
      </c>
      <c r="AR223"/>
      <c r="AS223" s="297"/>
      <c r="AT223" s="290"/>
      <c r="AU223" s="298"/>
      <c r="AV223"/>
      <c r="AW223"/>
      <c r="AX223"/>
      <c r="AY223"/>
      <c r="AZ223"/>
      <c r="BA223"/>
      <c r="BB223"/>
      <c r="BC223"/>
      <c r="BD223"/>
      <c r="BE223"/>
      <c r="BF223" s="277"/>
      <c r="BG223" s="235"/>
      <c r="BH223"/>
      <c r="BI223"/>
      <c r="BJ223"/>
      <c r="BK223"/>
      <c r="BL223" s="277"/>
      <c r="BM223" s="235"/>
      <c r="BN223"/>
      <c r="BO223"/>
      <c r="BP223" s="277"/>
      <c r="BQ223" s="235"/>
      <c r="BR223" s="277"/>
      <c r="BS223" s="235"/>
      <c r="BT223" s="277"/>
      <c r="BU223" s="235"/>
      <c r="BV223" s="277"/>
      <c r="BW223" s="235"/>
      <c r="BX223" s="277"/>
      <c r="BY223" s="235"/>
      <c r="BZ223"/>
      <c r="CA223" s="136"/>
      <c r="CB223" s="266"/>
      <c r="CC223"/>
      <c r="CD223" s="277"/>
      <c r="CE223" s="291"/>
      <c r="CF223"/>
      <c r="CG223"/>
      <c r="CH223"/>
      <c r="CI223"/>
      <c r="CK223"/>
      <c r="CL223"/>
      <c r="CM223" s="259">
        <v>42161</v>
      </c>
    </row>
    <row r="224" spans="1:92" s="227" customFormat="1">
      <c r="A224" s="258">
        <v>368</v>
      </c>
      <c r="B224" s="235">
        <v>368</v>
      </c>
      <c r="C224" s="235" t="s">
        <v>7576</v>
      </c>
      <c r="D224" s="235"/>
      <c r="E224" s="235"/>
      <c r="F224" s="235"/>
      <c r="G224" s="235"/>
      <c r="H224" s="235" t="s">
        <v>265</v>
      </c>
      <c r="I224" s="235">
        <v>1</v>
      </c>
      <c r="J224" s="235"/>
      <c r="K224" s="235">
        <v>71</v>
      </c>
      <c r="L224" s="235">
        <f t="shared" si="112"/>
        <v>71</v>
      </c>
      <c r="M224" s="235">
        <v>6</v>
      </c>
      <c r="N224" s="235"/>
      <c r="O224" s="248">
        <v>42048</v>
      </c>
      <c r="P224"/>
      <c r="Q224" s="219"/>
      <c r="R224"/>
      <c r="S224"/>
      <c r="T224"/>
      <c r="U224" s="153"/>
      <c r="V224" s="219"/>
      <c r="W224" s="219"/>
      <c r="X224">
        <v>15.55</v>
      </c>
      <c r="Y224"/>
      <c r="Z224"/>
      <c r="AA224"/>
      <c r="AB224" s="220"/>
      <c r="AC224" s="219"/>
      <c r="AD224" s="221"/>
      <c r="AE224" s="219"/>
      <c r="AF224" s="220"/>
      <c r="AG224" s="219"/>
      <c r="AH224" s="220"/>
      <c r="AI224" s="219"/>
      <c r="AJ224" s="286"/>
      <c r="AK224" s="284"/>
      <c r="AL224"/>
      <c r="AM224"/>
      <c r="AN224" s="241">
        <v>70</v>
      </c>
      <c r="AO224" s="242">
        <v>42074</v>
      </c>
      <c r="AP224" s="255">
        <v>104</v>
      </c>
      <c r="AQ224" s="242">
        <v>42108</v>
      </c>
      <c r="AR224"/>
      <c r="AS224" s="297"/>
      <c r="AT224" s="290"/>
      <c r="AU224" s="298"/>
      <c r="AV224"/>
      <c r="AW224"/>
      <c r="AX224"/>
      <c r="AY224"/>
      <c r="AZ224"/>
      <c r="BA224"/>
      <c r="BB224"/>
      <c r="BC224"/>
      <c r="BD224"/>
      <c r="BE224"/>
      <c r="BF224" s="277"/>
      <c r="BG224" s="235"/>
      <c r="BH224"/>
      <c r="BI224"/>
      <c r="BJ224"/>
      <c r="BK224"/>
      <c r="BL224" s="277"/>
      <c r="BM224" s="235"/>
      <c r="BN224"/>
      <c r="BO224"/>
      <c r="BP224" s="277"/>
      <c r="BQ224" s="235"/>
      <c r="BR224" s="277"/>
      <c r="BS224" s="235"/>
      <c r="BT224" s="277"/>
      <c r="BU224" s="235"/>
      <c r="BV224" s="277"/>
      <c r="BW224" s="235"/>
      <c r="BX224" s="277"/>
      <c r="BY224" s="235"/>
      <c r="BZ224"/>
      <c r="CA224" s="136"/>
      <c r="CB224" s="266"/>
      <c r="CC224"/>
      <c r="CD224" s="277"/>
      <c r="CE224" s="291"/>
      <c r="CF224"/>
      <c r="CG224"/>
      <c r="CH224"/>
      <c r="CI224"/>
      <c r="CK224"/>
      <c r="CL224"/>
      <c r="CM224" s="259">
        <v>42161</v>
      </c>
    </row>
    <row r="225" spans="1:92" s="227" customFormat="1">
      <c r="A225" s="258">
        <v>369</v>
      </c>
      <c r="B225" s="235">
        <v>369</v>
      </c>
      <c r="C225" s="235" t="s">
        <v>7638</v>
      </c>
      <c r="D225" s="235" t="s">
        <v>7471</v>
      </c>
      <c r="E225" s="235" t="s">
        <v>7638</v>
      </c>
      <c r="F225" s="235" t="s">
        <v>8519</v>
      </c>
      <c r="G225" s="235" t="str">
        <f t="shared" ref="G225:G236" si="120">IF(MID(C225,1,3)="BGA","Complement","Rapsodyn")</f>
        <v>Rapsodyn</v>
      </c>
      <c r="H225" s="235" t="s">
        <v>265</v>
      </c>
      <c r="I225" s="235">
        <v>1</v>
      </c>
      <c r="J225" s="235">
        <v>9026</v>
      </c>
      <c r="K225" s="235">
        <v>70</v>
      </c>
      <c r="L225" s="235">
        <f t="shared" si="112"/>
        <v>70</v>
      </c>
      <c r="M225" s="235">
        <v>6</v>
      </c>
      <c r="N225" s="235">
        <v>3</v>
      </c>
      <c r="O225" s="248">
        <v>42048</v>
      </c>
      <c r="P225">
        <v>2.75</v>
      </c>
      <c r="Q225" s="264">
        <v>42204</v>
      </c>
      <c r="R225"/>
      <c r="S225"/>
      <c r="T225"/>
      <c r="U225" s="153"/>
      <c r="V225" s="219">
        <f t="shared" ref="V225:V236" si="121">+BR225*AF225/100</f>
        <v>7.6980890050736184</v>
      </c>
      <c r="W225" s="219"/>
      <c r="X225">
        <v>15.55</v>
      </c>
      <c r="Y225"/>
      <c r="Z225"/>
      <c r="AA225"/>
      <c r="AB225" s="220">
        <f t="shared" ref="AB225:AB236" si="122">+AF225*BT225/100</f>
        <v>3.265831127278584</v>
      </c>
      <c r="AC225" s="219"/>
      <c r="AD225" s="221">
        <f t="shared" ref="AD225:AD236" si="123">+(AF225/AJ225)*10000</f>
        <v>28566.914120714424</v>
      </c>
      <c r="AE225" s="219"/>
      <c r="AF225" s="220">
        <f t="shared" ref="AF225:AF236" si="124">($P225/$X225)*(((100-$CD225)/100*(100-2)/100))*100</f>
        <v>16.311707962927937</v>
      </c>
      <c r="AG225" s="219"/>
      <c r="AH225" s="220">
        <f t="shared" ref="AH225:AH236" si="125">($P225/$X225)*(((100-$CD225)/(100-9)*(100-2)/(100-2))*100)</f>
        <v>18.290769189199303</v>
      </c>
      <c r="AI225" s="219"/>
      <c r="AJ225">
        <v>5.71</v>
      </c>
      <c r="AK225" s="284" t="s">
        <v>8403</v>
      </c>
      <c r="AL225">
        <v>170</v>
      </c>
      <c r="AM225"/>
      <c r="AN225" s="241">
        <v>79</v>
      </c>
      <c r="AO225" s="242">
        <v>42083</v>
      </c>
      <c r="AP225" s="255">
        <v>106</v>
      </c>
      <c r="AQ225" s="242">
        <v>42110</v>
      </c>
      <c r="AR225">
        <v>133</v>
      </c>
      <c r="AS225" s="297">
        <f t="shared" ref="AS225:AS236" si="126">IF(AR225=0,,AR225)</f>
        <v>133</v>
      </c>
      <c r="AT225" s="290">
        <v>42137</v>
      </c>
      <c r="AU225" s="298"/>
      <c r="AV225"/>
      <c r="AW225"/>
      <c r="AX225"/>
      <c r="AY225"/>
      <c r="AZ225"/>
      <c r="BA225"/>
      <c r="BB225"/>
      <c r="BC225"/>
      <c r="BD225"/>
      <c r="BE225"/>
      <c r="BF225" s="277">
        <v>-3.4403970241546631</v>
      </c>
      <c r="BG225" s="283">
        <v>42233</v>
      </c>
      <c r="BH225"/>
      <c r="BI225"/>
      <c r="BJ225"/>
      <c r="BK225"/>
      <c r="BL225" s="277">
        <v>58.246803283691406</v>
      </c>
      <c r="BM225" s="283">
        <v>42233</v>
      </c>
      <c r="BN225"/>
      <c r="BO225"/>
      <c r="BP225" s="277">
        <v>3.3425939083099365</v>
      </c>
      <c r="BQ225" s="283">
        <v>42233</v>
      </c>
      <c r="BR225" s="277">
        <v>47.193641662597656</v>
      </c>
      <c r="BS225" s="283">
        <v>42233</v>
      </c>
      <c r="BT225" s="277">
        <v>20.021392822265625</v>
      </c>
      <c r="BU225" s="283">
        <v>42233</v>
      </c>
      <c r="BV225" s="277">
        <v>58.536064147949219</v>
      </c>
      <c r="BW225" s="283">
        <v>42233</v>
      </c>
      <c r="BX225" s="277">
        <v>5.5076522827148437</v>
      </c>
      <c r="BY225" s="283">
        <v>42233</v>
      </c>
      <c r="BZ225"/>
      <c r="CA225" s="136"/>
      <c r="CB225" s="266">
        <v>2.17</v>
      </c>
      <c r="CC225"/>
      <c r="CD225" s="277">
        <v>5.8823529411764675</v>
      </c>
      <c r="CE225" s="291" t="s">
        <v>8403</v>
      </c>
      <c r="CF225"/>
      <c r="CG225"/>
      <c r="CH225">
        <v>1</v>
      </c>
      <c r="CI225">
        <v>2</v>
      </c>
      <c r="CK225"/>
      <c r="CL225">
        <v>3</v>
      </c>
      <c r="CM225" s="259">
        <v>42161</v>
      </c>
      <c r="CN225" s="137" t="s">
        <v>8406</v>
      </c>
    </row>
    <row r="226" spans="1:92" s="227" customFormat="1">
      <c r="A226" s="258">
        <v>370</v>
      </c>
      <c r="B226" s="235">
        <v>370</v>
      </c>
      <c r="C226" s="235" t="s">
        <v>7640</v>
      </c>
      <c r="D226" s="235" t="s">
        <v>7472</v>
      </c>
      <c r="E226" s="235" t="s">
        <v>7640</v>
      </c>
      <c r="F226" s="235" t="s">
        <v>8430</v>
      </c>
      <c r="G226" s="235" t="str">
        <f t="shared" si="120"/>
        <v>Rapsodyn</v>
      </c>
      <c r="H226" s="235" t="s">
        <v>265</v>
      </c>
      <c r="I226" s="235">
        <v>1</v>
      </c>
      <c r="J226" s="235">
        <v>9028</v>
      </c>
      <c r="K226" s="235">
        <v>69</v>
      </c>
      <c r="L226" s="235">
        <f t="shared" si="112"/>
        <v>69</v>
      </c>
      <c r="M226" s="235">
        <v>6</v>
      </c>
      <c r="N226" s="235">
        <v>7</v>
      </c>
      <c r="O226" s="248">
        <v>42048</v>
      </c>
      <c r="P226">
        <v>2.7</v>
      </c>
      <c r="Q226" s="264">
        <v>42204</v>
      </c>
      <c r="R226"/>
      <c r="S226"/>
      <c r="T226"/>
      <c r="U226" s="153"/>
      <c r="V226" s="219">
        <f t="shared" si="121"/>
        <v>7.8183524595587617</v>
      </c>
      <c r="W226" s="219"/>
      <c r="X226">
        <v>15.55</v>
      </c>
      <c r="Y226"/>
      <c r="Z226"/>
      <c r="AA226"/>
      <c r="AB226" s="220">
        <f t="shared" si="122"/>
        <v>2.7583316276190066</v>
      </c>
      <c r="AC226" s="219"/>
      <c r="AD226" s="221">
        <f t="shared" si="123"/>
        <v>33239.42540292476</v>
      </c>
      <c r="AE226" s="219"/>
      <c r="AF226" s="220">
        <f t="shared" si="124"/>
        <v>15.821966491792184</v>
      </c>
      <c r="AG226" s="219"/>
      <c r="AH226" s="220">
        <f t="shared" si="125"/>
        <v>17.741608535313055</v>
      </c>
      <c r="AI226" s="219"/>
      <c r="AJ226">
        <v>4.76</v>
      </c>
      <c r="AK226" s="284" t="s">
        <v>8403</v>
      </c>
      <c r="AL226">
        <v>145</v>
      </c>
      <c r="AM226"/>
      <c r="AN226" s="241">
        <v>75</v>
      </c>
      <c r="AO226" s="242">
        <v>42079</v>
      </c>
      <c r="AP226" s="255">
        <v>104</v>
      </c>
      <c r="AQ226" s="242">
        <v>42108</v>
      </c>
      <c r="AR226">
        <v>125</v>
      </c>
      <c r="AS226" s="297">
        <f t="shared" si="126"/>
        <v>125</v>
      </c>
      <c r="AT226" s="290">
        <v>42129</v>
      </c>
      <c r="AU226" s="298"/>
      <c r="AV226"/>
      <c r="AW226"/>
      <c r="AX226"/>
      <c r="AY226"/>
      <c r="AZ226"/>
      <c r="BA226"/>
      <c r="BB226"/>
      <c r="BC226"/>
      <c r="BD226"/>
      <c r="BE226"/>
      <c r="BF226" s="277">
        <v>-5.8659529685974121</v>
      </c>
      <c r="BG226" s="283">
        <v>42233</v>
      </c>
      <c r="BH226"/>
      <c r="BI226"/>
      <c r="BJ226"/>
      <c r="BK226"/>
      <c r="BL226" s="277">
        <v>62.227951049804688</v>
      </c>
      <c r="BM226" s="283">
        <v>42233</v>
      </c>
      <c r="BN226"/>
      <c r="BO226"/>
      <c r="BP226" s="277">
        <v>3.4808309078216553</v>
      </c>
      <c r="BQ226" s="283">
        <v>42233</v>
      </c>
      <c r="BR226" s="277">
        <v>49.414543151855469</v>
      </c>
      <c r="BS226" s="283">
        <v>42233</v>
      </c>
      <c r="BT226" s="277">
        <v>17.433557510375977</v>
      </c>
      <c r="BU226" s="283">
        <v>42233</v>
      </c>
      <c r="BV226" s="277">
        <v>58.163597106933594</v>
      </c>
      <c r="BW226" s="283">
        <v>42233</v>
      </c>
      <c r="BX226" s="277">
        <v>5.3580322265625</v>
      </c>
      <c r="BY226" s="283">
        <v>42233</v>
      </c>
      <c r="BZ226"/>
      <c r="CA226" s="136"/>
      <c r="CB226" s="266">
        <v>2.2999999999999998</v>
      </c>
      <c r="CC226"/>
      <c r="CD226" s="277">
        <v>7.0175438596491295</v>
      </c>
      <c r="CE226" s="291" t="s">
        <v>8403</v>
      </c>
      <c r="CF226"/>
      <c r="CG226"/>
      <c r="CH226">
        <v>1</v>
      </c>
      <c r="CI226">
        <v>3</v>
      </c>
      <c r="CK226"/>
      <c r="CL226">
        <v>3</v>
      </c>
      <c r="CM226" s="259">
        <v>42161</v>
      </c>
      <c r="CN226" s="137" t="s">
        <v>8406</v>
      </c>
    </row>
    <row r="227" spans="1:92" s="227" customFormat="1">
      <c r="A227" s="258">
        <v>373</v>
      </c>
      <c r="B227" s="235">
        <v>373</v>
      </c>
      <c r="C227" s="235" t="s">
        <v>7615</v>
      </c>
      <c r="D227" s="235" t="s">
        <v>7452</v>
      </c>
      <c r="E227" s="235" t="s">
        <v>7615</v>
      </c>
      <c r="F227" s="235" t="s">
        <v>8529</v>
      </c>
      <c r="G227" s="235" t="str">
        <f t="shared" si="120"/>
        <v>Rapsodyn</v>
      </c>
      <c r="H227" s="235" t="s">
        <v>265</v>
      </c>
      <c r="I227" s="235">
        <v>1</v>
      </c>
      <c r="J227" s="235">
        <v>9008</v>
      </c>
      <c r="K227" s="235">
        <v>66</v>
      </c>
      <c r="L227" s="235">
        <f t="shared" si="112"/>
        <v>66</v>
      </c>
      <c r="M227" s="235">
        <v>6</v>
      </c>
      <c r="N227" s="235">
        <v>7</v>
      </c>
      <c r="O227" s="248">
        <v>42048</v>
      </c>
      <c r="P227" s="223">
        <v>4.55</v>
      </c>
      <c r="Q227" s="264">
        <v>42204</v>
      </c>
      <c r="R227" s="223"/>
      <c r="S227" s="223"/>
      <c r="T227" s="223"/>
      <c r="U227" s="225"/>
      <c r="V227" s="219">
        <f t="shared" si="121"/>
        <v>14.550620808671225</v>
      </c>
      <c r="W227" s="224"/>
      <c r="X227">
        <v>15.55</v>
      </c>
      <c r="Y227" s="223"/>
      <c r="Z227" s="223"/>
      <c r="AA227" s="223"/>
      <c r="AB227" s="220">
        <f t="shared" si="122"/>
        <v>4.2842471774061384</v>
      </c>
      <c r="AC227" s="224"/>
      <c r="AD227" s="221">
        <f t="shared" si="123"/>
        <v>64328.200010353197</v>
      </c>
      <c r="AE227" s="224"/>
      <c r="AF227" s="220">
        <f t="shared" si="124"/>
        <v>27.082172204358695</v>
      </c>
      <c r="AG227" s="224"/>
      <c r="AH227" s="220">
        <f t="shared" si="125"/>
        <v>30.367988567345474</v>
      </c>
      <c r="AI227" s="224"/>
      <c r="AJ227">
        <v>4.21</v>
      </c>
      <c r="AK227" s="290" t="s">
        <v>8399</v>
      </c>
      <c r="AL227" s="223">
        <v>170</v>
      </c>
      <c r="AM227" s="223"/>
      <c r="AN227" s="241">
        <v>70</v>
      </c>
      <c r="AO227" s="242">
        <v>42074</v>
      </c>
      <c r="AP227" s="255">
        <v>110</v>
      </c>
      <c r="AQ227" s="242">
        <v>42114</v>
      </c>
      <c r="AR227" s="223">
        <v>131</v>
      </c>
      <c r="AS227" s="297">
        <f t="shared" si="126"/>
        <v>131</v>
      </c>
      <c r="AT227" s="290">
        <v>42135</v>
      </c>
      <c r="AU227" s="298"/>
      <c r="AV227" s="223"/>
      <c r="AW227" s="223"/>
      <c r="AX227" s="223"/>
      <c r="AY227" s="223"/>
      <c r="AZ227" s="223"/>
      <c r="BA227" s="223"/>
      <c r="BB227" s="223"/>
      <c r="BC227" s="223"/>
      <c r="BD227" s="223"/>
      <c r="BE227" s="223"/>
      <c r="BF227" s="281">
        <v>45.637336730957031</v>
      </c>
      <c r="BG227" s="283">
        <v>42233</v>
      </c>
      <c r="BH227" s="223"/>
      <c r="BI227" s="223"/>
      <c r="BJ227" s="223"/>
      <c r="BK227" s="223"/>
      <c r="BL227" s="281">
        <v>63.342491149902344</v>
      </c>
      <c r="BM227" s="283">
        <v>42233</v>
      </c>
      <c r="BN227" s="223"/>
      <c r="BO227" s="223"/>
      <c r="BP227" s="281">
        <v>3.0571169853210449</v>
      </c>
      <c r="BQ227" s="283">
        <v>42233</v>
      </c>
      <c r="BR227" s="281">
        <v>53.727672576904297</v>
      </c>
      <c r="BS227" s="283">
        <v>42233</v>
      </c>
      <c r="BT227" s="281">
        <v>15.819437026977539</v>
      </c>
      <c r="BU227" s="283">
        <v>42233</v>
      </c>
      <c r="BV227" s="281">
        <v>54.397621154785156</v>
      </c>
      <c r="BW227" s="283">
        <v>42233</v>
      </c>
      <c r="BX227" s="281">
        <v>5.0615005493164062</v>
      </c>
      <c r="BY227" s="283">
        <v>42233</v>
      </c>
      <c r="BZ227" s="223"/>
      <c r="CA227" s="226"/>
      <c r="CB227" s="266">
        <v>3.69</v>
      </c>
      <c r="CC227" s="223"/>
      <c r="CD227" s="281">
        <v>5.5555555555555687</v>
      </c>
      <c r="CE227" s="291" t="s">
        <v>8399</v>
      </c>
      <c r="CF227" s="223"/>
      <c r="CG227" s="223"/>
      <c r="CH227" s="223">
        <v>1</v>
      </c>
      <c r="CI227" s="223">
        <v>3</v>
      </c>
      <c r="CK227" s="223"/>
      <c r="CL227" s="223"/>
      <c r="CM227" s="259">
        <v>42161</v>
      </c>
      <c r="CN227" s="137" t="s">
        <v>8406</v>
      </c>
    </row>
    <row r="228" spans="1:92" s="227" customFormat="1">
      <c r="A228" s="258">
        <v>374</v>
      </c>
      <c r="B228" s="235">
        <v>374</v>
      </c>
      <c r="C228" s="235" t="s">
        <v>7762</v>
      </c>
      <c r="D228" s="235" t="s">
        <v>7839</v>
      </c>
      <c r="E228" s="235" t="s">
        <v>7762</v>
      </c>
      <c r="F228" s="235" t="s">
        <v>8627</v>
      </c>
      <c r="G228" s="235" t="str">
        <f t="shared" si="120"/>
        <v>Rapsodyn</v>
      </c>
      <c r="H228" s="235" t="s">
        <v>265</v>
      </c>
      <c r="I228" s="235">
        <v>1</v>
      </c>
      <c r="J228" s="235">
        <v>9133</v>
      </c>
      <c r="K228" s="235">
        <v>65</v>
      </c>
      <c r="L228" s="235">
        <f t="shared" si="112"/>
        <v>65</v>
      </c>
      <c r="M228" s="235">
        <v>6</v>
      </c>
      <c r="N228" s="235">
        <v>5</v>
      </c>
      <c r="O228" s="248">
        <v>42048</v>
      </c>
      <c r="P228" s="223">
        <v>4.4000000000000004</v>
      </c>
      <c r="Q228" s="264">
        <v>42204</v>
      </c>
      <c r="R228" s="223"/>
      <c r="S228" s="223"/>
      <c r="T228" s="223"/>
      <c r="U228" s="225"/>
      <c r="V228" s="219">
        <f t="shared" si="121"/>
        <v>13.351524027617042</v>
      </c>
      <c r="W228" s="224"/>
      <c r="X228">
        <v>15.55</v>
      </c>
      <c r="Y228" s="223"/>
      <c r="Z228" s="223"/>
      <c r="AA228" s="223"/>
      <c r="AB228" s="220">
        <f t="shared" si="122"/>
        <v>4.5730664088216102</v>
      </c>
      <c r="AC228" s="224"/>
      <c r="AD228" s="221">
        <f t="shared" si="123"/>
        <v>55317.561914745631</v>
      </c>
      <c r="AE228" s="224"/>
      <c r="AF228" s="220">
        <f t="shared" si="124"/>
        <v>26.773699966736885</v>
      </c>
      <c r="AG228" s="224"/>
      <c r="AH228" s="220">
        <f t="shared" si="125"/>
        <v>30.022090117444368</v>
      </c>
      <c r="AI228" s="224"/>
      <c r="AJ228">
        <v>4.84</v>
      </c>
      <c r="AK228" s="290" t="s">
        <v>8399</v>
      </c>
      <c r="AL228" s="223">
        <v>145</v>
      </c>
      <c r="AM228" s="223"/>
      <c r="AN228" s="241">
        <v>70</v>
      </c>
      <c r="AO228" s="242">
        <v>42074</v>
      </c>
      <c r="AP228" s="255">
        <v>104</v>
      </c>
      <c r="AQ228" s="242">
        <v>42108</v>
      </c>
      <c r="AR228" s="223">
        <v>126</v>
      </c>
      <c r="AS228" s="297">
        <f t="shared" si="126"/>
        <v>126</v>
      </c>
      <c r="AT228" s="290">
        <v>42130</v>
      </c>
      <c r="AU228" s="298"/>
      <c r="AV228" s="223"/>
      <c r="AW228" s="223"/>
      <c r="AX228" s="223"/>
      <c r="AY228" s="223"/>
      <c r="AZ228" s="223"/>
      <c r="BA228" s="223"/>
      <c r="BB228" s="223"/>
      <c r="BC228" s="223"/>
      <c r="BD228" s="223"/>
      <c r="BE228" s="223"/>
      <c r="BF228" s="281">
        <v>2.1809558868408203</v>
      </c>
      <c r="BG228" s="283">
        <v>42233</v>
      </c>
      <c r="BH228" s="223"/>
      <c r="BI228" s="223"/>
      <c r="BJ228" s="223"/>
      <c r="BK228" s="223"/>
      <c r="BL228" s="281">
        <v>63.877582550048828</v>
      </c>
      <c r="BM228" s="283">
        <v>42233</v>
      </c>
      <c r="BN228" s="223"/>
      <c r="BO228" s="223"/>
      <c r="BP228" s="281">
        <v>3.4134891033172607</v>
      </c>
      <c r="BQ228" s="283">
        <v>42233</v>
      </c>
      <c r="BR228" s="281">
        <v>49.868057250976563</v>
      </c>
      <c r="BS228" s="283">
        <v>42233</v>
      </c>
      <c r="BT228" s="281">
        <v>17.080442428588867</v>
      </c>
      <c r="BU228" s="283">
        <v>42233</v>
      </c>
      <c r="BV228" s="281">
        <v>14.298270225524902</v>
      </c>
      <c r="BW228" s="283">
        <v>42233</v>
      </c>
      <c r="BX228" s="281">
        <v>5.479095458984375</v>
      </c>
      <c r="BY228" s="283">
        <v>42233</v>
      </c>
      <c r="BZ228" s="223"/>
      <c r="CA228" s="226"/>
      <c r="CB228" s="266">
        <v>1.96</v>
      </c>
      <c r="CC228" s="223"/>
      <c r="CD228" s="281">
        <v>3.4482758620689689</v>
      </c>
      <c r="CE228" s="291" t="s">
        <v>8399</v>
      </c>
      <c r="CF228" s="223"/>
      <c r="CG228" s="223"/>
      <c r="CH228" s="223">
        <v>2</v>
      </c>
      <c r="CI228" s="223">
        <v>4</v>
      </c>
      <c r="CK228" s="223"/>
      <c r="CL228" s="223"/>
      <c r="CM228" s="259">
        <v>42161</v>
      </c>
      <c r="CN228" s="137" t="s">
        <v>8406</v>
      </c>
    </row>
    <row r="229" spans="1:92" s="227" customFormat="1">
      <c r="A229" s="258">
        <v>375</v>
      </c>
      <c r="B229" s="235">
        <v>375</v>
      </c>
      <c r="C229" s="235" t="s">
        <v>7635</v>
      </c>
      <c r="D229" s="235" t="s">
        <v>7468</v>
      </c>
      <c r="E229" s="235" t="s">
        <v>7635</v>
      </c>
      <c r="F229" s="235" t="s">
        <v>8507</v>
      </c>
      <c r="G229" s="235" t="str">
        <f t="shared" si="120"/>
        <v>Rapsodyn</v>
      </c>
      <c r="H229" s="235" t="s">
        <v>265</v>
      </c>
      <c r="I229" s="235">
        <v>1</v>
      </c>
      <c r="J229" s="235">
        <v>9023</v>
      </c>
      <c r="K229" s="235">
        <v>64</v>
      </c>
      <c r="L229" s="235">
        <f t="shared" si="112"/>
        <v>64</v>
      </c>
      <c r="M229" s="235">
        <v>6</v>
      </c>
      <c r="N229" s="235">
        <v>7</v>
      </c>
      <c r="O229" s="248">
        <v>42048</v>
      </c>
      <c r="P229">
        <v>4.55</v>
      </c>
      <c r="Q229" s="264">
        <v>42204</v>
      </c>
      <c r="R229"/>
      <c r="S229"/>
      <c r="T229"/>
      <c r="U229" s="153"/>
      <c r="V229" s="219">
        <f t="shared" si="121"/>
        <v>15.038210380729247</v>
      </c>
      <c r="W229" s="219"/>
      <c r="X229">
        <v>15.55</v>
      </c>
      <c r="Y229"/>
      <c r="Z229"/>
      <c r="AA229"/>
      <c r="AB229" s="220">
        <f t="shared" si="122"/>
        <v>4.1329273029576656</v>
      </c>
      <c r="AC229" s="219"/>
      <c r="AD229" s="221">
        <f t="shared" si="123"/>
        <v>62424.720293233971</v>
      </c>
      <c r="AE229" s="219"/>
      <c r="AF229" s="220">
        <f t="shared" si="124"/>
        <v>27.217178047850016</v>
      </c>
      <c r="AG229" s="219"/>
      <c r="AH229" s="220">
        <f t="shared" si="125"/>
        <v>30.519374352825761</v>
      </c>
      <c r="AI229" s="219"/>
      <c r="AJ229">
        <v>4.3600000000000003</v>
      </c>
      <c r="AK229" s="284" t="s">
        <v>8401</v>
      </c>
      <c r="AL229">
        <v>155</v>
      </c>
      <c r="AM229"/>
      <c r="AN229" s="241">
        <v>75</v>
      </c>
      <c r="AO229" s="242">
        <v>42079</v>
      </c>
      <c r="AP229" s="255">
        <v>106</v>
      </c>
      <c r="AQ229" s="242">
        <v>42110</v>
      </c>
      <c r="AR229">
        <v>131</v>
      </c>
      <c r="AS229" s="297">
        <f t="shared" si="126"/>
        <v>131</v>
      </c>
      <c r="AT229" s="290">
        <v>42135</v>
      </c>
      <c r="AU229" s="298"/>
      <c r="AV229"/>
      <c r="AW229"/>
      <c r="AX229"/>
      <c r="AY229"/>
      <c r="AZ229"/>
      <c r="BA229"/>
      <c r="BB229"/>
      <c r="BC229"/>
      <c r="BD229"/>
      <c r="BE229"/>
      <c r="BF229" s="277">
        <v>34.800125122070313</v>
      </c>
      <c r="BG229" s="283">
        <v>42233</v>
      </c>
      <c r="BH229"/>
      <c r="BI229"/>
      <c r="BJ229"/>
      <c r="BK229"/>
      <c r="BL229" s="277">
        <v>63.995723724365234</v>
      </c>
      <c r="BM229" s="283">
        <v>42233</v>
      </c>
      <c r="BN229"/>
      <c r="BO229"/>
      <c r="BP229" s="277">
        <v>3.8024849891662598</v>
      </c>
      <c r="BQ229" s="283">
        <v>42233</v>
      </c>
      <c r="BR229" s="277">
        <v>55.252643585205078</v>
      </c>
      <c r="BS229" s="283">
        <v>42233</v>
      </c>
      <c r="BT229" s="277">
        <v>15.184995651245117</v>
      </c>
      <c r="BU229" s="283">
        <v>42233</v>
      </c>
      <c r="BV229" s="277">
        <v>49.522140502929688</v>
      </c>
      <c r="BW229" s="283">
        <v>42233</v>
      </c>
      <c r="BX229" s="277">
        <v>4.8669281005859375</v>
      </c>
      <c r="BY229" s="283">
        <v>42233</v>
      </c>
      <c r="BZ229"/>
      <c r="CA229" s="136"/>
      <c r="CB229" s="266">
        <v>3.02</v>
      </c>
      <c r="CC229"/>
      <c r="CD229" s="277">
        <v>5.0847457627118757</v>
      </c>
      <c r="CE229" s="291" t="s">
        <v>8401</v>
      </c>
      <c r="CF229"/>
      <c r="CG229"/>
      <c r="CH229">
        <v>1</v>
      </c>
      <c r="CI229">
        <v>3</v>
      </c>
      <c r="CK229"/>
      <c r="CL229">
        <v>3</v>
      </c>
      <c r="CM229" s="259">
        <v>42161</v>
      </c>
      <c r="CN229" s="137" t="s">
        <v>8406</v>
      </c>
    </row>
    <row r="230" spans="1:92" s="227" customFormat="1">
      <c r="A230" s="258">
        <v>377</v>
      </c>
      <c r="B230" s="235">
        <v>377</v>
      </c>
      <c r="C230" s="235" t="s">
        <v>7641</v>
      </c>
      <c r="D230" s="235" t="s">
        <v>7473</v>
      </c>
      <c r="E230" s="235" t="s">
        <v>7641</v>
      </c>
      <c r="F230" s="235" t="s">
        <v>8523</v>
      </c>
      <c r="G230" s="235" t="str">
        <f t="shared" si="120"/>
        <v>Rapsodyn</v>
      </c>
      <c r="H230" s="235" t="s">
        <v>265</v>
      </c>
      <c r="I230" s="235">
        <v>1</v>
      </c>
      <c r="J230" s="235">
        <v>9029</v>
      </c>
      <c r="K230" s="235">
        <v>62</v>
      </c>
      <c r="L230" s="235">
        <f t="shared" si="112"/>
        <v>62</v>
      </c>
      <c r="M230" s="235">
        <v>6</v>
      </c>
      <c r="N230" s="235">
        <v>9</v>
      </c>
      <c r="O230" s="248">
        <v>42048</v>
      </c>
      <c r="P230" s="223">
        <v>3.35</v>
      </c>
      <c r="Q230" s="264">
        <v>42204</v>
      </c>
      <c r="R230" s="223"/>
      <c r="S230" s="223"/>
      <c r="T230" s="223"/>
      <c r="U230" s="225"/>
      <c r="V230" s="219">
        <f t="shared" si="121"/>
        <v>9.3478535875805555</v>
      </c>
      <c r="W230" s="224"/>
      <c r="X230">
        <v>15.55</v>
      </c>
      <c r="Y230" s="223"/>
      <c r="Z230" s="223"/>
      <c r="AA230" s="223"/>
      <c r="AB230" s="220">
        <f t="shared" si="122"/>
        <v>4.1759019558446218</v>
      </c>
      <c r="AC230" s="224"/>
      <c r="AD230" s="221">
        <f t="shared" si="123"/>
        <v>36171.518411670389</v>
      </c>
      <c r="AE230" s="224"/>
      <c r="AF230" s="220">
        <f t="shared" si="124"/>
        <v>20.039021200065395</v>
      </c>
      <c r="AG230" s="224"/>
      <c r="AH230" s="220">
        <f t="shared" si="125"/>
        <v>22.470308589443142</v>
      </c>
      <c r="AI230" s="224"/>
      <c r="AJ230">
        <v>5.54</v>
      </c>
      <c r="AK230" s="290" t="s">
        <v>8398</v>
      </c>
      <c r="AL230" s="223">
        <v>155</v>
      </c>
      <c r="AM230" s="223"/>
      <c r="AN230" s="241">
        <v>72</v>
      </c>
      <c r="AO230" s="242">
        <v>42076</v>
      </c>
      <c r="AP230" s="255">
        <v>104</v>
      </c>
      <c r="AQ230" s="242">
        <v>42108</v>
      </c>
      <c r="AR230" s="223">
        <v>128</v>
      </c>
      <c r="AS230" s="297">
        <f t="shared" si="126"/>
        <v>128</v>
      </c>
      <c r="AT230" s="290">
        <v>42132</v>
      </c>
      <c r="AU230" s="298"/>
      <c r="AV230" s="223"/>
      <c r="AW230" s="223"/>
      <c r="AX230" s="223"/>
      <c r="AY230" s="223"/>
      <c r="AZ230" s="223"/>
      <c r="BA230" s="223"/>
      <c r="BB230" s="223"/>
      <c r="BC230" s="223"/>
      <c r="BD230" s="223"/>
      <c r="BE230" s="223"/>
      <c r="BF230" s="281">
        <v>-9.6412868499755859</v>
      </c>
      <c r="BG230" s="283">
        <v>42230</v>
      </c>
      <c r="BH230" s="223"/>
      <c r="BI230" s="223"/>
      <c r="BJ230" s="223"/>
      <c r="BK230" s="223"/>
      <c r="BL230" s="281">
        <v>59.037929534912109</v>
      </c>
      <c r="BM230" s="283">
        <v>42230</v>
      </c>
      <c r="BN230" s="223"/>
      <c r="BO230" s="223"/>
      <c r="BP230" s="281">
        <v>3.9335830211639404</v>
      </c>
      <c r="BQ230" s="283">
        <v>42230</v>
      </c>
      <c r="BR230" s="281">
        <v>46.64825439453125</v>
      </c>
      <c r="BS230" s="283">
        <v>42230</v>
      </c>
      <c r="BT230" s="281">
        <v>20.838851928710938</v>
      </c>
      <c r="BU230" s="283">
        <v>42230</v>
      </c>
      <c r="BV230" s="281">
        <v>71.598564147949219</v>
      </c>
      <c r="BW230" s="283">
        <v>42230</v>
      </c>
      <c r="BX230" s="281">
        <v>5.8632278442382813</v>
      </c>
      <c r="BY230" s="283">
        <v>42230</v>
      </c>
      <c r="BZ230" s="223"/>
      <c r="CA230" s="226"/>
      <c r="CB230" s="266">
        <v>1.94</v>
      </c>
      <c r="CC230" s="223"/>
      <c r="CD230" s="281">
        <v>5.0847457627118757</v>
      </c>
      <c r="CE230" s="291" t="s">
        <v>8398</v>
      </c>
      <c r="CF230" s="223"/>
      <c r="CG230" s="223"/>
      <c r="CH230" s="223">
        <v>2</v>
      </c>
      <c r="CI230" s="223">
        <v>4</v>
      </c>
      <c r="CK230" s="223"/>
      <c r="CL230" s="223"/>
      <c r="CM230" s="259">
        <v>42161</v>
      </c>
      <c r="CN230" s="137" t="s">
        <v>8406</v>
      </c>
    </row>
    <row r="231" spans="1:92" s="227" customFormat="1">
      <c r="A231" s="258">
        <v>378</v>
      </c>
      <c r="B231" s="235">
        <v>378</v>
      </c>
      <c r="C231" s="235" t="s">
        <v>7694</v>
      </c>
      <c r="D231" s="235" t="s">
        <v>7520</v>
      </c>
      <c r="E231" s="235" t="s">
        <v>7694</v>
      </c>
      <c r="F231" s="235" t="s">
        <v>8472</v>
      </c>
      <c r="G231" s="235" t="str">
        <f t="shared" si="120"/>
        <v>Rapsodyn</v>
      </c>
      <c r="H231" s="235" t="s">
        <v>265</v>
      </c>
      <c r="I231" s="235">
        <v>1</v>
      </c>
      <c r="J231" s="235">
        <v>9076</v>
      </c>
      <c r="K231" s="235">
        <v>61</v>
      </c>
      <c r="L231" s="235">
        <f t="shared" si="112"/>
        <v>61</v>
      </c>
      <c r="M231" s="235">
        <v>6</v>
      </c>
      <c r="N231" s="235">
        <v>7</v>
      </c>
      <c r="O231" s="248">
        <v>42048</v>
      </c>
      <c r="P231" s="223">
        <v>5.0999999999999996</v>
      </c>
      <c r="Q231" s="264">
        <v>42204</v>
      </c>
      <c r="R231" s="223"/>
      <c r="S231" s="223"/>
      <c r="T231" s="223"/>
      <c r="U231" s="225"/>
      <c r="V231" s="219">
        <f t="shared" si="121"/>
        <v>15.282982106883162</v>
      </c>
      <c r="W231" s="224"/>
      <c r="X231">
        <v>15.55</v>
      </c>
      <c r="Y231" s="223"/>
      <c r="Z231" s="223"/>
      <c r="AA231" s="223"/>
      <c r="AB231" s="220">
        <f t="shared" si="122"/>
        <v>4.6485572085390157</v>
      </c>
      <c r="AC231" s="224"/>
      <c r="AD231" s="221">
        <f t="shared" si="123"/>
        <v>66464.415257264976</v>
      </c>
      <c r="AE231" s="224"/>
      <c r="AF231" s="220">
        <f t="shared" si="124"/>
        <v>30.507166603084627</v>
      </c>
      <c r="AG231" s="224"/>
      <c r="AH231" s="220">
        <f t="shared" si="125"/>
        <v>34.208529494376123</v>
      </c>
      <c r="AI231" s="224"/>
      <c r="AJ231">
        <v>4.59</v>
      </c>
      <c r="AK231" s="290" t="s">
        <v>8398</v>
      </c>
      <c r="AL231" s="223">
        <v>145</v>
      </c>
      <c r="AM231" s="223"/>
      <c r="AN231" s="241">
        <v>72</v>
      </c>
      <c r="AO231" s="242">
        <v>42076</v>
      </c>
      <c r="AP231" s="255">
        <v>106</v>
      </c>
      <c r="AQ231" s="242">
        <v>42110</v>
      </c>
      <c r="AR231" s="223">
        <v>131</v>
      </c>
      <c r="AS231" s="297">
        <f t="shared" si="126"/>
        <v>131</v>
      </c>
      <c r="AT231" s="290">
        <v>42135</v>
      </c>
      <c r="AU231" s="298"/>
      <c r="AV231" s="223"/>
      <c r="AW231" s="223"/>
      <c r="AX231" s="223"/>
      <c r="AY231" s="223"/>
      <c r="AZ231" s="223"/>
      <c r="BA231" s="223"/>
      <c r="BB231" s="223"/>
      <c r="BC231" s="223"/>
      <c r="BD231" s="223"/>
      <c r="BE231" s="223"/>
      <c r="BF231" s="281">
        <v>-0.24182100594043732</v>
      </c>
      <c r="BG231" s="283">
        <v>42230</v>
      </c>
      <c r="BH231" s="223"/>
      <c r="BI231" s="223"/>
      <c r="BJ231" s="223"/>
      <c r="BK231" s="223"/>
      <c r="BL231" s="281">
        <v>67.361869812011719</v>
      </c>
      <c r="BM231" s="283">
        <v>42230</v>
      </c>
      <c r="BN231" s="223"/>
      <c r="BO231" s="223"/>
      <c r="BP231" s="281">
        <v>3.7408850193023682</v>
      </c>
      <c r="BQ231" s="283">
        <v>42230</v>
      </c>
      <c r="BR231" s="281">
        <v>50.096366882324219</v>
      </c>
      <c r="BS231" s="283">
        <v>42230</v>
      </c>
      <c r="BT231" s="281">
        <v>15.237590789794922</v>
      </c>
      <c r="BU231" s="283">
        <v>42230</v>
      </c>
      <c r="BV231" s="281">
        <v>15.316659927368164</v>
      </c>
      <c r="BW231" s="283">
        <v>42230</v>
      </c>
      <c r="BX231" s="281">
        <v>5.55438232421875</v>
      </c>
      <c r="BY231" s="283">
        <v>42230</v>
      </c>
      <c r="BZ231" s="223"/>
      <c r="CA231" s="226"/>
      <c r="CB231" s="266">
        <v>2.15</v>
      </c>
      <c r="CC231" s="223"/>
      <c r="CD231" s="281">
        <v>5.0847457627118757</v>
      </c>
      <c r="CE231" s="291" t="s">
        <v>8398</v>
      </c>
      <c r="CF231" s="223"/>
      <c r="CG231" s="223"/>
      <c r="CH231" s="223">
        <v>2</v>
      </c>
      <c r="CI231" s="223">
        <v>2</v>
      </c>
      <c r="CK231" s="223"/>
      <c r="CL231" s="223"/>
      <c r="CM231" s="259">
        <v>42161</v>
      </c>
      <c r="CN231" s="137" t="s">
        <v>8406</v>
      </c>
    </row>
    <row r="232" spans="1:92" s="227" customFormat="1">
      <c r="A232" s="258">
        <v>382</v>
      </c>
      <c r="B232" s="235">
        <v>382</v>
      </c>
      <c r="C232" s="235" t="s">
        <v>7715</v>
      </c>
      <c r="D232" s="235" t="s">
        <v>7539</v>
      </c>
      <c r="E232" s="235" t="s">
        <v>7715</v>
      </c>
      <c r="F232" s="235" t="s">
        <v>8449</v>
      </c>
      <c r="G232" s="235" t="str">
        <f t="shared" si="120"/>
        <v>Rapsodyn</v>
      </c>
      <c r="H232" s="235" t="s">
        <v>265</v>
      </c>
      <c r="I232" s="235">
        <v>1</v>
      </c>
      <c r="J232" s="235">
        <v>9097</v>
      </c>
      <c r="K232" s="235">
        <v>57</v>
      </c>
      <c r="L232" s="235">
        <f t="shared" si="112"/>
        <v>57</v>
      </c>
      <c r="M232" s="235">
        <v>6</v>
      </c>
      <c r="N232" s="235">
        <v>7</v>
      </c>
      <c r="O232" s="248">
        <v>42048</v>
      </c>
      <c r="P232">
        <v>4.45</v>
      </c>
      <c r="Q232" s="264">
        <v>42204</v>
      </c>
      <c r="R232"/>
      <c r="S232"/>
      <c r="T232"/>
      <c r="U232" s="153"/>
      <c r="V232" s="219">
        <f t="shared" si="121"/>
        <v>13.54662839277041</v>
      </c>
      <c r="W232" s="219"/>
      <c r="X232">
        <v>15.55</v>
      </c>
      <c r="Y232"/>
      <c r="Z232"/>
      <c r="AA232"/>
      <c r="AB232" s="220">
        <f t="shared" si="122"/>
        <v>4.0014855243595147</v>
      </c>
      <c r="AC232" s="219"/>
      <c r="AD232" s="221">
        <f t="shared" si="123"/>
        <v>56533.252856737665</v>
      </c>
      <c r="AE232" s="219"/>
      <c r="AF232" s="220">
        <f t="shared" si="124"/>
        <v>26.457562336953224</v>
      </c>
      <c r="AG232" s="219"/>
      <c r="AH232" s="220">
        <f t="shared" si="125"/>
        <v>29.667596251349206</v>
      </c>
      <c r="AI232" s="219"/>
      <c r="AJ232">
        <v>4.68</v>
      </c>
      <c r="AK232" s="284" t="s">
        <v>8401</v>
      </c>
      <c r="AL232">
        <v>165</v>
      </c>
      <c r="AM232"/>
      <c r="AN232" s="241">
        <v>70</v>
      </c>
      <c r="AO232" s="242">
        <v>42074</v>
      </c>
      <c r="AP232" s="255">
        <v>104</v>
      </c>
      <c r="AQ232" s="242">
        <v>42108</v>
      </c>
      <c r="AR232" s="223">
        <v>127</v>
      </c>
      <c r="AS232" s="297">
        <f t="shared" si="126"/>
        <v>127</v>
      </c>
      <c r="AT232" s="290">
        <v>42131</v>
      </c>
      <c r="AU232" s="298"/>
      <c r="AV232"/>
      <c r="AW232"/>
      <c r="AX232"/>
      <c r="AY232"/>
      <c r="AZ232"/>
      <c r="BA232"/>
      <c r="BB232"/>
      <c r="BC232"/>
      <c r="BD232"/>
      <c r="BE232"/>
      <c r="BF232" s="277">
        <v>-4.5248661041259766</v>
      </c>
      <c r="BG232" s="283">
        <v>42233</v>
      </c>
      <c r="BH232"/>
      <c r="BI232"/>
      <c r="BJ232"/>
      <c r="BK232"/>
      <c r="BL232" s="277">
        <v>61.546821594238281</v>
      </c>
      <c r="BM232" s="283">
        <v>42233</v>
      </c>
      <c r="BN232"/>
      <c r="BO232"/>
      <c r="BP232" s="277">
        <v>4.1117358207702637</v>
      </c>
      <c r="BQ232" s="283">
        <v>42233</v>
      </c>
      <c r="BR232" s="277">
        <v>51.201347351074219</v>
      </c>
      <c r="BS232" s="283">
        <v>42233</v>
      </c>
      <c r="BT232" s="277">
        <v>15.124165534973145</v>
      </c>
      <c r="BU232" s="283">
        <v>42233</v>
      </c>
      <c r="BV232" s="277">
        <v>8.5955467224121094</v>
      </c>
      <c r="BW232" s="283">
        <v>42233</v>
      </c>
      <c r="BX232" s="277">
        <v>5.142242431640625</v>
      </c>
      <c r="BY232" s="283">
        <v>42233</v>
      </c>
      <c r="BZ232"/>
      <c r="CA232" s="136"/>
      <c r="CB232" s="266">
        <v>1.67</v>
      </c>
      <c r="CC232"/>
      <c r="CD232" s="277">
        <v>5.660377358490563</v>
      </c>
      <c r="CE232" s="291" t="s">
        <v>8401</v>
      </c>
      <c r="CF232"/>
      <c r="CG232"/>
      <c r="CH232">
        <v>2</v>
      </c>
      <c r="CI232">
        <v>5</v>
      </c>
      <c r="CK232"/>
      <c r="CL232"/>
      <c r="CM232" s="259">
        <v>42161</v>
      </c>
      <c r="CN232" s="137" t="s">
        <v>8406</v>
      </c>
    </row>
    <row r="233" spans="1:92" s="227" customFormat="1">
      <c r="A233" s="258">
        <v>383</v>
      </c>
      <c r="B233" s="235">
        <v>383</v>
      </c>
      <c r="C233" s="235" t="s">
        <v>7850</v>
      </c>
      <c r="D233" s="235" t="s">
        <v>8422</v>
      </c>
      <c r="E233" s="235" t="s">
        <v>8461</v>
      </c>
      <c r="F233" s="235" t="s">
        <v>8487</v>
      </c>
      <c r="G233" s="235" t="str">
        <f t="shared" si="120"/>
        <v>Rapsodyn</v>
      </c>
      <c r="H233" s="235" t="s">
        <v>265</v>
      </c>
      <c r="I233" s="235">
        <v>1</v>
      </c>
      <c r="J233" s="235">
        <v>9357</v>
      </c>
      <c r="K233" s="235">
        <v>56</v>
      </c>
      <c r="L233" s="235">
        <f t="shared" si="112"/>
        <v>56</v>
      </c>
      <c r="M233" s="235">
        <v>6</v>
      </c>
      <c r="N233" s="235">
        <v>7</v>
      </c>
      <c r="O233" s="248">
        <v>42048</v>
      </c>
      <c r="P233">
        <v>5.3</v>
      </c>
      <c r="Q233" s="264">
        <v>42204</v>
      </c>
      <c r="R233"/>
      <c r="S233"/>
      <c r="T233"/>
      <c r="U233" s="153"/>
      <c r="V233" s="219">
        <f t="shared" si="121"/>
        <v>16.263170541539729</v>
      </c>
      <c r="W233" s="219"/>
      <c r="X233">
        <v>15.55</v>
      </c>
      <c r="Y233"/>
      <c r="Z233"/>
      <c r="AA233"/>
      <c r="AB233" s="220">
        <f t="shared" si="122"/>
        <v>5.0218707348183207</v>
      </c>
      <c r="AC233" s="219"/>
      <c r="AD233" s="221">
        <f t="shared" si="123"/>
        <v>71936.231995999522</v>
      </c>
      <c r="AE233" s="219"/>
      <c r="AF233" s="220">
        <f t="shared" si="124"/>
        <v>31.580005846243786</v>
      </c>
      <c r="AG233" s="219"/>
      <c r="AH233" s="220">
        <f t="shared" si="125"/>
        <v>35.411533803816766</v>
      </c>
      <c r="AI233" s="219"/>
      <c r="AJ233">
        <v>4.3899999999999997</v>
      </c>
      <c r="AK233" s="284" t="s">
        <v>8399</v>
      </c>
      <c r="AL233">
        <v>165</v>
      </c>
      <c r="AM233"/>
      <c r="AN233" s="241">
        <v>70</v>
      </c>
      <c r="AO233" s="242">
        <v>42074</v>
      </c>
      <c r="AP233" s="255">
        <v>104</v>
      </c>
      <c r="AQ233" s="242">
        <v>42108</v>
      </c>
      <c r="AR233" s="223">
        <v>123</v>
      </c>
      <c r="AS233" s="297">
        <f t="shared" si="126"/>
        <v>123</v>
      </c>
      <c r="AT233" s="290">
        <v>42127</v>
      </c>
      <c r="AU233" s="298"/>
      <c r="AV233"/>
      <c r="AW233"/>
      <c r="AX233"/>
      <c r="AY233"/>
      <c r="AZ233"/>
      <c r="BA233"/>
      <c r="BB233"/>
      <c r="BC233"/>
      <c r="BD233"/>
      <c r="BE233"/>
      <c r="BF233" s="277">
        <v>-6.1354689598083496</v>
      </c>
      <c r="BG233" s="283">
        <v>42234</v>
      </c>
      <c r="BH233"/>
      <c r="BI233"/>
      <c r="BJ233"/>
      <c r="BK233"/>
      <c r="BL233" s="277">
        <v>65.535964965820313</v>
      </c>
      <c r="BM233" s="283">
        <v>42234</v>
      </c>
      <c r="BN233"/>
      <c r="BO233"/>
      <c r="BP233" s="277">
        <v>2.8123679161071777</v>
      </c>
      <c r="BQ233" s="283">
        <v>42234</v>
      </c>
      <c r="BR233" s="277">
        <v>51.498313903808594</v>
      </c>
      <c r="BS233" s="283">
        <v>42234</v>
      </c>
      <c r="BT233" s="277">
        <v>15.902057647705078</v>
      </c>
      <c r="BU233" s="283">
        <v>42234</v>
      </c>
      <c r="BV233" s="277">
        <v>19.160856246948242</v>
      </c>
      <c r="BW233" s="283">
        <v>42234</v>
      </c>
      <c r="BX233" s="277">
        <v>5.1507339477539062</v>
      </c>
      <c r="BY233" s="283">
        <v>42234</v>
      </c>
      <c r="BZ233"/>
      <c r="CA233" s="136"/>
      <c r="CB233" s="266">
        <v>2.1800000000000002</v>
      </c>
      <c r="CC233"/>
      <c r="CD233" s="277">
        <v>5.4545454545454515</v>
      </c>
      <c r="CE233" s="291" t="s">
        <v>8399</v>
      </c>
      <c r="CF233"/>
      <c r="CG233"/>
      <c r="CH233">
        <v>3</v>
      </c>
      <c r="CI233">
        <v>2</v>
      </c>
      <c r="CK233"/>
      <c r="CL233"/>
      <c r="CM233" s="259">
        <v>42161</v>
      </c>
      <c r="CN233" s="137" t="s">
        <v>8406</v>
      </c>
    </row>
    <row r="234" spans="1:92" s="227" customFormat="1">
      <c r="A234" s="258">
        <v>384</v>
      </c>
      <c r="B234" s="235">
        <v>384</v>
      </c>
      <c r="C234" s="235" t="s">
        <v>7618</v>
      </c>
      <c r="D234" s="235" t="s">
        <v>263</v>
      </c>
      <c r="E234" s="235" t="s">
        <v>7618</v>
      </c>
      <c r="F234" s="235" t="s">
        <v>8565</v>
      </c>
      <c r="G234" s="235" t="str">
        <f t="shared" si="120"/>
        <v>Rapsodyn</v>
      </c>
      <c r="H234" s="235" t="s">
        <v>265</v>
      </c>
      <c r="I234" s="235">
        <v>1</v>
      </c>
      <c r="J234" s="235">
        <v>9011</v>
      </c>
      <c r="K234" s="235">
        <v>55</v>
      </c>
      <c r="L234" s="235">
        <f t="shared" si="112"/>
        <v>55</v>
      </c>
      <c r="M234" s="235">
        <v>6</v>
      </c>
      <c r="N234" s="236">
        <v>9</v>
      </c>
      <c r="O234" s="248">
        <v>42048</v>
      </c>
      <c r="P234">
        <v>2.95</v>
      </c>
      <c r="Q234" s="264">
        <v>42204</v>
      </c>
      <c r="R234"/>
      <c r="S234"/>
      <c r="T234"/>
      <c r="U234" s="153"/>
      <c r="V234" s="219">
        <f t="shared" si="121"/>
        <v>8.4939462978203579</v>
      </c>
      <c r="W234" s="219"/>
      <c r="X234">
        <v>15.55</v>
      </c>
      <c r="Y234"/>
      <c r="Z234"/>
      <c r="AA234"/>
      <c r="AB234" s="220">
        <f t="shared" si="122"/>
        <v>3.585313900505998</v>
      </c>
      <c r="AC234" s="219"/>
      <c r="AD234" s="221">
        <f t="shared" si="123"/>
        <v>40636.626244773986</v>
      </c>
      <c r="AE234" s="219"/>
      <c r="AF234" s="220">
        <f t="shared" si="124"/>
        <v>17.595659163987136</v>
      </c>
      <c r="AG234" s="219"/>
      <c r="AH234" s="220">
        <f t="shared" si="125"/>
        <v>19.730499174688426</v>
      </c>
      <c r="AI234" s="219"/>
      <c r="AJ234">
        <v>4.33</v>
      </c>
      <c r="AK234" s="284" t="s">
        <v>8399</v>
      </c>
      <c r="AL234">
        <v>140</v>
      </c>
      <c r="AM234"/>
      <c r="AN234" s="241">
        <v>72</v>
      </c>
      <c r="AO234" s="242">
        <v>42076</v>
      </c>
      <c r="AP234" s="255">
        <v>104</v>
      </c>
      <c r="AQ234" s="242">
        <v>42108</v>
      </c>
      <c r="AR234" s="223">
        <v>127</v>
      </c>
      <c r="AS234" s="297">
        <f t="shared" si="126"/>
        <v>127</v>
      </c>
      <c r="AT234" s="290">
        <v>42131</v>
      </c>
      <c r="AU234" s="298"/>
      <c r="AV234"/>
      <c r="AW234"/>
      <c r="AX234"/>
      <c r="AY234"/>
      <c r="AZ234"/>
      <c r="BA234"/>
      <c r="BB234"/>
      <c r="BC234"/>
      <c r="BD234"/>
      <c r="BE234"/>
      <c r="BF234" s="277">
        <v>31.93745231628418</v>
      </c>
      <c r="BG234" s="283">
        <v>42234</v>
      </c>
      <c r="BH234"/>
      <c r="BI234"/>
      <c r="BJ234"/>
      <c r="BK234"/>
      <c r="BL234" s="277">
        <v>61.25067138671875</v>
      </c>
      <c r="BM234" s="283">
        <v>42234</v>
      </c>
      <c r="BN234"/>
      <c r="BO234"/>
      <c r="BP234" s="277">
        <v>2.3410379886627197</v>
      </c>
      <c r="BQ234" s="283">
        <v>42234</v>
      </c>
      <c r="BR234" s="277">
        <v>48.272964477539063</v>
      </c>
      <c r="BS234" s="283">
        <v>42234</v>
      </c>
      <c r="BT234" s="277">
        <v>20.376127243041992</v>
      </c>
      <c r="BU234" s="283">
        <v>42234</v>
      </c>
      <c r="BV234" s="277">
        <v>57.980278015136719</v>
      </c>
      <c r="BW234" s="283">
        <v>42234</v>
      </c>
      <c r="BX234" s="277">
        <v>5.5946273803710937</v>
      </c>
      <c r="BY234" s="283">
        <v>42234</v>
      </c>
      <c r="BZ234"/>
      <c r="CA234" s="136"/>
      <c r="CB234" s="266">
        <v>2.29</v>
      </c>
      <c r="CC234"/>
      <c r="CD234" s="277">
        <v>5.3571428571428541</v>
      </c>
      <c r="CE234" s="291" t="s">
        <v>8399</v>
      </c>
      <c r="CF234"/>
      <c r="CG234"/>
      <c r="CH234">
        <v>2</v>
      </c>
      <c r="CI234">
        <v>2</v>
      </c>
      <c r="CK234"/>
      <c r="CL234"/>
      <c r="CM234" s="259">
        <v>42161</v>
      </c>
      <c r="CN234" s="137" t="s">
        <v>8406</v>
      </c>
    </row>
    <row r="235" spans="1:92" s="227" customFormat="1">
      <c r="A235" s="258">
        <v>385</v>
      </c>
      <c r="B235" s="235">
        <v>385</v>
      </c>
      <c r="C235" s="238" t="s">
        <v>7785</v>
      </c>
      <c r="D235" s="238" t="s">
        <v>7583</v>
      </c>
      <c r="E235" s="238" t="s">
        <v>7785</v>
      </c>
      <c r="F235" s="238" t="s">
        <v>8595</v>
      </c>
      <c r="G235" s="235" t="str">
        <f t="shared" si="120"/>
        <v>Rapsodyn</v>
      </c>
      <c r="H235" s="235" t="s">
        <v>265</v>
      </c>
      <c r="I235" s="235">
        <v>1</v>
      </c>
      <c r="J235" s="238">
        <v>9156</v>
      </c>
      <c r="K235" s="238">
        <v>54</v>
      </c>
      <c r="L235" s="235">
        <f t="shared" si="112"/>
        <v>54</v>
      </c>
      <c r="M235" s="238">
        <v>6</v>
      </c>
      <c r="N235" s="235">
        <v>7</v>
      </c>
      <c r="O235" s="248">
        <v>42048</v>
      </c>
      <c r="P235">
        <v>4.6500000000000004</v>
      </c>
      <c r="Q235" s="264">
        <v>42204</v>
      </c>
      <c r="R235"/>
      <c r="S235"/>
      <c r="T235"/>
      <c r="U235" s="153"/>
      <c r="V235" s="219">
        <f t="shared" si="121"/>
        <v>14.247986880948167</v>
      </c>
      <c r="W235" s="219"/>
      <c r="X235">
        <v>15.55</v>
      </c>
      <c r="Y235"/>
      <c r="Z235"/>
      <c r="AA235"/>
      <c r="AB235" s="220">
        <f t="shared" si="122"/>
        <v>4.5934672168984125</v>
      </c>
      <c r="AC235" s="219"/>
      <c r="AD235" s="221">
        <f t="shared" si="123"/>
        <v>54867.733751087828</v>
      </c>
      <c r="AE235" s="219"/>
      <c r="AF235" s="220">
        <f t="shared" si="124"/>
        <v>27.763073278050438</v>
      </c>
      <c r="AG235" s="219"/>
      <c r="AH235" s="220">
        <f t="shared" si="125"/>
        <v>31.131501769511591</v>
      </c>
      <c r="AI235" s="219"/>
      <c r="AJ235">
        <v>5.0599999999999996</v>
      </c>
      <c r="AK235" s="284" t="s">
        <v>8399</v>
      </c>
      <c r="AL235">
        <v>160</v>
      </c>
      <c r="AM235"/>
      <c r="AN235" s="241">
        <v>63</v>
      </c>
      <c r="AO235" s="246">
        <v>42067</v>
      </c>
      <c r="AP235" s="255">
        <v>100</v>
      </c>
      <c r="AQ235" s="242">
        <v>42104</v>
      </c>
      <c r="AR235" s="223">
        <v>123</v>
      </c>
      <c r="AS235" s="297">
        <f t="shared" si="126"/>
        <v>123</v>
      </c>
      <c r="AT235" s="290">
        <v>42127</v>
      </c>
      <c r="AU235" s="298"/>
      <c r="AV235"/>
      <c r="AW235"/>
      <c r="AX235"/>
      <c r="AY235"/>
      <c r="AZ235"/>
      <c r="BA235"/>
      <c r="BB235"/>
      <c r="BC235"/>
      <c r="BD235"/>
      <c r="BE235"/>
      <c r="BF235" s="277">
        <v>-3.8850860595703125</v>
      </c>
      <c r="BG235" s="283">
        <v>42233</v>
      </c>
      <c r="BH235"/>
      <c r="BI235"/>
      <c r="BJ235"/>
      <c r="BK235"/>
      <c r="BL235" s="277">
        <v>65.002609252929688</v>
      </c>
      <c r="BM235" s="283">
        <v>42233</v>
      </c>
      <c r="BN235"/>
      <c r="BO235"/>
      <c r="BP235" s="277">
        <v>3.3155341148376465</v>
      </c>
      <c r="BQ235" s="283">
        <v>42233</v>
      </c>
      <c r="BR235" s="277">
        <v>51.319919586181641</v>
      </c>
      <c r="BS235" s="283">
        <v>42233</v>
      </c>
      <c r="BT235" s="277">
        <v>16.54524040222168</v>
      </c>
      <c r="BU235" s="283">
        <v>42233</v>
      </c>
      <c r="BV235" s="277">
        <v>11.582961082458496</v>
      </c>
      <c r="BW235" s="283">
        <v>42233</v>
      </c>
      <c r="BX235" s="277">
        <v>5.402435302734375</v>
      </c>
      <c r="BY235" s="283">
        <v>42233</v>
      </c>
      <c r="BZ235"/>
      <c r="CA235" s="136"/>
      <c r="CB235" s="266">
        <v>1.63</v>
      </c>
      <c r="CC235"/>
      <c r="CD235" s="277">
        <v>5.2631578947368389</v>
      </c>
      <c r="CE235" s="291" t="s">
        <v>8399</v>
      </c>
      <c r="CF235"/>
      <c r="CG235"/>
      <c r="CH235">
        <v>2</v>
      </c>
      <c r="CI235">
        <v>2</v>
      </c>
      <c r="CK235"/>
      <c r="CL235"/>
      <c r="CM235" s="259">
        <v>42161</v>
      </c>
      <c r="CN235" s="137" t="s">
        <v>8406</v>
      </c>
    </row>
    <row r="236" spans="1:92" s="227" customFormat="1">
      <c r="A236" s="258">
        <v>388</v>
      </c>
      <c r="B236" s="235">
        <v>388</v>
      </c>
      <c r="C236" s="235" t="s">
        <v>7808</v>
      </c>
      <c r="D236" s="235" t="s">
        <v>7602</v>
      </c>
      <c r="E236" s="235" t="s">
        <v>7808</v>
      </c>
      <c r="F236" s="235" t="s">
        <v>8509</v>
      </c>
      <c r="G236" s="235" t="str">
        <f t="shared" si="120"/>
        <v>Rapsodyn</v>
      </c>
      <c r="H236" s="235" t="s">
        <v>265</v>
      </c>
      <c r="I236" s="235">
        <v>1</v>
      </c>
      <c r="J236" s="235">
        <v>9179</v>
      </c>
      <c r="K236" s="235">
        <v>51</v>
      </c>
      <c r="L236" s="235">
        <f t="shared" ref="L236:L277" si="127">K236</f>
        <v>51</v>
      </c>
      <c r="M236" s="235">
        <v>6</v>
      </c>
      <c r="N236" s="235">
        <v>5</v>
      </c>
      <c r="O236" s="248">
        <v>42048</v>
      </c>
      <c r="P236">
        <v>5.7</v>
      </c>
      <c r="Q236" s="264">
        <v>42204</v>
      </c>
      <c r="R236"/>
      <c r="S236"/>
      <c r="T236"/>
      <c r="U236" s="153"/>
      <c r="V236" s="219">
        <f t="shared" si="121"/>
        <v>18.138259906765324</v>
      </c>
      <c r="W236" s="219"/>
      <c r="X236">
        <v>15.55</v>
      </c>
      <c r="Y236"/>
      <c r="Z236"/>
      <c r="AA236"/>
      <c r="AB236" s="220">
        <f t="shared" si="122"/>
        <v>4.8615580200901629</v>
      </c>
      <c r="AC236" s="219"/>
      <c r="AD236" s="221">
        <f t="shared" si="123"/>
        <v>80388.956063258956</v>
      </c>
      <c r="AE236" s="219"/>
      <c r="AF236" s="220">
        <f t="shared" si="124"/>
        <v>34.567251107201351</v>
      </c>
      <c r="AG236" s="219"/>
      <c r="AH236" s="220">
        <f t="shared" si="125"/>
        <v>38.761214518054899</v>
      </c>
      <c r="AI236" s="219"/>
      <c r="AJ236">
        <v>4.3</v>
      </c>
      <c r="AK236" s="284" t="s">
        <v>8403</v>
      </c>
      <c r="AL236">
        <v>155</v>
      </c>
      <c r="AM236"/>
      <c r="AN236" s="241">
        <v>72</v>
      </c>
      <c r="AO236" s="242">
        <v>42076</v>
      </c>
      <c r="AP236" s="255">
        <v>104</v>
      </c>
      <c r="AQ236" s="242">
        <v>42108</v>
      </c>
      <c r="AR236">
        <v>131</v>
      </c>
      <c r="AS236" s="297">
        <f t="shared" si="126"/>
        <v>131</v>
      </c>
      <c r="AT236" s="290">
        <v>42135</v>
      </c>
      <c r="AU236" s="298"/>
      <c r="AV236"/>
      <c r="AW236"/>
      <c r="AX236"/>
      <c r="AY236"/>
      <c r="AZ236"/>
      <c r="BA236"/>
      <c r="BB236"/>
      <c r="BC236"/>
      <c r="BD236"/>
      <c r="BE236"/>
      <c r="BF236" s="277">
        <v>-3.8261260986328125</v>
      </c>
      <c r="BG236" s="283">
        <v>42233</v>
      </c>
      <c r="BH236"/>
      <c r="BI236"/>
      <c r="BJ236"/>
      <c r="BK236"/>
      <c r="BL236" s="277">
        <v>65.554908752441406</v>
      </c>
      <c r="BM236" s="283">
        <v>42233</v>
      </c>
      <c r="BN236"/>
      <c r="BO236"/>
      <c r="BP236" s="277">
        <v>3.6899740695953369</v>
      </c>
      <c r="BQ236" s="283">
        <v>42233</v>
      </c>
      <c r="BR236" s="277">
        <v>52.472381591796875</v>
      </c>
      <c r="BS236" s="283">
        <v>42233</v>
      </c>
      <c r="BT236" s="277">
        <v>14.064057350158691</v>
      </c>
      <c r="BU236" s="283">
        <v>42233</v>
      </c>
      <c r="BV236" s="277">
        <v>15.002036094665527</v>
      </c>
      <c r="BW236" s="283">
        <v>42233</v>
      </c>
      <c r="BX236" s="277">
        <v>5.1788406372070313</v>
      </c>
      <c r="BY236" s="283">
        <v>42233</v>
      </c>
      <c r="BZ236"/>
      <c r="CA236" s="136"/>
      <c r="CB236" s="266">
        <v>2.19</v>
      </c>
      <c r="CC236"/>
      <c r="CD236" s="277">
        <v>3.7735849056603805</v>
      </c>
      <c r="CE236" s="291" t="s">
        <v>8403</v>
      </c>
      <c r="CF236"/>
      <c r="CG236"/>
      <c r="CH236">
        <v>2</v>
      </c>
      <c r="CI236">
        <v>3</v>
      </c>
      <c r="CK236"/>
      <c r="CL236"/>
      <c r="CM236" s="259">
        <v>42161</v>
      </c>
      <c r="CN236" s="137" t="s">
        <v>8406</v>
      </c>
    </row>
    <row r="237" spans="1:92" s="227" customFormat="1">
      <c r="A237" s="258">
        <v>389</v>
      </c>
      <c r="B237" s="235">
        <v>389</v>
      </c>
      <c r="C237" s="235" t="s">
        <v>7576</v>
      </c>
      <c r="D237" s="235"/>
      <c r="E237" s="235"/>
      <c r="F237" s="235"/>
      <c r="G237" s="235"/>
      <c r="H237" s="235" t="s">
        <v>265</v>
      </c>
      <c r="I237" s="235">
        <v>1</v>
      </c>
      <c r="J237" s="235"/>
      <c r="K237" s="235">
        <v>50</v>
      </c>
      <c r="L237" s="235">
        <f t="shared" si="127"/>
        <v>50</v>
      </c>
      <c r="M237" s="235">
        <v>6</v>
      </c>
      <c r="N237" s="235"/>
      <c r="O237" s="248">
        <v>42048</v>
      </c>
      <c r="P237"/>
      <c r="Q237" s="219"/>
      <c r="R237"/>
      <c r="S237"/>
      <c r="T237"/>
      <c r="U237" s="153"/>
      <c r="V237" s="219"/>
      <c r="W237" s="219"/>
      <c r="X237">
        <v>15.55</v>
      </c>
      <c r="Y237"/>
      <c r="Z237"/>
      <c r="AA237"/>
      <c r="AB237" s="220"/>
      <c r="AC237" s="219"/>
      <c r="AD237" s="221"/>
      <c r="AE237" s="219"/>
      <c r="AF237" s="220"/>
      <c r="AG237" s="219"/>
      <c r="AH237" s="220"/>
      <c r="AI237" s="219"/>
      <c r="AJ237" s="286"/>
      <c r="AK237" s="284"/>
      <c r="AL237"/>
      <c r="AM237"/>
      <c r="AN237" s="241">
        <v>70</v>
      </c>
      <c r="AO237" s="242">
        <v>42074</v>
      </c>
      <c r="AP237" s="255">
        <v>104</v>
      </c>
      <c r="AQ237" s="242">
        <v>42108</v>
      </c>
      <c r="AR237"/>
      <c r="AS237" s="297"/>
      <c r="AT237" s="290"/>
      <c r="AU237" s="298"/>
      <c r="AV237"/>
      <c r="AW237"/>
      <c r="AX237"/>
      <c r="AY237"/>
      <c r="AZ237"/>
      <c r="BA237"/>
      <c r="BB237"/>
      <c r="BC237"/>
      <c r="BD237"/>
      <c r="BE237"/>
      <c r="BF237" s="277"/>
      <c r="BG237" s="235"/>
      <c r="BH237"/>
      <c r="BI237"/>
      <c r="BJ237"/>
      <c r="BK237"/>
      <c r="BL237" s="277"/>
      <c r="BM237" s="235"/>
      <c r="BN237"/>
      <c r="BO237"/>
      <c r="BP237" s="277"/>
      <c r="BQ237" s="235"/>
      <c r="BR237" s="277"/>
      <c r="BS237" s="235"/>
      <c r="BT237" s="277"/>
      <c r="BU237" s="235"/>
      <c r="BV237" s="277"/>
      <c r="BW237" s="235"/>
      <c r="BX237" s="277"/>
      <c r="BY237" s="235"/>
      <c r="BZ237"/>
      <c r="CA237" s="136"/>
      <c r="CB237" s="266"/>
      <c r="CC237"/>
      <c r="CD237" s="277"/>
      <c r="CE237" s="291"/>
      <c r="CF237"/>
      <c r="CG237"/>
      <c r="CH237"/>
      <c r="CI237"/>
      <c r="CK237"/>
      <c r="CL237"/>
      <c r="CM237" s="259">
        <v>42161</v>
      </c>
    </row>
    <row r="238" spans="1:92" s="227" customFormat="1">
      <c r="A238" s="258">
        <v>390</v>
      </c>
      <c r="B238" s="235">
        <v>390</v>
      </c>
      <c r="C238" s="235" t="s">
        <v>7576</v>
      </c>
      <c r="D238" s="235"/>
      <c r="E238" s="235"/>
      <c r="F238" s="235"/>
      <c r="G238" s="235"/>
      <c r="H238" s="235" t="s">
        <v>265</v>
      </c>
      <c r="I238" s="235">
        <v>1</v>
      </c>
      <c r="J238" s="235"/>
      <c r="K238" s="235">
        <v>49</v>
      </c>
      <c r="L238" s="235">
        <f t="shared" si="127"/>
        <v>49</v>
      </c>
      <c r="M238" s="235">
        <v>6</v>
      </c>
      <c r="N238" s="235"/>
      <c r="O238" s="248">
        <v>42048</v>
      </c>
      <c r="P238"/>
      <c r="Q238" s="219"/>
      <c r="R238"/>
      <c r="S238"/>
      <c r="T238"/>
      <c r="U238" s="153"/>
      <c r="V238" s="219"/>
      <c r="W238" s="219"/>
      <c r="X238">
        <v>15.55</v>
      </c>
      <c r="Y238"/>
      <c r="Z238"/>
      <c r="AA238"/>
      <c r="AB238" s="220"/>
      <c r="AC238" s="219"/>
      <c r="AD238" s="221"/>
      <c r="AE238" s="219"/>
      <c r="AF238" s="220"/>
      <c r="AG238" s="219"/>
      <c r="AH238" s="220"/>
      <c r="AI238" s="219"/>
      <c r="AJ238" s="286"/>
      <c r="AK238" s="284"/>
      <c r="AL238"/>
      <c r="AM238"/>
      <c r="AN238" s="241">
        <v>70</v>
      </c>
      <c r="AO238" s="242">
        <v>42074</v>
      </c>
      <c r="AP238" s="255">
        <v>104</v>
      </c>
      <c r="AQ238" s="242">
        <v>42108</v>
      </c>
      <c r="AR238"/>
      <c r="AS238" s="297"/>
      <c r="AT238" s="290"/>
      <c r="AU238" s="298"/>
      <c r="AV238"/>
      <c r="AW238"/>
      <c r="AX238"/>
      <c r="AY238"/>
      <c r="AZ238"/>
      <c r="BA238"/>
      <c r="BB238"/>
      <c r="BC238"/>
      <c r="BD238"/>
      <c r="BE238"/>
      <c r="BF238" s="277"/>
      <c r="BG238" s="235"/>
      <c r="BH238"/>
      <c r="BI238"/>
      <c r="BJ238"/>
      <c r="BK238"/>
      <c r="BL238" s="277"/>
      <c r="BM238" s="235"/>
      <c r="BN238"/>
      <c r="BO238"/>
      <c r="BP238" s="277"/>
      <c r="BQ238" s="235"/>
      <c r="BR238" s="277"/>
      <c r="BS238" s="235"/>
      <c r="BT238" s="277"/>
      <c r="BU238" s="235"/>
      <c r="BV238" s="277"/>
      <c r="BW238" s="235"/>
      <c r="BX238" s="277"/>
      <c r="BY238" s="235"/>
      <c r="BZ238"/>
      <c r="CA238" s="136"/>
      <c r="CB238" s="266"/>
      <c r="CC238"/>
      <c r="CD238" s="277"/>
      <c r="CE238" s="291"/>
      <c r="CF238"/>
      <c r="CG238"/>
      <c r="CH238"/>
      <c r="CI238"/>
      <c r="CK238"/>
      <c r="CL238"/>
      <c r="CM238" s="259">
        <v>42161</v>
      </c>
    </row>
    <row r="239" spans="1:92" s="227" customFormat="1">
      <c r="A239" s="258">
        <v>391</v>
      </c>
      <c r="B239" s="235">
        <v>391</v>
      </c>
      <c r="C239" s="238" t="s">
        <v>7792</v>
      </c>
      <c r="D239" s="238" t="s">
        <v>7590</v>
      </c>
      <c r="E239" s="238" t="s">
        <v>7792</v>
      </c>
      <c r="F239" s="238" t="s">
        <v>8480</v>
      </c>
      <c r="G239" s="235" t="str">
        <f t="shared" ref="G239:G250" si="128">IF(MID(C239,1,3)="BGA","Complement","Rapsodyn")</f>
        <v>Rapsodyn</v>
      </c>
      <c r="H239" s="235" t="s">
        <v>265</v>
      </c>
      <c r="I239" s="235">
        <v>1</v>
      </c>
      <c r="J239" s="238">
        <v>9163</v>
      </c>
      <c r="K239" s="238">
        <v>48</v>
      </c>
      <c r="L239" s="235">
        <f t="shared" si="127"/>
        <v>48</v>
      </c>
      <c r="M239" s="238">
        <v>6</v>
      </c>
      <c r="N239" s="235">
        <v>7</v>
      </c>
      <c r="O239" s="248">
        <v>42048</v>
      </c>
      <c r="P239">
        <v>5.15</v>
      </c>
      <c r="Q239" s="264">
        <v>42204</v>
      </c>
      <c r="R239"/>
      <c r="S239"/>
      <c r="T239"/>
      <c r="U239" s="153"/>
      <c r="V239" s="219">
        <f t="shared" ref="V239:V250" si="129">+BR239*AF239/100</f>
        <v>16.544515491772046</v>
      </c>
      <c r="W239" s="219"/>
      <c r="X239">
        <v>15.55</v>
      </c>
      <c r="Y239"/>
      <c r="Z239"/>
      <c r="AA239"/>
      <c r="AB239" s="220">
        <f t="shared" ref="AB239:AB250" si="130">+AF239*BT239/100</f>
        <v>5.0038093314721914</v>
      </c>
      <c r="AC239" s="219"/>
      <c r="AD239" s="221">
        <f t="shared" ref="AD239:AD250" si="131">+(AF239/AJ239)*10000</f>
        <v>76675.151523438195</v>
      </c>
      <c r="AE239" s="219"/>
      <c r="AF239" s="220">
        <f t="shared" ref="AF239:AF250" si="132">($P239/$X239)*(((100-$CD239)/100*(100-2)/100))*100</f>
        <v>31.820187882226854</v>
      </c>
      <c r="AG239" s="219"/>
      <c r="AH239" s="220">
        <f t="shared" ref="AH239:AH250" si="133">($P239/$X239)*(((100-$CD239)/(100-9)*(100-2)/(100-2))*100)</f>
        <v>35.680856562263791</v>
      </c>
      <c r="AI239" s="219"/>
      <c r="AJ239">
        <v>4.1500000000000004</v>
      </c>
      <c r="AK239" s="284" t="s">
        <v>8401</v>
      </c>
      <c r="AL239">
        <v>170</v>
      </c>
      <c r="AM239"/>
      <c r="AN239" s="241">
        <v>63</v>
      </c>
      <c r="AO239" s="246">
        <v>42067</v>
      </c>
      <c r="AP239" s="255">
        <v>104</v>
      </c>
      <c r="AQ239" s="242">
        <v>42108</v>
      </c>
      <c r="AR239">
        <v>129</v>
      </c>
      <c r="AS239" s="297">
        <f t="shared" ref="AS239:AS250" si="134">IF(AR239=0,,AR239)</f>
        <v>129</v>
      </c>
      <c r="AT239" s="290">
        <v>42133</v>
      </c>
      <c r="AU239" s="298"/>
      <c r="AV239"/>
      <c r="AW239"/>
      <c r="AX239"/>
      <c r="AY239"/>
      <c r="AZ239"/>
      <c r="BA239"/>
      <c r="BB239"/>
      <c r="BC239"/>
      <c r="BD239"/>
      <c r="BE239"/>
      <c r="BF239" s="277">
        <v>-6.8520760536193848</v>
      </c>
      <c r="BG239" s="283">
        <v>42230</v>
      </c>
      <c r="BH239"/>
      <c r="BI239"/>
      <c r="BJ239"/>
      <c r="BK239"/>
      <c r="BL239" s="277">
        <v>64.30291748046875</v>
      </c>
      <c r="BM239" s="283">
        <v>42230</v>
      </c>
      <c r="BN239"/>
      <c r="BO239"/>
      <c r="BP239" s="277">
        <v>3.9550490379333496</v>
      </c>
      <c r="BQ239" s="283">
        <v>42230</v>
      </c>
      <c r="BR239" s="277">
        <v>51.993770599365234</v>
      </c>
      <c r="BS239" s="283">
        <v>42230</v>
      </c>
      <c r="BT239" s="277">
        <v>15.725266456604004</v>
      </c>
      <c r="BU239" s="283">
        <v>42230</v>
      </c>
      <c r="BV239" s="277">
        <v>13.049822807312012</v>
      </c>
      <c r="BW239" s="283">
        <v>42230</v>
      </c>
      <c r="BX239" s="277">
        <v>5.3640975952148437</v>
      </c>
      <c r="BY239" s="283">
        <v>42230</v>
      </c>
      <c r="BZ239"/>
      <c r="CA239" s="136"/>
      <c r="CB239" s="266">
        <v>1.85</v>
      </c>
      <c r="CC239"/>
      <c r="CD239" s="277">
        <v>1.9607843137254832</v>
      </c>
      <c r="CE239" s="291" t="s">
        <v>8401</v>
      </c>
      <c r="CF239"/>
      <c r="CG239"/>
      <c r="CH239">
        <v>3</v>
      </c>
      <c r="CI239">
        <v>3</v>
      </c>
      <c r="CK239"/>
      <c r="CL239"/>
      <c r="CM239" s="259">
        <v>42161</v>
      </c>
      <c r="CN239" s="137" t="s">
        <v>8406</v>
      </c>
    </row>
    <row r="240" spans="1:92" s="227" customFormat="1">
      <c r="A240" s="258">
        <v>393</v>
      </c>
      <c r="B240" s="235">
        <v>393</v>
      </c>
      <c r="C240" s="236" t="s">
        <v>7682</v>
      </c>
      <c r="D240" s="236" t="s">
        <v>7509</v>
      </c>
      <c r="E240" s="236" t="s">
        <v>7682</v>
      </c>
      <c r="F240" s="236" t="s">
        <v>8477</v>
      </c>
      <c r="G240" s="235" t="str">
        <f t="shared" si="128"/>
        <v>Rapsodyn</v>
      </c>
      <c r="H240" s="235" t="s">
        <v>265</v>
      </c>
      <c r="I240" s="235">
        <v>1</v>
      </c>
      <c r="J240" s="236">
        <v>9064</v>
      </c>
      <c r="K240" s="236">
        <v>46</v>
      </c>
      <c r="L240" s="235">
        <f t="shared" si="127"/>
        <v>46</v>
      </c>
      <c r="M240" s="236">
        <v>6</v>
      </c>
      <c r="N240" s="235">
        <v>7</v>
      </c>
      <c r="O240" s="248">
        <v>42048</v>
      </c>
      <c r="P240" s="223">
        <v>5.15</v>
      </c>
      <c r="Q240" s="264">
        <v>42204</v>
      </c>
      <c r="R240" s="223"/>
      <c r="S240" s="223"/>
      <c r="T240" s="223"/>
      <c r="U240" s="225"/>
      <c r="V240" s="219">
        <f t="shared" si="129"/>
        <v>16.39766117616065</v>
      </c>
      <c r="W240" s="224"/>
      <c r="X240">
        <v>15.55</v>
      </c>
      <c r="Y240" s="223"/>
      <c r="Z240" s="223"/>
      <c r="AA240" s="223"/>
      <c r="AB240" s="220">
        <f t="shared" si="130"/>
        <v>5.018973195748516</v>
      </c>
      <c r="AC240" s="224"/>
      <c r="AD240" s="221">
        <f t="shared" si="131"/>
        <v>69750.030875353652</v>
      </c>
      <c r="AE240" s="224"/>
      <c r="AF240" s="220">
        <f t="shared" si="132"/>
        <v>31.317763863033793</v>
      </c>
      <c r="AG240" s="224"/>
      <c r="AH240" s="220">
        <f t="shared" si="133"/>
        <v>35.117474616543838</v>
      </c>
      <c r="AI240" s="224"/>
      <c r="AJ240">
        <v>4.49</v>
      </c>
      <c r="AK240" s="290" t="s">
        <v>8398</v>
      </c>
      <c r="AL240" s="223">
        <v>160</v>
      </c>
      <c r="AM240" s="223"/>
      <c r="AN240" s="241">
        <v>63</v>
      </c>
      <c r="AO240" s="243">
        <v>42067</v>
      </c>
      <c r="AP240" s="255">
        <v>100</v>
      </c>
      <c r="AQ240" s="242">
        <v>42104</v>
      </c>
      <c r="AR240" s="223">
        <v>123</v>
      </c>
      <c r="AS240" s="297">
        <f t="shared" si="134"/>
        <v>123</v>
      </c>
      <c r="AT240" s="290">
        <v>42127</v>
      </c>
      <c r="AU240" s="298"/>
      <c r="AV240" s="223"/>
      <c r="AW240" s="223"/>
      <c r="AX240" s="223"/>
      <c r="AY240" s="223"/>
      <c r="AZ240" s="223"/>
      <c r="BA240" s="223"/>
      <c r="BB240" s="223"/>
      <c r="BC240" s="223"/>
      <c r="BD240" s="223"/>
      <c r="BE240" s="223"/>
      <c r="BF240" s="281">
        <v>-3.2030959129333496</v>
      </c>
      <c r="BG240" s="283">
        <v>42233</v>
      </c>
      <c r="BH240" s="223"/>
      <c r="BI240" s="223"/>
      <c r="BJ240" s="223"/>
      <c r="BK240" s="223"/>
      <c r="BL240" s="281">
        <v>65.396347045898437</v>
      </c>
      <c r="BM240" s="283">
        <v>42233</v>
      </c>
      <c r="BN240" s="223"/>
      <c r="BO240" s="223"/>
      <c r="BP240" s="281">
        <v>2.7719130516052246</v>
      </c>
      <c r="BQ240" s="283">
        <v>42233</v>
      </c>
      <c r="BR240" s="281">
        <v>52.358978271484375</v>
      </c>
      <c r="BS240" s="283">
        <v>42233</v>
      </c>
      <c r="BT240" s="281">
        <v>16.025962829589844</v>
      </c>
      <c r="BU240" s="283">
        <v>42233</v>
      </c>
      <c r="BV240" s="281">
        <v>14.027247428894043</v>
      </c>
      <c r="BW240" s="283">
        <v>42233</v>
      </c>
      <c r="BX240" s="281">
        <v>5.0274505615234375</v>
      </c>
      <c r="BY240" s="283">
        <v>42233</v>
      </c>
      <c r="BZ240" s="223"/>
      <c r="CA240" s="226"/>
      <c r="CB240" s="266">
        <v>2.63</v>
      </c>
      <c r="CC240" s="223"/>
      <c r="CD240" s="281">
        <v>3.5087719298245648</v>
      </c>
      <c r="CE240" s="291" t="s">
        <v>8398</v>
      </c>
      <c r="CF240" s="223"/>
      <c r="CG240" s="223"/>
      <c r="CH240" s="223">
        <v>2</v>
      </c>
      <c r="CI240" s="223">
        <v>3</v>
      </c>
      <c r="CK240" s="223"/>
      <c r="CL240" s="223"/>
      <c r="CM240" s="259">
        <v>42161</v>
      </c>
      <c r="CN240" s="137" t="s">
        <v>8406</v>
      </c>
    </row>
    <row r="241" spans="1:93" s="227" customFormat="1">
      <c r="A241" s="258">
        <v>394</v>
      </c>
      <c r="B241" s="235">
        <v>394</v>
      </c>
      <c r="C241" s="235" t="s">
        <v>7636</v>
      </c>
      <c r="D241" s="235" t="s">
        <v>7469</v>
      </c>
      <c r="E241" s="235" t="s">
        <v>7636</v>
      </c>
      <c r="F241" s="235" t="s">
        <v>8444</v>
      </c>
      <c r="G241" s="235" t="str">
        <f t="shared" si="128"/>
        <v>Rapsodyn</v>
      </c>
      <c r="H241" s="235" t="s">
        <v>265</v>
      </c>
      <c r="I241" s="235">
        <v>1</v>
      </c>
      <c r="J241" s="235">
        <v>9024</v>
      </c>
      <c r="K241" s="235">
        <v>45</v>
      </c>
      <c r="L241" s="235">
        <f t="shared" si="127"/>
        <v>45</v>
      </c>
      <c r="M241" s="235">
        <v>6</v>
      </c>
      <c r="N241" s="235">
        <v>7</v>
      </c>
      <c r="O241" s="248">
        <v>42048</v>
      </c>
      <c r="P241" s="223">
        <v>3.5</v>
      </c>
      <c r="Q241" s="264">
        <v>42204</v>
      </c>
      <c r="R241" s="223"/>
      <c r="S241" s="223"/>
      <c r="T241" s="223"/>
      <c r="U241" s="225"/>
      <c r="V241" s="219">
        <f t="shared" si="129"/>
        <v>10.171007823448738</v>
      </c>
      <c r="W241" s="224"/>
      <c r="X241">
        <v>15.55</v>
      </c>
      <c r="Y241" s="223"/>
      <c r="Z241" s="223"/>
      <c r="AA241" s="223"/>
      <c r="AB241" s="220">
        <f t="shared" si="130"/>
        <v>4.204849059883097</v>
      </c>
      <c r="AC241" s="224"/>
      <c r="AD241" s="221">
        <f t="shared" si="131"/>
        <v>45513.94398626779</v>
      </c>
      <c r="AE241" s="224"/>
      <c r="AF241" s="220">
        <f t="shared" si="132"/>
        <v>21.209497897600791</v>
      </c>
      <c r="AG241" s="224"/>
      <c r="AH241" s="220">
        <f t="shared" si="133"/>
        <v>23.782796476340874</v>
      </c>
      <c r="AI241" s="224"/>
      <c r="AJ241">
        <v>4.66</v>
      </c>
      <c r="AK241" s="290" t="s">
        <v>8398</v>
      </c>
      <c r="AL241" s="223">
        <v>150</v>
      </c>
      <c r="AM241" s="223"/>
      <c r="AN241" s="241">
        <v>72</v>
      </c>
      <c r="AO241" s="242">
        <v>42076</v>
      </c>
      <c r="AP241" s="255">
        <v>106</v>
      </c>
      <c r="AQ241" s="242">
        <v>42110</v>
      </c>
      <c r="AR241" s="223">
        <v>125</v>
      </c>
      <c r="AS241" s="297">
        <f t="shared" si="134"/>
        <v>125</v>
      </c>
      <c r="AT241" s="290">
        <v>42129</v>
      </c>
      <c r="AU241" s="298"/>
      <c r="AV241" s="223"/>
      <c r="AW241" s="223"/>
      <c r="AX241" s="223"/>
      <c r="AY241" s="223"/>
      <c r="AZ241" s="223"/>
      <c r="BA241" s="223"/>
      <c r="BB241" s="223"/>
      <c r="BC241" s="223"/>
      <c r="BD241" s="223"/>
      <c r="BE241" s="223"/>
      <c r="BF241" s="281">
        <v>-5.5980801582336426</v>
      </c>
      <c r="BG241" s="283">
        <v>42233</v>
      </c>
      <c r="BH241" s="223"/>
      <c r="BI241" s="223"/>
      <c r="BJ241" s="223"/>
      <c r="BK241" s="223"/>
      <c r="BL241" s="281">
        <v>65.170974731445312</v>
      </c>
      <c r="BM241" s="283">
        <v>42233</v>
      </c>
      <c r="BN241" s="223"/>
      <c r="BO241" s="223"/>
      <c r="BP241" s="281">
        <v>3.0016570091247559</v>
      </c>
      <c r="BQ241" s="283">
        <v>42233</v>
      </c>
      <c r="BR241" s="281">
        <v>47.954967498779297</v>
      </c>
      <c r="BS241" s="283">
        <v>42233</v>
      </c>
      <c r="BT241" s="281">
        <v>19.825311660766602</v>
      </c>
      <c r="BU241" s="283">
        <v>42233</v>
      </c>
      <c r="BV241" s="281">
        <v>60.843124389648438</v>
      </c>
      <c r="BW241" s="283">
        <v>42233</v>
      </c>
      <c r="BX241" s="281">
        <v>5.7428665161132812</v>
      </c>
      <c r="BY241" s="283">
        <v>42233</v>
      </c>
      <c r="BZ241" s="223"/>
      <c r="CA241" s="226"/>
      <c r="CB241" s="266">
        <v>1.36</v>
      </c>
      <c r="CC241" s="223"/>
      <c r="CD241" s="281">
        <v>3.8461538461538494</v>
      </c>
      <c r="CE241" s="291" t="s">
        <v>8398</v>
      </c>
      <c r="CF241" s="223"/>
      <c r="CG241" s="223"/>
      <c r="CH241" s="223">
        <v>2</v>
      </c>
      <c r="CI241" s="223">
        <v>2</v>
      </c>
      <c r="CK241" s="223"/>
      <c r="CL241" s="223">
        <v>2</v>
      </c>
      <c r="CM241" s="259">
        <v>42161</v>
      </c>
      <c r="CN241" s="137" t="s">
        <v>8406</v>
      </c>
    </row>
    <row r="242" spans="1:93" s="227" customFormat="1">
      <c r="A242" s="258">
        <v>395</v>
      </c>
      <c r="B242" s="235">
        <v>395</v>
      </c>
      <c r="C242" s="235" t="s">
        <v>7779</v>
      </c>
      <c r="D242" s="235" t="s">
        <v>7577</v>
      </c>
      <c r="E242" s="235" t="s">
        <v>7779</v>
      </c>
      <c r="F242" s="235" t="s">
        <v>8602</v>
      </c>
      <c r="G242" s="235" t="str">
        <f t="shared" si="128"/>
        <v>Rapsodyn</v>
      </c>
      <c r="H242" s="235" t="s">
        <v>265</v>
      </c>
      <c r="I242" s="235">
        <v>1</v>
      </c>
      <c r="J242" s="235">
        <v>9150</v>
      </c>
      <c r="K242" s="235">
        <v>44</v>
      </c>
      <c r="L242" s="235">
        <f t="shared" si="127"/>
        <v>44</v>
      </c>
      <c r="M242" s="235">
        <v>6</v>
      </c>
      <c r="N242" s="235">
        <v>7</v>
      </c>
      <c r="O242" s="248">
        <v>42048</v>
      </c>
      <c r="P242">
        <v>4.75</v>
      </c>
      <c r="Q242" s="264">
        <v>42204</v>
      </c>
      <c r="R242"/>
      <c r="S242"/>
      <c r="T242"/>
      <c r="U242" s="153"/>
      <c r="V242" s="219">
        <f t="shared" si="129"/>
        <v>15.111647492055688</v>
      </c>
      <c r="W242" s="219"/>
      <c r="X242">
        <v>15.55</v>
      </c>
      <c r="Y242"/>
      <c r="Z242"/>
      <c r="AA242"/>
      <c r="AB242" s="220">
        <f t="shared" si="130"/>
        <v>4.7312345685788628</v>
      </c>
      <c r="AC242" s="219"/>
      <c r="AD242" s="221">
        <f t="shared" si="131"/>
        <v>61805.795607964901</v>
      </c>
      <c r="AE242" s="219"/>
      <c r="AF242" s="220">
        <f t="shared" si="132"/>
        <v>29.419558709391293</v>
      </c>
      <c r="AG242" s="219"/>
      <c r="AH242" s="220">
        <f t="shared" si="133"/>
        <v>32.988964688709679</v>
      </c>
      <c r="AI242" s="219"/>
      <c r="AJ242">
        <v>4.76</v>
      </c>
      <c r="AK242" s="284" t="s">
        <v>8403</v>
      </c>
      <c r="AL242">
        <v>155</v>
      </c>
      <c r="AM242"/>
      <c r="AN242" s="241">
        <v>70</v>
      </c>
      <c r="AO242" s="242">
        <v>42074</v>
      </c>
      <c r="AP242" s="255">
        <v>104</v>
      </c>
      <c r="AQ242" s="242">
        <v>42108</v>
      </c>
      <c r="AR242">
        <v>125</v>
      </c>
      <c r="AS242" s="297">
        <f t="shared" si="134"/>
        <v>125</v>
      </c>
      <c r="AT242" s="290">
        <v>42129</v>
      </c>
      <c r="AU242" s="298"/>
      <c r="AV242"/>
      <c r="AW242"/>
      <c r="AX242"/>
      <c r="AY242"/>
      <c r="AZ242"/>
      <c r="BA242"/>
      <c r="BB242"/>
      <c r="BC242"/>
      <c r="BD242"/>
      <c r="BE242"/>
      <c r="BF242" s="277">
        <v>-2.5802879333496094</v>
      </c>
      <c r="BG242" s="283">
        <v>42230</v>
      </c>
      <c r="BH242"/>
      <c r="BI242"/>
      <c r="BJ242"/>
      <c r="BK242"/>
      <c r="BL242" s="277">
        <v>64.443359375</v>
      </c>
      <c r="BM242" s="283">
        <v>42230</v>
      </c>
      <c r="BN242"/>
      <c r="BO242"/>
      <c r="BP242" s="277">
        <v>3.7698180675506592</v>
      </c>
      <c r="BQ242" s="283">
        <v>42230</v>
      </c>
      <c r="BR242" s="277">
        <v>51.365989685058594</v>
      </c>
      <c r="BS242" s="283">
        <v>42230</v>
      </c>
      <c r="BT242" s="277">
        <v>16.081935882568359</v>
      </c>
      <c r="BU242" s="283">
        <v>42230</v>
      </c>
      <c r="BV242" s="277">
        <v>7.775874137878418</v>
      </c>
      <c r="BW242" s="283">
        <v>42230</v>
      </c>
      <c r="BX242" s="277">
        <v>5.2767181396484375</v>
      </c>
      <c r="BY242" s="283">
        <v>42230</v>
      </c>
      <c r="BZ242"/>
      <c r="CA242" s="136"/>
      <c r="CB242" s="266">
        <v>2.37</v>
      </c>
      <c r="CC242"/>
      <c r="CD242" s="277">
        <v>1.7241379310344769</v>
      </c>
      <c r="CE242" s="291" t="s">
        <v>8403</v>
      </c>
      <c r="CF242"/>
      <c r="CG242"/>
      <c r="CH242">
        <v>1</v>
      </c>
      <c r="CI242">
        <v>2</v>
      </c>
      <c r="CK242"/>
      <c r="CL242"/>
      <c r="CM242" s="259">
        <v>42161</v>
      </c>
      <c r="CN242" s="137" t="s">
        <v>8406</v>
      </c>
    </row>
    <row r="243" spans="1:93" s="227" customFormat="1">
      <c r="A243" s="258">
        <v>398</v>
      </c>
      <c r="B243" s="235">
        <v>398</v>
      </c>
      <c r="C243" s="235" t="s">
        <v>7678</v>
      </c>
      <c r="D243" s="235" t="s">
        <v>261</v>
      </c>
      <c r="E243" s="235" t="s">
        <v>7678</v>
      </c>
      <c r="F243" s="235" t="s">
        <v>8578</v>
      </c>
      <c r="G243" s="235" t="str">
        <f t="shared" si="128"/>
        <v>Rapsodyn</v>
      </c>
      <c r="H243" s="235" t="s">
        <v>265</v>
      </c>
      <c r="I243" s="235">
        <v>1</v>
      </c>
      <c r="J243" s="235">
        <v>9060</v>
      </c>
      <c r="K243" s="235">
        <v>41</v>
      </c>
      <c r="L243" s="235">
        <f t="shared" si="127"/>
        <v>41</v>
      </c>
      <c r="M243" s="235">
        <v>6</v>
      </c>
      <c r="N243" s="235">
        <v>7</v>
      </c>
      <c r="O243" s="248">
        <v>42048</v>
      </c>
      <c r="P243">
        <v>4.25</v>
      </c>
      <c r="Q243" s="264">
        <v>42204</v>
      </c>
      <c r="R243"/>
      <c r="S243"/>
      <c r="T243"/>
      <c r="U243" s="153"/>
      <c r="V243" s="219">
        <f t="shared" si="129"/>
        <v>13.137488567220094</v>
      </c>
      <c r="W243" s="219"/>
      <c r="X243">
        <v>15.55</v>
      </c>
      <c r="Y243"/>
      <c r="Z243"/>
      <c r="AA243"/>
      <c r="AB243" s="220">
        <f t="shared" si="130"/>
        <v>4.7560885976123792</v>
      </c>
      <c r="AC243" s="219"/>
      <c r="AD243" s="221">
        <f t="shared" si="131"/>
        <v>56644.39680838395</v>
      </c>
      <c r="AE243" s="219"/>
      <c r="AF243" s="220">
        <f t="shared" si="132"/>
        <v>26.288555436465401</v>
      </c>
      <c r="AG243" s="219"/>
      <c r="AH243" s="220">
        <f t="shared" si="133"/>
        <v>29.478084140463555</v>
      </c>
      <c r="AI243" s="219"/>
      <c r="AJ243" s="288">
        <v>4.640980735551663</v>
      </c>
      <c r="AK243" s="284" t="s">
        <v>8403</v>
      </c>
      <c r="AL243">
        <v>160</v>
      </c>
      <c r="AM243"/>
      <c r="AN243" s="241">
        <v>70</v>
      </c>
      <c r="AO243" s="242">
        <v>42074</v>
      </c>
      <c r="AP243" s="255">
        <v>110</v>
      </c>
      <c r="AQ243" s="242">
        <v>42114</v>
      </c>
      <c r="AR243">
        <v>138</v>
      </c>
      <c r="AS243" s="297">
        <f t="shared" si="134"/>
        <v>138</v>
      </c>
      <c r="AT243" s="290">
        <v>42142</v>
      </c>
      <c r="AU243" s="298"/>
      <c r="AV243"/>
      <c r="AW243"/>
      <c r="AX243"/>
      <c r="AY243"/>
      <c r="AZ243"/>
      <c r="BA243"/>
      <c r="BB243"/>
      <c r="BC243"/>
      <c r="BD243"/>
      <c r="BE243"/>
      <c r="BF243" s="277">
        <v>-3.3415029048919678</v>
      </c>
      <c r="BG243" s="283">
        <v>42233</v>
      </c>
      <c r="BH243"/>
      <c r="BI243"/>
      <c r="BJ243"/>
      <c r="BK243"/>
      <c r="BL243" s="277">
        <v>72.530311584472656</v>
      </c>
      <c r="BM243" s="283">
        <v>42233</v>
      </c>
      <c r="BN243"/>
      <c r="BO243"/>
      <c r="BP243" s="277">
        <v>3.7956879138946533</v>
      </c>
      <c r="BQ243" s="283">
        <v>42233</v>
      </c>
      <c r="BR243" s="277">
        <v>49.974174499511719</v>
      </c>
      <c r="BS243" s="283">
        <v>42233</v>
      </c>
      <c r="BT243" s="277">
        <v>18.091859817504883</v>
      </c>
      <c r="BU243" s="283">
        <v>42233</v>
      </c>
      <c r="BV243" s="277">
        <v>17.764991760253906</v>
      </c>
      <c r="BW243" s="283">
        <v>42233</v>
      </c>
      <c r="BX243" s="277">
        <v>5.387237548828125</v>
      </c>
      <c r="BY243" s="283">
        <v>42233</v>
      </c>
      <c r="BZ243"/>
      <c r="CA243" s="136"/>
      <c r="CB243" s="266">
        <v>1.55</v>
      </c>
      <c r="CC243"/>
      <c r="CD243" s="277">
        <v>1.8518518518518614</v>
      </c>
      <c r="CE243" s="291" t="s">
        <v>8403</v>
      </c>
      <c r="CF243"/>
      <c r="CG243"/>
      <c r="CH243">
        <v>2</v>
      </c>
      <c r="CI243">
        <v>4</v>
      </c>
      <c r="CK243"/>
      <c r="CL243"/>
      <c r="CM243" s="259">
        <v>42161</v>
      </c>
      <c r="CN243" s="137" t="s">
        <v>8406</v>
      </c>
    </row>
    <row r="244" spans="1:93" s="227" customFormat="1">
      <c r="A244" s="258">
        <v>399</v>
      </c>
      <c r="B244" s="235">
        <v>399</v>
      </c>
      <c r="C244" s="236" t="s">
        <v>7738</v>
      </c>
      <c r="D244" s="236" t="s">
        <v>7882</v>
      </c>
      <c r="E244" s="236" t="s">
        <v>7738</v>
      </c>
      <c r="F244" s="236" t="s">
        <v>8537</v>
      </c>
      <c r="G244" s="235" t="str">
        <f t="shared" si="128"/>
        <v>Rapsodyn</v>
      </c>
      <c r="H244" s="235" t="s">
        <v>265</v>
      </c>
      <c r="I244" s="235">
        <v>1</v>
      </c>
      <c r="J244" s="236">
        <v>9118</v>
      </c>
      <c r="K244" s="236">
        <v>40</v>
      </c>
      <c r="L244" s="235">
        <f t="shared" si="127"/>
        <v>40</v>
      </c>
      <c r="M244" s="236">
        <v>6</v>
      </c>
      <c r="N244" s="235">
        <v>5</v>
      </c>
      <c r="O244" s="248">
        <v>42048</v>
      </c>
      <c r="P244">
        <v>2.9</v>
      </c>
      <c r="Q244" s="264">
        <v>42204</v>
      </c>
      <c r="R244"/>
      <c r="S244"/>
      <c r="T244"/>
      <c r="U244" s="153"/>
      <c r="V244" s="219">
        <f t="shared" si="129"/>
        <v>8.451705294789992</v>
      </c>
      <c r="W244" s="219"/>
      <c r="X244">
        <v>15.55</v>
      </c>
      <c r="Y244"/>
      <c r="Z244"/>
      <c r="AA244"/>
      <c r="AB244" s="220">
        <f t="shared" si="130"/>
        <v>3.1608820335658034</v>
      </c>
      <c r="AC244" s="219"/>
      <c r="AD244" s="221">
        <f t="shared" si="131"/>
        <v>40779.269907319838</v>
      </c>
      <c r="AE244" s="219"/>
      <c r="AF244" s="220">
        <f t="shared" si="132"/>
        <v>17.331189710610932</v>
      </c>
      <c r="AG244" s="219"/>
      <c r="AH244" s="220">
        <f t="shared" si="133"/>
        <v>19.433942263524258</v>
      </c>
      <c r="AI244" s="219"/>
      <c r="AJ244">
        <v>4.25</v>
      </c>
      <c r="AK244" s="284" t="s">
        <v>8400</v>
      </c>
      <c r="AL244">
        <v>200</v>
      </c>
      <c r="AM244"/>
      <c r="AN244" s="241">
        <v>63</v>
      </c>
      <c r="AO244" s="243">
        <v>42067</v>
      </c>
      <c r="AP244" s="255">
        <v>106</v>
      </c>
      <c r="AQ244" s="242">
        <v>42110</v>
      </c>
      <c r="AR244">
        <v>132</v>
      </c>
      <c r="AS244" s="297">
        <f t="shared" si="134"/>
        <v>132</v>
      </c>
      <c r="AT244" s="290">
        <v>42136</v>
      </c>
      <c r="AU244" s="298"/>
      <c r="AV244"/>
      <c r="AW244"/>
      <c r="AX244"/>
      <c r="AY244"/>
      <c r="AZ244"/>
      <c r="BA244"/>
      <c r="BB244"/>
      <c r="BC244"/>
      <c r="BD244"/>
      <c r="BE244"/>
      <c r="BF244" s="277">
        <v>21.720535278320312</v>
      </c>
      <c r="BG244" s="283">
        <v>42233</v>
      </c>
      <c r="BH244"/>
      <c r="BI244"/>
      <c r="BJ244"/>
      <c r="BK244"/>
      <c r="BL244" s="277">
        <v>61.593559265136719</v>
      </c>
      <c r="BM244" s="283">
        <v>42233</v>
      </c>
      <c r="BN244"/>
      <c r="BO244"/>
      <c r="BP244" s="277">
        <v>2.8297610282897949</v>
      </c>
      <c r="BQ244" s="283">
        <v>42233</v>
      </c>
      <c r="BR244" s="277">
        <v>48.765869140625</v>
      </c>
      <c r="BS244" s="283">
        <v>42233</v>
      </c>
      <c r="BT244" s="277">
        <v>18.238113403320313</v>
      </c>
      <c r="BU244" s="283">
        <v>42233</v>
      </c>
      <c r="BV244" s="277">
        <v>53.273002624511719</v>
      </c>
      <c r="BW244" s="283">
        <v>42233</v>
      </c>
      <c r="BX244" s="277">
        <v>5.4838943481445313</v>
      </c>
      <c r="BY244" s="283">
        <v>42233</v>
      </c>
      <c r="BZ244"/>
      <c r="CA244" s="136"/>
      <c r="CB244" s="266">
        <v>1.93</v>
      </c>
      <c r="CC244"/>
      <c r="CD244" s="277">
        <v>5.1724137931034457</v>
      </c>
      <c r="CE244" s="291" t="s">
        <v>8400</v>
      </c>
      <c r="CF244"/>
      <c r="CG244"/>
      <c r="CH244">
        <v>2</v>
      </c>
      <c r="CI244">
        <v>7</v>
      </c>
      <c r="CK244"/>
      <c r="CL244">
        <v>3</v>
      </c>
      <c r="CM244" s="259">
        <v>42161</v>
      </c>
      <c r="CN244" s="137"/>
      <c r="CO244" s="137" t="s">
        <v>8405</v>
      </c>
    </row>
    <row r="245" spans="1:93" s="227" customFormat="1">
      <c r="A245" s="258">
        <v>400</v>
      </c>
      <c r="B245" s="235">
        <v>400</v>
      </c>
      <c r="C245" s="235" t="s">
        <v>7679</v>
      </c>
      <c r="D245" s="235" t="s">
        <v>7506</v>
      </c>
      <c r="E245" s="235" t="s">
        <v>7679</v>
      </c>
      <c r="F245" s="235" t="s">
        <v>8432</v>
      </c>
      <c r="G245" s="235" t="str">
        <f t="shared" si="128"/>
        <v>Rapsodyn</v>
      </c>
      <c r="H245" s="235" t="s">
        <v>265</v>
      </c>
      <c r="I245" s="235">
        <v>1</v>
      </c>
      <c r="J245" s="235">
        <v>9061</v>
      </c>
      <c r="K245" s="235">
        <v>39</v>
      </c>
      <c r="L245" s="235">
        <f t="shared" si="127"/>
        <v>39</v>
      </c>
      <c r="M245" s="235">
        <v>6</v>
      </c>
      <c r="N245" s="236">
        <v>5</v>
      </c>
      <c r="O245" s="248">
        <v>42048</v>
      </c>
      <c r="P245">
        <v>5.0999999999999996</v>
      </c>
      <c r="Q245" s="264">
        <v>42204</v>
      </c>
      <c r="R245"/>
      <c r="S245"/>
      <c r="T245"/>
      <c r="U245" s="153"/>
      <c r="V245" s="219">
        <f t="shared" si="129"/>
        <v>15.882893719872476</v>
      </c>
      <c r="W245" s="219"/>
      <c r="X245">
        <v>15.55</v>
      </c>
      <c r="Y245"/>
      <c r="Z245"/>
      <c r="AA245"/>
      <c r="AB245" s="220">
        <f t="shared" si="130"/>
        <v>4.5916873718151319</v>
      </c>
      <c r="AC245" s="219"/>
      <c r="AD245" s="221">
        <f t="shared" si="131"/>
        <v>71744.372990353688</v>
      </c>
      <c r="AE245" s="219"/>
      <c r="AF245" s="220">
        <f t="shared" si="132"/>
        <v>30.419614147909961</v>
      </c>
      <c r="AG245" s="219"/>
      <c r="AH245" s="220">
        <f t="shared" si="133"/>
        <v>34.110354505393545</v>
      </c>
      <c r="AI245" s="219"/>
      <c r="AJ245">
        <v>4.24</v>
      </c>
      <c r="AK245" s="284" t="s">
        <v>8400</v>
      </c>
      <c r="AL245">
        <v>165</v>
      </c>
      <c r="AM245"/>
      <c r="AN245" s="241">
        <v>70</v>
      </c>
      <c r="AO245" s="242">
        <v>42074</v>
      </c>
      <c r="AP245" s="255">
        <v>104</v>
      </c>
      <c r="AQ245" s="242">
        <v>42108</v>
      </c>
      <c r="AR245">
        <v>127</v>
      </c>
      <c r="AS245" s="297">
        <f t="shared" si="134"/>
        <v>127</v>
      </c>
      <c r="AT245" s="290">
        <v>42131</v>
      </c>
      <c r="AU245" s="298"/>
      <c r="AV245"/>
      <c r="AW245"/>
      <c r="AX245"/>
      <c r="AY245"/>
      <c r="AZ245"/>
      <c r="BA245"/>
      <c r="BB245"/>
      <c r="BC245"/>
      <c r="BD245"/>
      <c r="BE245"/>
      <c r="BF245" s="277">
        <v>-7.4211330413818359</v>
      </c>
      <c r="BG245" s="283">
        <v>42233</v>
      </c>
      <c r="BH245"/>
      <c r="BI245"/>
      <c r="BJ245"/>
      <c r="BK245"/>
      <c r="BL245" s="277">
        <v>68.055740356445312</v>
      </c>
      <c r="BM245" s="283">
        <v>42233</v>
      </c>
      <c r="BN245"/>
      <c r="BO245"/>
      <c r="BP245" s="277">
        <v>3.3982000350952148</v>
      </c>
      <c r="BQ245" s="283">
        <v>42233</v>
      </c>
      <c r="BR245" s="277">
        <v>52.212673187255859</v>
      </c>
      <c r="BS245" s="283">
        <v>42233</v>
      </c>
      <c r="BT245" s="277">
        <v>15.09449577331543</v>
      </c>
      <c r="BU245" s="283">
        <v>42233</v>
      </c>
      <c r="BV245" s="277">
        <v>14.045795440673828</v>
      </c>
      <c r="BW245" s="283">
        <v>42233</v>
      </c>
      <c r="BX245" s="277">
        <v>5.2877044677734375</v>
      </c>
      <c r="BY245" s="283">
        <v>42233</v>
      </c>
      <c r="BZ245"/>
      <c r="CA245" s="136"/>
      <c r="CB245" s="266">
        <v>2.04</v>
      </c>
      <c r="CC245"/>
      <c r="CD245" s="277">
        <v>5.3571428571428541</v>
      </c>
      <c r="CE245" s="291" t="s">
        <v>8400</v>
      </c>
      <c r="CF245"/>
      <c r="CG245"/>
      <c r="CH245">
        <v>2</v>
      </c>
      <c r="CI245">
        <v>3</v>
      </c>
      <c r="CK245"/>
      <c r="CL245"/>
      <c r="CM245" s="259">
        <v>42161</v>
      </c>
      <c r="CN245" s="137" t="s">
        <v>8406</v>
      </c>
    </row>
    <row r="246" spans="1:93" s="227" customFormat="1">
      <c r="A246" s="258">
        <v>401</v>
      </c>
      <c r="B246" s="235">
        <v>401</v>
      </c>
      <c r="C246" s="240" t="s">
        <v>7789</v>
      </c>
      <c r="D246" s="240" t="s">
        <v>7587</v>
      </c>
      <c r="E246" s="240" t="s">
        <v>7789</v>
      </c>
      <c r="F246" s="240" t="s">
        <v>8541</v>
      </c>
      <c r="G246" s="235" t="str">
        <f t="shared" si="128"/>
        <v>Rapsodyn</v>
      </c>
      <c r="H246" s="235" t="s">
        <v>265</v>
      </c>
      <c r="I246" s="235">
        <v>1</v>
      </c>
      <c r="J246" s="240">
        <v>9160</v>
      </c>
      <c r="K246" s="240">
        <v>38</v>
      </c>
      <c r="L246" s="235">
        <f t="shared" si="127"/>
        <v>38</v>
      </c>
      <c r="M246" s="240">
        <v>6</v>
      </c>
      <c r="N246" s="235">
        <v>7</v>
      </c>
      <c r="O246" s="248">
        <v>42048</v>
      </c>
      <c r="P246">
        <v>4.55</v>
      </c>
      <c r="Q246" s="264">
        <v>42204</v>
      </c>
      <c r="R246"/>
      <c r="S246"/>
      <c r="T246"/>
      <c r="U246" s="153"/>
      <c r="V246" s="219">
        <f t="shared" si="129"/>
        <v>14.216664785006561</v>
      </c>
      <c r="W246" s="219"/>
      <c r="X246">
        <v>15.55</v>
      </c>
      <c r="Y246"/>
      <c r="Z246"/>
      <c r="AA246"/>
      <c r="AB246" s="220">
        <f t="shared" si="130"/>
        <v>4.4431613361790179</v>
      </c>
      <c r="AC246" s="219"/>
      <c r="AD246" s="221">
        <f t="shared" si="131"/>
        <v>50608.983727954786</v>
      </c>
      <c r="AE246" s="219"/>
      <c r="AF246" s="220">
        <f t="shared" si="132"/>
        <v>27.632505115463314</v>
      </c>
      <c r="AG246" s="219"/>
      <c r="AH246" s="220">
        <f t="shared" si="133"/>
        <v>30.985092078339658</v>
      </c>
      <c r="AI246" s="219"/>
      <c r="AJ246">
        <v>5.46</v>
      </c>
      <c r="AK246" s="284" t="s">
        <v>8398</v>
      </c>
      <c r="AL246">
        <v>170</v>
      </c>
      <c r="AM246"/>
      <c r="AN246" s="241">
        <v>61</v>
      </c>
      <c r="AO246" s="245">
        <v>42065</v>
      </c>
      <c r="AP246" s="255">
        <v>104</v>
      </c>
      <c r="AQ246" s="242">
        <v>42108</v>
      </c>
      <c r="AR246">
        <v>125</v>
      </c>
      <c r="AS246" s="297">
        <f t="shared" si="134"/>
        <v>125</v>
      </c>
      <c r="AT246" s="290">
        <v>42129</v>
      </c>
      <c r="AU246" s="298"/>
      <c r="AV246"/>
      <c r="AW246"/>
      <c r="AX246"/>
      <c r="AY246"/>
      <c r="AZ246"/>
      <c r="BA246"/>
      <c r="BB246"/>
      <c r="BC246"/>
      <c r="BD246"/>
      <c r="BE246"/>
      <c r="BF246" s="277">
        <v>-2.1007289886474609</v>
      </c>
      <c r="BG246" s="283">
        <v>42233</v>
      </c>
      <c r="BH246"/>
      <c r="BI246"/>
      <c r="BJ246"/>
      <c r="BK246"/>
      <c r="BL246" s="277">
        <v>63.536048889160156</v>
      </c>
      <c r="BM246" s="283">
        <v>42233</v>
      </c>
      <c r="BN246"/>
      <c r="BO246"/>
      <c r="BP246" s="277">
        <v>3.6819028854370117</v>
      </c>
      <c r="BQ246" s="283">
        <v>42233</v>
      </c>
      <c r="BR246" s="277">
        <v>51.449062347412109</v>
      </c>
      <c r="BS246" s="283">
        <v>42233</v>
      </c>
      <c r="BT246" s="277">
        <v>16.079473495483398</v>
      </c>
      <c r="BU246" s="283">
        <v>42233</v>
      </c>
      <c r="BV246" s="277">
        <v>12.936856269836426</v>
      </c>
      <c r="BW246" s="283">
        <v>42233</v>
      </c>
      <c r="BX246" s="277">
        <v>5.3582382202148438</v>
      </c>
      <c r="BY246" s="283">
        <v>42233</v>
      </c>
      <c r="BZ246"/>
      <c r="CA246" s="136"/>
      <c r="CB246" s="266">
        <v>2.14</v>
      </c>
      <c r="CC246"/>
      <c r="CD246" s="277">
        <v>3.6363636363636398</v>
      </c>
      <c r="CE246" s="291" t="s">
        <v>8398</v>
      </c>
      <c r="CF246"/>
      <c r="CG246"/>
      <c r="CH246">
        <v>2</v>
      </c>
      <c r="CI246">
        <v>2</v>
      </c>
      <c r="CK246"/>
      <c r="CL246"/>
      <c r="CM246" s="259">
        <v>42161</v>
      </c>
      <c r="CN246" s="137" t="s">
        <v>8406</v>
      </c>
    </row>
    <row r="247" spans="1:93" s="227" customFormat="1">
      <c r="A247" s="258">
        <v>402</v>
      </c>
      <c r="B247" s="235">
        <v>402</v>
      </c>
      <c r="C247" s="235" t="s">
        <v>7699</v>
      </c>
      <c r="D247" s="235" t="s">
        <v>7525</v>
      </c>
      <c r="E247" s="235" t="s">
        <v>7699</v>
      </c>
      <c r="F247" s="235" t="s">
        <v>8434</v>
      </c>
      <c r="G247" s="235" t="str">
        <f t="shared" si="128"/>
        <v>Rapsodyn</v>
      </c>
      <c r="H247" s="235" t="s">
        <v>265</v>
      </c>
      <c r="I247" s="235">
        <v>1</v>
      </c>
      <c r="J247" s="235">
        <v>9081</v>
      </c>
      <c r="K247" s="235">
        <v>37</v>
      </c>
      <c r="L247" s="235">
        <f t="shared" si="127"/>
        <v>37</v>
      </c>
      <c r="M247" s="235">
        <v>6</v>
      </c>
      <c r="N247" s="235">
        <v>7</v>
      </c>
      <c r="O247" s="248">
        <v>42048</v>
      </c>
      <c r="P247">
        <v>4.5999999999999996</v>
      </c>
      <c r="Q247" s="264">
        <v>42204</v>
      </c>
      <c r="R247"/>
      <c r="S247"/>
      <c r="T247"/>
      <c r="U247" s="153"/>
      <c r="V247" s="219">
        <f t="shared" si="129"/>
        <v>14.497673395044794</v>
      </c>
      <c r="W247" s="219"/>
      <c r="X247">
        <v>15.55</v>
      </c>
      <c r="Y247"/>
      <c r="Z247"/>
      <c r="AA247"/>
      <c r="AB247" s="220">
        <f t="shared" si="130"/>
        <v>4.7400978122098998</v>
      </c>
      <c r="AC247" s="219"/>
      <c r="AD247" s="221">
        <f t="shared" si="131"/>
        <v>66199.428952206261</v>
      </c>
      <c r="AE247" s="219"/>
      <c r="AF247" s="220">
        <f t="shared" si="132"/>
        <v>27.936159017831041</v>
      </c>
      <c r="AG247" s="219"/>
      <c r="AH247" s="220">
        <f t="shared" si="133"/>
        <v>31.325587595684052</v>
      </c>
      <c r="AI247" s="219"/>
      <c r="AJ247">
        <v>4.22</v>
      </c>
      <c r="AK247" s="284" t="s">
        <v>8398</v>
      </c>
      <c r="AL247">
        <v>155</v>
      </c>
      <c r="AM247"/>
      <c r="AN247" s="241">
        <v>70</v>
      </c>
      <c r="AO247" s="242">
        <v>42074</v>
      </c>
      <c r="AP247" s="255">
        <v>104</v>
      </c>
      <c r="AQ247" s="242">
        <v>42108</v>
      </c>
      <c r="AR247">
        <v>125</v>
      </c>
      <c r="AS247" s="297">
        <f t="shared" si="134"/>
        <v>125</v>
      </c>
      <c r="AT247" s="290">
        <v>42129</v>
      </c>
      <c r="AU247" s="298"/>
      <c r="AV247"/>
      <c r="AW247"/>
      <c r="AX247"/>
      <c r="AY247"/>
      <c r="AZ247"/>
      <c r="BA247"/>
      <c r="BB247"/>
      <c r="BC247"/>
      <c r="BD247"/>
      <c r="BE247"/>
      <c r="BF247" s="277">
        <v>-6.1038951873779297</v>
      </c>
      <c r="BG247" s="283">
        <v>42233</v>
      </c>
      <c r="BH247"/>
      <c r="BI247"/>
      <c r="BJ247"/>
      <c r="BK247"/>
      <c r="BL247" s="277">
        <v>68.262916564941406</v>
      </c>
      <c r="BM247" s="283">
        <v>42233</v>
      </c>
      <c r="BN247"/>
      <c r="BO247"/>
      <c r="BP247" s="277">
        <v>3.3217899799346924</v>
      </c>
      <c r="BQ247" s="283">
        <v>42233</v>
      </c>
      <c r="BR247" s="277">
        <v>51.895729064941406</v>
      </c>
      <c r="BS247" s="283">
        <v>42233</v>
      </c>
      <c r="BT247" s="277">
        <v>16.967607498168945</v>
      </c>
      <c r="BU247" s="283">
        <v>42233</v>
      </c>
      <c r="BV247" s="277">
        <v>8.9811687469482422</v>
      </c>
      <c r="BW247" s="283">
        <v>42233</v>
      </c>
      <c r="BX247" s="277">
        <v>5.1192245483398437</v>
      </c>
      <c r="BY247" s="283">
        <v>42233</v>
      </c>
      <c r="BZ247"/>
      <c r="CA247" s="136"/>
      <c r="CB247" s="266">
        <v>1.89</v>
      </c>
      <c r="CC247"/>
      <c r="CD247" s="277">
        <v>3.6363636363636398</v>
      </c>
      <c r="CE247" s="291" t="s">
        <v>8398</v>
      </c>
      <c r="CF247"/>
      <c r="CG247"/>
      <c r="CH247">
        <v>2</v>
      </c>
      <c r="CI247">
        <v>2</v>
      </c>
      <c r="CK247"/>
      <c r="CL247"/>
      <c r="CM247" s="259">
        <v>42161</v>
      </c>
      <c r="CN247" s="137" t="s">
        <v>8406</v>
      </c>
    </row>
    <row r="248" spans="1:93" s="227" customFormat="1">
      <c r="A248" s="258">
        <v>405</v>
      </c>
      <c r="B248" s="235">
        <v>405</v>
      </c>
      <c r="C248" s="235" t="s">
        <v>7754</v>
      </c>
      <c r="D248" s="235" t="s">
        <v>7562</v>
      </c>
      <c r="E248" s="235" t="s">
        <v>7754</v>
      </c>
      <c r="F248" s="235" t="s">
        <v>8534</v>
      </c>
      <c r="G248" s="235" t="str">
        <f t="shared" si="128"/>
        <v>Rapsodyn</v>
      </c>
      <c r="H248" s="235" t="s">
        <v>265</v>
      </c>
      <c r="I248" s="235">
        <v>1</v>
      </c>
      <c r="J248" s="235">
        <v>9126</v>
      </c>
      <c r="K248" s="235">
        <v>34</v>
      </c>
      <c r="L248" s="235">
        <f t="shared" si="127"/>
        <v>34</v>
      </c>
      <c r="M248" s="235">
        <v>6</v>
      </c>
      <c r="N248" s="235">
        <v>7</v>
      </c>
      <c r="O248" s="248">
        <v>42048</v>
      </c>
      <c r="P248">
        <v>4.8499999999999996</v>
      </c>
      <c r="Q248" s="264">
        <v>42204</v>
      </c>
      <c r="R248"/>
      <c r="S248"/>
      <c r="T248"/>
      <c r="U248" s="153"/>
      <c r="V248" s="219">
        <f t="shared" si="129"/>
        <v>14.708958579405452</v>
      </c>
      <c r="W248" s="219"/>
      <c r="X248">
        <v>15.55</v>
      </c>
      <c r="Y248"/>
      <c r="Z248"/>
      <c r="AA248"/>
      <c r="AB248" s="220">
        <f t="shared" si="130"/>
        <v>4.7167768392095608</v>
      </c>
      <c r="AC248" s="219"/>
      <c r="AD248" s="221">
        <f t="shared" si="131"/>
        <v>64185.215176540194</v>
      </c>
      <c r="AE248" s="219"/>
      <c r="AF248" s="220">
        <f t="shared" si="132"/>
        <v>29.011717259796164</v>
      </c>
      <c r="AG248" s="219"/>
      <c r="AH248" s="220">
        <f t="shared" si="133"/>
        <v>32.531640793671414</v>
      </c>
      <c r="AI248" s="219"/>
      <c r="AJ248">
        <v>4.5199999999999996</v>
      </c>
      <c r="AK248" s="284" t="s">
        <v>8402</v>
      </c>
      <c r="AL248">
        <v>155</v>
      </c>
      <c r="AM248"/>
      <c r="AN248" s="241">
        <v>72</v>
      </c>
      <c r="AO248" s="242">
        <v>42076</v>
      </c>
      <c r="AP248" s="255">
        <v>104</v>
      </c>
      <c r="AQ248" s="242">
        <v>42108</v>
      </c>
      <c r="AR248">
        <v>127</v>
      </c>
      <c r="AS248" s="297">
        <f t="shared" si="134"/>
        <v>127</v>
      </c>
      <c r="AT248" s="290">
        <v>42131</v>
      </c>
      <c r="AU248" s="298"/>
      <c r="AV248"/>
      <c r="AW248"/>
      <c r="AX248"/>
      <c r="AY248"/>
      <c r="AZ248"/>
      <c r="BA248"/>
      <c r="BB248"/>
      <c r="BC248"/>
      <c r="BD248"/>
      <c r="BE248"/>
      <c r="BF248" s="277">
        <v>-0.18740800023078918</v>
      </c>
      <c r="BG248" s="283">
        <v>42230</v>
      </c>
      <c r="BH248"/>
      <c r="BI248"/>
      <c r="BJ248"/>
      <c r="BK248"/>
      <c r="BL248" s="277">
        <v>63.260414123535156</v>
      </c>
      <c r="BM248" s="283">
        <v>42230</v>
      </c>
      <c r="BN248"/>
      <c r="BO248"/>
      <c r="BP248" s="277">
        <v>4.3648180961608887</v>
      </c>
      <c r="BQ248" s="283">
        <v>42230</v>
      </c>
      <c r="BR248" s="277">
        <v>50.700061798095703</v>
      </c>
      <c r="BS248" s="283">
        <v>42230</v>
      </c>
      <c r="BT248" s="277">
        <v>16.2581787109375</v>
      </c>
      <c r="BU248" s="283">
        <v>42230</v>
      </c>
      <c r="BV248" s="277">
        <v>12.319778442382813</v>
      </c>
      <c r="BW248" s="283">
        <v>42230</v>
      </c>
      <c r="BX248" s="277">
        <v>5.0623550415039062</v>
      </c>
      <c r="BY248" s="283">
        <v>42230</v>
      </c>
      <c r="BZ248"/>
      <c r="CA248" s="136"/>
      <c r="CB248" s="266">
        <v>1.34</v>
      </c>
      <c r="CC248"/>
      <c r="CD248" s="277">
        <v>5.0847457627118757</v>
      </c>
      <c r="CE248" s="291" t="s">
        <v>8402</v>
      </c>
      <c r="CF248"/>
      <c r="CG248"/>
      <c r="CH248">
        <v>2</v>
      </c>
      <c r="CI248">
        <v>2</v>
      </c>
      <c r="CK248"/>
      <c r="CL248"/>
      <c r="CM248" s="259">
        <v>42161</v>
      </c>
      <c r="CN248" s="137" t="s">
        <v>8406</v>
      </c>
    </row>
    <row r="249" spans="1:93" s="227" customFormat="1">
      <c r="A249" s="258">
        <v>406</v>
      </c>
      <c r="B249" s="235">
        <v>406</v>
      </c>
      <c r="C249" s="235" t="s">
        <v>7755</v>
      </c>
      <c r="D249" s="235" t="s">
        <v>7563</v>
      </c>
      <c r="E249" s="235" t="s">
        <v>7755</v>
      </c>
      <c r="F249" s="235" t="s">
        <v>8601</v>
      </c>
      <c r="G249" s="235" t="str">
        <f t="shared" si="128"/>
        <v>Rapsodyn</v>
      </c>
      <c r="H249" s="235" t="s">
        <v>265</v>
      </c>
      <c r="I249" s="235">
        <v>1</v>
      </c>
      <c r="J249" s="235">
        <v>9127</v>
      </c>
      <c r="K249" s="235">
        <v>33</v>
      </c>
      <c r="L249" s="235">
        <f t="shared" si="127"/>
        <v>33</v>
      </c>
      <c r="M249" s="235">
        <v>6</v>
      </c>
      <c r="N249" s="235">
        <v>7</v>
      </c>
      <c r="O249" s="248">
        <v>42048</v>
      </c>
      <c r="P249" s="223">
        <v>4.0999999999999996</v>
      </c>
      <c r="Q249" s="264">
        <v>42204</v>
      </c>
      <c r="R249" s="223"/>
      <c r="S249" s="223"/>
      <c r="T249" s="223"/>
      <c r="U249" s="225"/>
      <c r="V249" s="219">
        <f t="shared" si="129"/>
        <v>12.720575529919691</v>
      </c>
      <c r="W249" s="224"/>
      <c r="X249">
        <v>15.55</v>
      </c>
      <c r="Y249" s="223"/>
      <c r="Z249" s="223"/>
      <c r="AA249" s="223"/>
      <c r="AB249" s="220">
        <f t="shared" si="130"/>
        <v>4.0006317364702939</v>
      </c>
      <c r="AC249" s="224"/>
      <c r="AD249" s="221">
        <f t="shared" si="131"/>
        <v>51867.402127963163</v>
      </c>
      <c r="AE249" s="224"/>
      <c r="AF249" s="220">
        <f t="shared" si="132"/>
        <v>24.948220423550278</v>
      </c>
      <c r="AG249" s="224"/>
      <c r="AH249" s="220">
        <f t="shared" si="133"/>
        <v>27.975129427618612</v>
      </c>
      <c r="AI249" s="224"/>
      <c r="AJ249">
        <v>4.8099999999999996</v>
      </c>
      <c r="AK249" s="290" t="s">
        <v>8402</v>
      </c>
      <c r="AL249" s="223">
        <v>165</v>
      </c>
      <c r="AM249" s="223"/>
      <c r="AN249" s="241">
        <v>72</v>
      </c>
      <c r="AO249" s="242">
        <v>42076</v>
      </c>
      <c r="AP249" s="255">
        <v>106</v>
      </c>
      <c r="AQ249" s="242">
        <v>42110</v>
      </c>
      <c r="AR249" s="223">
        <v>132</v>
      </c>
      <c r="AS249" s="297">
        <f t="shared" si="134"/>
        <v>132</v>
      </c>
      <c r="AT249" s="290">
        <v>42136</v>
      </c>
      <c r="AU249" s="298"/>
      <c r="AV249" s="223"/>
      <c r="AW249" s="223"/>
      <c r="AX249" s="223"/>
      <c r="AY249" s="223"/>
      <c r="AZ249" s="223"/>
      <c r="BA249" s="223"/>
      <c r="BB249" s="223"/>
      <c r="BC249" s="223"/>
      <c r="BD249" s="223"/>
      <c r="BE249" s="223"/>
      <c r="BF249" s="281">
        <v>-6.4987411499023437</v>
      </c>
      <c r="BG249" s="283">
        <v>42230</v>
      </c>
      <c r="BH249" s="223"/>
      <c r="BI249" s="223"/>
      <c r="BJ249" s="223"/>
      <c r="BK249" s="223"/>
      <c r="BL249" s="281">
        <v>65.385276794433594</v>
      </c>
      <c r="BM249" s="283">
        <v>42230</v>
      </c>
      <c r="BN249" s="223"/>
      <c r="BO249" s="223"/>
      <c r="BP249" s="281">
        <v>4.2375121116638184</v>
      </c>
      <c r="BQ249" s="283">
        <v>42230</v>
      </c>
      <c r="BR249" s="281">
        <v>50.987907409667969</v>
      </c>
      <c r="BS249" s="283">
        <v>42230</v>
      </c>
      <c r="BT249" s="281">
        <v>16.035739898681641</v>
      </c>
      <c r="BU249" s="283">
        <v>42230</v>
      </c>
      <c r="BV249" s="281">
        <v>56.042762756347656</v>
      </c>
      <c r="BW249" s="283">
        <v>42230</v>
      </c>
      <c r="BX249" s="281">
        <v>5.1940841674804687</v>
      </c>
      <c r="BY249" s="283">
        <v>42230</v>
      </c>
      <c r="BZ249" s="223"/>
      <c r="CA249" s="226"/>
      <c r="CB249" s="266">
        <v>2.44</v>
      </c>
      <c r="CC249" s="223"/>
      <c r="CD249" s="281">
        <v>3.4482758620689689</v>
      </c>
      <c r="CE249" s="291" t="s">
        <v>8402</v>
      </c>
      <c r="CF249" s="223"/>
      <c r="CG249" s="223"/>
      <c r="CH249" s="223">
        <v>3</v>
      </c>
      <c r="CI249" s="223">
        <v>3</v>
      </c>
      <c r="CK249" s="223"/>
      <c r="CL249" s="223">
        <v>3</v>
      </c>
      <c r="CM249" s="259">
        <v>42161</v>
      </c>
      <c r="CN249" s="137" t="s">
        <v>8406</v>
      </c>
    </row>
    <row r="250" spans="1:93" s="227" customFormat="1">
      <c r="A250" s="258">
        <v>410</v>
      </c>
      <c r="B250" s="235">
        <v>410</v>
      </c>
      <c r="C250" s="235" t="s">
        <v>7771</v>
      </c>
      <c r="D250" s="235" t="s">
        <v>7569</v>
      </c>
      <c r="E250" s="235" t="s">
        <v>7771</v>
      </c>
      <c r="F250" s="235" t="s">
        <v>8448</v>
      </c>
      <c r="G250" s="235" t="str">
        <f t="shared" si="128"/>
        <v>Rapsodyn</v>
      </c>
      <c r="H250" s="235" t="s">
        <v>265</v>
      </c>
      <c r="I250" s="235">
        <v>1</v>
      </c>
      <c r="J250" s="235">
        <v>9142</v>
      </c>
      <c r="K250" s="235">
        <v>29</v>
      </c>
      <c r="L250" s="235">
        <f t="shared" si="127"/>
        <v>29</v>
      </c>
      <c r="M250" s="235">
        <v>6</v>
      </c>
      <c r="N250" s="235">
        <v>7</v>
      </c>
      <c r="O250" s="248">
        <v>42048</v>
      </c>
      <c r="P250" s="223">
        <v>5.45</v>
      </c>
      <c r="Q250" s="264">
        <v>42204</v>
      </c>
      <c r="R250" s="223"/>
      <c r="S250" s="223"/>
      <c r="T250" s="223"/>
      <c r="U250" s="225"/>
      <c r="V250" s="219">
        <f t="shared" si="129"/>
        <v>17.485922193397951</v>
      </c>
      <c r="W250" s="224"/>
      <c r="X250">
        <v>15.55</v>
      </c>
      <c r="Y250" s="223"/>
      <c r="Z250" s="223"/>
      <c r="AA250" s="223"/>
      <c r="AB250" s="220">
        <f t="shared" si="130"/>
        <v>4.9607243248920456</v>
      </c>
      <c r="AC250" s="224"/>
      <c r="AD250" s="221">
        <f t="shared" si="131"/>
        <v>81081.855623183423</v>
      </c>
      <c r="AE250" s="224"/>
      <c r="AF250" s="220">
        <f t="shared" si="132"/>
        <v>33.00031523863565</v>
      </c>
      <c r="AG250" s="224"/>
      <c r="AH250" s="220">
        <f t="shared" si="133"/>
        <v>37.004165999815712</v>
      </c>
      <c r="AI250" s="224"/>
      <c r="AJ250">
        <v>4.07</v>
      </c>
      <c r="AK250" s="290" t="s">
        <v>8403</v>
      </c>
      <c r="AL250" s="223">
        <v>160</v>
      </c>
      <c r="AM250" s="223"/>
      <c r="AN250" s="241">
        <v>70</v>
      </c>
      <c r="AO250" s="242">
        <v>42074</v>
      </c>
      <c r="AP250" s="255">
        <v>100</v>
      </c>
      <c r="AQ250" s="242">
        <v>42104</v>
      </c>
      <c r="AR250" s="223">
        <v>125</v>
      </c>
      <c r="AS250" s="297">
        <f t="shared" si="134"/>
        <v>125</v>
      </c>
      <c r="AT250" s="290">
        <v>42129</v>
      </c>
      <c r="AU250" s="298"/>
      <c r="AV250" s="223"/>
      <c r="AW250" s="223"/>
      <c r="AX250" s="223"/>
      <c r="AY250" s="223"/>
      <c r="AZ250" s="223"/>
      <c r="BA250" s="223"/>
      <c r="BB250" s="223"/>
      <c r="BC250" s="223"/>
      <c r="BD250" s="223"/>
      <c r="BE250" s="223"/>
      <c r="BF250" s="281">
        <v>-6.7575168609619141</v>
      </c>
      <c r="BG250" s="283">
        <v>42230</v>
      </c>
      <c r="BH250" s="223"/>
      <c r="BI250" s="223"/>
      <c r="BJ250" s="223"/>
      <c r="BK250" s="223"/>
      <c r="BL250" s="281">
        <v>66.869148254394531</v>
      </c>
      <c r="BM250" s="283">
        <v>42230</v>
      </c>
      <c r="BN250" s="223"/>
      <c r="BO250" s="223"/>
      <c r="BP250" s="281">
        <v>3.7058351039886475</v>
      </c>
      <c r="BQ250" s="283">
        <v>42230</v>
      </c>
      <c r="BR250" s="281">
        <v>52.987136840820312</v>
      </c>
      <c r="BS250" s="283">
        <v>42230</v>
      </c>
      <c r="BT250" s="281">
        <v>15.032354354858398</v>
      </c>
      <c r="BU250" s="283">
        <v>42230</v>
      </c>
      <c r="BV250" s="281">
        <v>11.200657844543457</v>
      </c>
      <c r="BW250" s="283">
        <v>42230</v>
      </c>
      <c r="BX250" s="281">
        <v>5.2690811157226562</v>
      </c>
      <c r="BY250" s="283">
        <v>42230</v>
      </c>
      <c r="BZ250" s="223"/>
      <c r="CA250" s="226"/>
      <c r="CB250" s="266">
        <v>2.2400000000000002</v>
      </c>
      <c r="CC250" s="223"/>
      <c r="CD250" s="281">
        <v>3.9215686274509665</v>
      </c>
      <c r="CE250" s="291" t="s">
        <v>8403</v>
      </c>
      <c r="CF250" s="223"/>
      <c r="CG250" s="223"/>
      <c r="CH250" s="223">
        <v>2</v>
      </c>
      <c r="CI250" s="223">
        <v>2</v>
      </c>
      <c r="CK250" s="223"/>
      <c r="CL250" s="223"/>
      <c r="CM250" s="259">
        <v>42161</v>
      </c>
      <c r="CN250" s="137" t="s">
        <v>8406</v>
      </c>
    </row>
    <row r="251" spans="1:93" s="227" customFormat="1">
      <c r="A251" s="258">
        <v>411</v>
      </c>
      <c r="B251" s="235">
        <v>411</v>
      </c>
      <c r="C251" s="235" t="s">
        <v>7576</v>
      </c>
      <c r="D251" s="235"/>
      <c r="E251" s="235"/>
      <c r="F251" s="235"/>
      <c r="G251" s="235"/>
      <c r="H251" s="235" t="s">
        <v>265</v>
      </c>
      <c r="I251" s="235">
        <v>1</v>
      </c>
      <c r="J251" s="235"/>
      <c r="K251" s="235">
        <v>28</v>
      </c>
      <c r="L251" s="235">
        <f t="shared" si="127"/>
        <v>28</v>
      </c>
      <c r="M251" s="235">
        <v>6</v>
      </c>
      <c r="N251" s="235"/>
      <c r="O251" s="248">
        <v>42048</v>
      </c>
      <c r="P251"/>
      <c r="Q251" s="219"/>
      <c r="R251"/>
      <c r="S251"/>
      <c r="T251"/>
      <c r="U251" s="153"/>
      <c r="V251" s="219"/>
      <c r="W251" s="219"/>
      <c r="X251">
        <v>15.55</v>
      </c>
      <c r="Y251"/>
      <c r="Z251"/>
      <c r="AA251"/>
      <c r="AB251" s="220"/>
      <c r="AC251" s="219"/>
      <c r="AD251" s="221"/>
      <c r="AE251" s="219"/>
      <c r="AF251" s="220"/>
      <c r="AG251" s="219"/>
      <c r="AH251" s="220"/>
      <c r="AI251" s="219"/>
      <c r="AJ251" s="286"/>
      <c r="AK251" s="284"/>
      <c r="AL251"/>
      <c r="AM251"/>
      <c r="AN251" s="241">
        <v>70</v>
      </c>
      <c r="AO251" s="242">
        <v>42074</v>
      </c>
      <c r="AP251" s="255">
        <v>104</v>
      </c>
      <c r="AQ251" s="242">
        <v>42108</v>
      </c>
      <c r="AR251"/>
      <c r="AS251" s="297"/>
      <c r="AT251" s="290"/>
      <c r="AU251" s="298"/>
      <c r="AV251"/>
      <c r="AW251"/>
      <c r="AX251"/>
      <c r="AY251"/>
      <c r="AZ251"/>
      <c r="BA251"/>
      <c r="BB251"/>
      <c r="BC251"/>
      <c r="BD251"/>
      <c r="BE251"/>
      <c r="BF251" s="277"/>
      <c r="BG251" s="235"/>
      <c r="BH251"/>
      <c r="BI251"/>
      <c r="BJ251"/>
      <c r="BK251"/>
      <c r="BL251" s="277"/>
      <c r="BM251" s="235"/>
      <c r="BN251"/>
      <c r="BO251"/>
      <c r="BP251" s="277"/>
      <c r="BQ251" s="235"/>
      <c r="BR251" s="277"/>
      <c r="BS251" s="235"/>
      <c r="BT251" s="277"/>
      <c r="BU251" s="235"/>
      <c r="BV251" s="277"/>
      <c r="BW251" s="235"/>
      <c r="BX251" s="277"/>
      <c r="BY251" s="235"/>
      <c r="BZ251"/>
      <c r="CA251" s="136"/>
      <c r="CB251" s="266"/>
      <c r="CC251"/>
      <c r="CD251" s="277"/>
      <c r="CE251" s="291"/>
      <c r="CF251"/>
      <c r="CG251"/>
      <c r="CH251"/>
      <c r="CI251"/>
      <c r="CK251"/>
      <c r="CL251"/>
      <c r="CM251" s="259">
        <v>42161</v>
      </c>
    </row>
    <row r="252" spans="1:93" s="227" customFormat="1">
      <c r="A252" s="258">
        <v>412</v>
      </c>
      <c r="B252" s="235">
        <v>412</v>
      </c>
      <c r="C252" s="235" t="s">
        <v>7576</v>
      </c>
      <c r="D252" s="235"/>
      <c r="E252" s="235"/>
      <c r="F252" s="235"/>
      <c r="G252" s="235"/>
      <c r="H252" s="235" t="s">
        <v>265</v>
      </c>
      <c r="I252" s="235">
        <v>1</v>
      </c>
      <c r="J252" s="235"/>
      <c r="K252" s="235">
        <v>27</v>
      </c>
      <c r="L252" s="235">
        <f t="shared" si="127"/>
        <v>27</v>
      </c>
      <c r="M252" s="235">
        <v>6</v>
      </c>
      <c r="N252" s="235"/>
      <c r="O252" s="248">
        <v>42048</v>
      </c>
      <c r="P252"/>
      <c r="Q252" s="219"/>
      <c r="R252"/>
      <c r="S252"/>
      <c r="T252"/>
      <c r="U252" s="153"/>
      <c r="V252" s="219"/>
      <c r="W252" s="219"/>
      <c r="X252">
        <v>15.55</v>
      </c>
      <c r="Y252"/>
      <c r="Z252"/>
      <c r="AA252"/>
      <c r="AB252" s="220"/>
      <c r="AC252" s="219"/>
      <c r="AD252" s="221"/>
      <c r="AE252" s="219"/>
      <c r="AF252" s="220"/>
      <c r="AG252" s="219"/>
      <c r="AH252" s="220"/>
      <c r="AI252" s="219"/>
      <c r="AJ252" s="286"/>
      <c r="AK252" s="284"/>
      <c r="AL252"/>
      <c r="AM252"/>
      <c r="AN252" s="241">
        <v>70</v>
      </c>
      <c r="AO252" s="242">
        <v>42074</v>
      </c>
      <c r="AP252" s="255">
        <v>104</v>
      </c>
      <c r="AQ252" s="242">
        <v>42108</v>
      </c>
      <c r="AR252"/>
      <c r="AS252" s="297"/>
      <c r="AT252" s="290"/>
      <c r="AU252" s="298"/>
      <c r="AV252"/>
      <c r="AW252"/>
      <c r="AX252"/>
      <c r="AY252"/>
      <c r="AZ252"/>
      <c r="BA252"/>
      <c r="BB252"/>
      <c r="BC252"/>
      <c r="BD252"/>
      <c r="BE252"/>
      <c r="BF252" s="277"/>
      <c r="BG252" s="235"/>
      <c r="BH252"/>
      <c r="BI252"/>
      <c r="BJ252"/>
      <c r="BK252"/>
      <c r="BL252" s="277"/>
      <c r="BM252" s="235"/>
      <c r="BN252"/>
      <c r="BO252"/>
      <c r="BP252" s="277"/>
      <c r="BQ252" s="235"/>
      <c r="BR252" s="277"/>
      <c r="BS252" s="235"/>
      <c r="BT252" s="277"/>
      <c r="BU252" s="235"/>
      <c r="BV252" s="277"/>
      <c r="BW252" s="235"/>
      <c r="BX252" s="277"/>
      <c r="BY252" s="235"/>
      <c r="BZ252"/>
      <c r="CA252" s="136"/>
      <c r="CB252" s="266"/>
      <c r="CC252"/>
      <c r="CD252" s="277"/>
      <c r="CE252" s="291"/>
      <c r="CF252"/>
      <c r="CG252"/>
      <c r="CH252"/>
      <c r="CI252"/>
      <c r="CK252"/>
      <c r="CL252"/>
      <c r="CM252" s="259">
        <v>42161</v>
      </c>
    </row>
    <row r="253" spans="1:93" s="227" customFormat="1">
      <c r="A253" s="258">
        <v>413</v>
      </c>
      <c r="B253" s="235">
        <v>413</v>
      </c>
      <c r="C253" s="235" t="s">
        <v>7724</v>
      </c>
      <c r="D253" s="235" t="s">
        <v>7821</v>
      </c>
      <c r="E253" s="235" t="s">
        <v>7724</v>
      </c>
      <c r="F253" s="235" t="s">
        <v>8505</v>
      </c>
      <c r="G253" s="235" t="str">
        <f t="shared" ref="G253:G260" si="135">IF(MID(C253,1,3)="BGA","Complement","Rapsodyn")</f>
        <v>Rapsodyn</v>
      </c>
      <c r="H253" s="235" t="s">
        <v>265</v>
      </c>
      <c r="I253" s="235">
        <v>1</v>
      </c>
      <c r="J253" s="235">
        <v>9106</v>
      </c>
      <c r="K253" s="235">
        <v>26</v>
      </c>
      <c r="L253" s="235">
        <f t="shared" si="127"/>
        <v>26</v>
      </c>
      <c r="M253" s="235">
        <v>6</v>
      </c>
      <c r="N253" s="235">
        <v>7</v>
      </c>
      <c r="O253" s="248">
        <v>42048</v>
      </c>
      <c r="P253">
        <v>5.35</v>
      </c>
      <c r="Q253" s="264">
        <v>42204</v>
      </c>
      <c r="R253"/>
      <c r="S253"/>
      <c r="T253"/>
      <c r="U253" s="153"/>
      <c r="V253" s="219">
        <f t="shared" ref="V253:V260" si="136">+BR253*AF253/100</f>
        <v>16.561912682571762</v>
      </c>
      <c r="W253" s="219"/>
      <c r="X253">
        <v>15.55</v>
      </c>
      <c r="Y253"/>
      <c r="Z253"/>
      <c r="AA253"/>
      <c r="AB253" s="220">
        <f t="shared" ref="AB253:AB260" si="137">+AF253*BT253/100</f>
        <v>4.6685491887140627</v>
      </c>
      <c r="AC253" s="219"/>
      <c r="AD253" s="221">
        <f t="shared" ref="AD253:AD260" si="138">+(AF253/AJ253)*10000</f>
        <v>72372.438208451058</v>
      </c>
      <c r="AE253" s="219"/>
      <c r="AF253" s="220">
        <f t="shared" ref="AF253:AF260" si="139">($P253/$X253)*(((100-$CD253)/100*(100-2)/100))*100</f>
        <v>31.843872811718466</v>
      </c>
      <c r="AG253" s="219"/>
      <c r="AH253" s="220">
        <f t="shared" ref="AH253:AH260" si="140">($P253/$X253)*(((100-$CD253)/(100-9)*(100-2)/(100-2))*100)</f>
        <v>35.707415128636981</v>
      </c>
      <c r="AI253" s="219"/>
      <c r="AJ253">
        <v>4.4000000000000004</v>
      </c>
      <c r="AK253" s="284" t="s">
        <v>8398</v>
      </c>
      <c r="AL253">
        <v>145</v>
      </c>
      <c r="AM253"/>
      <c r="AN253" s="241">
        <v>72</v>
      </c>
      <c r="AO253" s="242">
        <v>42076</v>
      </c>
      <c r="AP253" s="255">
        <v>104</v>
      </c>
      <c r="AQ253" s="242">
        <v>42108</v>
      </c>
      <c r="AR253">
        <v>126</v>
      </c>
      <c r="AS253" s="297">
        <f t="shared" ref="AS253:AS260" si="141">IF(AR253=0,,AR253)</f>
        <v>126</v>
      </c>
      <c r="AT253" s="290">
        <v>42130</v>
      </c>
      <c r="AU253" s="298"/>
      <c r="AV253"/>
      <c r="AW253"/>
      <c r="AX253"/>
      <c r="AY253"/>
      <c r="AZ253"/>
      <c r="BA253"/>
      <c r="BB253"/>
      <c r="BC253"/>
      <c r="BD253"/>
      <c r="BE253"/>
      <c r="BF253" s="277">
        <v>-4.0722808837890625</v>
      </c>
      <c r="BG253" s="283">
        <v>42230</v>
      </c>
      <c r="BH253"/>
      <c r="BI253"/>
      <c r="BJ253"/>
      <c r="BK253"/>
      <c r="BL253" s="277">
        <v>66.611732482910156</v>
      </c>
      <c r="BM253" s="283">
        <v>42230</v>
      </c>
      <c r="BN253"/>
      <c r="BO253"/>
      <c r="BP253" s="277">
        <v>3.9053719043731689</v>
      </c>
      <c r="BQ253" s="283">
        <v>42230</v>
      </c>
      <c r="BR253" s="277">
        <v>52.009731292724609</v>
      </c>
      <c r="BS253" s="283">
        <v>42230</v>
      </c>
      <c r="BT253" s="277">
        <v>14.660745620727539</v>
      </c>
      <c r="BU253" s="283">
        <v>42230</v>
      </c>
      <c r="BV253" s="277">
        <v>15.308853149414063</v>
      </c>
      <c r="BW253" s="283">
        <v>42230</v>
      </c>
      <c r="BX253" s="277">
        <v>5.4551925659179687</v>
      </c>
      <c r="BY253" s="283">
        <v>42230</v>
      </c>
      <c r="BZ253"/>
      <c r="CA253" s="136"/>
      <c r="CB253" s="266">
        <v>1.95</v>
      </c>
      <c r="CC253"/>
      <c r="CD253" s="277">
        <v>5.5555555555555687</v>
      </c>
      <c r="CE253" s="291" t="s">
        <v>8398</v>
      </c>
      <c r="CF253"/>
      <c r="CG253"/>
      <c r="CH253">
        <v>2</v>
      </c>
      <c r="CI253">
        <v>3</v>
      </c>
      <c r="CK253"/>
      <c r="CL253"/>
      <c r="CM253" s="259">
        <v>42161</v>
      </c>
      <c r="CN253" s="137" t="s">
        <v>8406</v>
      </c>
    </row>
    <row r="254" spans="1:93" s="227" customFormat="1">
      <c r="A254" s="258">
        <v>414</v>
      </c>
      <c r="B254" s="235">
        <v>414</v>
      </c>
      <c r="C254" s="235" t="s">
        <v>7758</v>
      </c>
      <c r="D254" s="235" t="s">
        <v>8423</v>
      </c>
      <c r="E254" s="235" t="s">
        <v>7758</v>
      </c>
      <c r="F254" s="235" t="s">
        <v>8556</v>
      </c>
      <c r="G254" s="235" t="str">
        <f t="shared" si="135"/>
        <v>Rapsodyn</v>
      </c>
      <c r="H254" s="235" t="s">
        <v>265</v>
      </c>
      <c r="I254" s="235">
        <v>1</v>
      </c>
      <c r="J254" s="235">
        <v>9129</v>
      </c>
      <c r="K254" s="235">
        <v>25</v>
      </c>
      <c r="L254" s="235">
        <f t="shared" si="127"/>
        <v>25</v>
      </c>
      <c r="M254" s="235">
        <v>6</v>
      </c>
      <c r="N254" s="235">
        <v>9</v>
      </c>
      <c r="O254" s="248">
        <v>42048</v>
      </c>
      <c r="P254">
        <v>5</v>
      </c>
      <c r="Q254" s="264">
        <v>42204</v>
      </c>
      <c r="R254"/>
      <c r="S254"/>
      <c r="T254"/>
      <c r="U254" s="153"/>
      <c r="V254" s="219">
        <f t="shared" si="136"/>
        <v>15.35640957847669</v>
      </c>
      <c r="W254" s="219"/>
      <c r="X254">
        <v>15.55</v>
      </c>
      <c r="Y254"/>
      <c r="Z254"/>
      <c r="AA254"/>
      <c r="AB254" s="220">
        <f t="shared" si="137"/>
        <v>4.7761928330203736</v>
      </c>
      <c r="AC254" s="219"/>
      <c r="AD254" s="221">
        <f t="shared" si="138"/>
        <v>64090.686140934122</v>
      </c>
      <c r="AE254" s="219"/>
      <c r="AF254" s="220">
        <f t="shared" si="139"/>
        <v>30.250803858520904</v>
      </c>
      <c r="AG254" s="219"/>
      <c r="AH254" s="220">
        <f t="shared" si="140"/>
        <v>33.921062859969616</v>
      </c>
      <c r="AI254" s="219"/>
      <c r="AJ254">
        <v>4.72</v>
      </c>
      <c r="AK254" s="284" t="s">
        <v>8398</v>
      </c>
      <c r="AL254">
        <v>140</v>
      </c>
      <c r="AM254"/>
      <c r="AN254" s="241">
        <v>79</v>
      </c>
      <c r="AO254" s="242">
        <v>42083</v>
      </c>
      <c r="AP254" s="255">
        <v>106</v>
      </c>
      <c r="AQ254" s="242">
        <v>42110</v>
      </c>
      <c r="AR254">
        <v>127</v>
      </c>
      <c r="AS254" s="297">
        <f t="shared" si="141"/>
        <v>127</v>
      </c>
      <c r="AT254" s="290">
        <v>42131</v>
      </c>
      <c r="AU254" s="298"/>
      <c r="AV254"/>
      <c r="AW254"/>
      <c r="AX254"/>
      <c r="AY254"/>
      <c r="AZ254"/>
      <c r="BA254"/>
      <c r="BB254"/>
      <c r="BC254"/>
      <c r="BD254"/>
      <c r="BE254"/>
      <c r="BF254" s="277">
        <v>7.2137050628662109</v>
      </c>
      <c r="BG254" s="283">
        <v>42234</v>
      </c>
      <c r="BH254"/>
      <c r="BI254"/>
      <c r="BJ254"/>
      <c r="BK254"/>
      <c r="BL254" s="277">
        <v>61.291965484619141</v>
      </c>
      <c r="BM254" s="283">
        <v>42234</v>
      </c>
      <c r="BN254"/>
      <c r="BO254"/>
      <c r="BP254" s="277">
        <v>3.2541759014129639</v>
      </c>
      <c r="BQ254" s="283">
        <v>42234</v>
      </c>
      <c r="BR254" s="277">
        <v>50.763641357421875</v>
      </c>
      <c r="BS254" s="283">
        <v>42234</v>
      </c>
      <c r="BT254" s="277">
        <v>15.788647651672363</v>
      </c>
      <c r="BU254" s="283">
        <v>42234</v>
      </c>
      <c r="BV254" s="277">
        <v>21.326982498168945</v>
      </c>
      <c r="BW254" s="283">
        <v>42234</v>
      </c>
      <c r="BX254" s="277">
        <v>5.5316009521484375</v>
      </c>
      <c r="BY254" s="283">
        <v>42234</v>
      </c>
      <c r="BZ254"/>
      <c r="CA254" s="136"/>
      <c r="CB254" s="266">
        <v>1.1000000000000001</v>
      </c>
      <c r="CC254"/>
      <c r="CD254" s="277">
        <v>4.0000000000000036</v>
      </c>
      <c r="CE254" s="291" t="s">
        <v>8398</v>
      </c>
      <c r="CF254"/>
      <c r="CG254"/>
      <c r="CH254">
        <v>1</v>
      </c>
      <c r="CI254">
        <v>2</v>
      </c>
      <c r="CK254"/>
      <c r="CL254"/>
      <c r="CM254" s="259">
        <v>42161</v>
      </c>
      <c r="CN254" s="137" t="s">
        <v>8406</v>
      </c>
    </row>
    <row r="255" spans="1:93" s="227" customFormat="1">
      <c r="A255" s="258">
        <v>417</v>
      </c>
      <c r="B255" s="235">
        <v>417</v>
      </c>
      <c r="C255" s="235" t="s">
        <v>7637</v>
      </c>
      <c r="D255" s="235" t="s">
        <v>7470</v>
      </c>
      <c r="E255" s="235" t="s">
        <v>7637</v>
      </c>
      <c r="F255" s="235" t="s">
        <v>8549</v>
      </c>
      <c r="G255" s="235" t="str">
        <f t="shared" si="135"/>
        <v>Rapsodyn</v>
      </c>
      <c r="H255" s="235" t="s">
        <v>265</v>
      </c>
      <c r="I255" s="235">
        <v>1</v>
      </c>
      <c r="J255" s="235">
        <v>9025</v>
      </c>
      <c r="K255" s="235">
        <v>22</v>
      </c>
      <c r="L255" s="235">
        <f t="shared" si="127"/>
        <v>22</v>
      </c>
      <c r="M255" s="235">
        <v>6</v>
      </c>
      <c r="N255" s="235">
        <v>7</v>
      </c>
      <c r="O255" s="248">
        <v>42048</v>
      </c>
      <c r="P255">
        <v>3.85</v>
      </c>
      <c r="Q255" s="264">
        <v>42204</v>
      </c>
      <c r="R255"/>
      <c r="S255"/>
      <c r="T255"/>
      <c r="U255" s="153"/>
      <c r="V255" s="219">
        <f t="shared" si="136"/>
        <v>11.122953916541858</v>
      </c>
      <c r="W255" s="219"/>
      <c r="X255">
        <v>15.55</v>
      </c>
      <c r="Y255"/>
      <c r="Z255"/>
      <c r="AA255"/>
      <c r="AB255" s="220">
        <f t="shared" si="137"/>
        <v>4.3443404714193319</v>
      </c>
      <c r="AC255" s="219"/>
      <c r="AD255" s="221">
        <f t="shared" si="138"/>
        <v>47810.17851203015</v>
      </c>
      <c r="AE255" s="219"/>
      <c r="AF255" s="220">
        <f t="shared" si="139"/>
        <v>23.426987470894776</v>
      </c>
      <c r="AG255" s="219"/>
      <c r="AH255" s="220">
        <f t="shared" si="140"/>
        <v>26.26932885276382</v>
      </c>
      <c r="AI255" s="219"/>
      <c r="AJ255">
        <v>4.9000000000000004</v>
      </c>
      <c r="AK255" s="284" t="s">
        <v>8401</v>
      </c>
      <c r="AL255">
        <v>155</v>
      </c>
      <c r="AM255"/>
      <c r="AN255" s="241">
        <v>79</v>
      </c>
      <c r="AO255" s="242">
        <v>42083</v>
      </c>
      <c r="AP255" s="255">
        <v>106</v>
      </c>
      <c r="AQ255" s="242">
        <v>42110</v>
      </c>
      <c r="AR255">
        <v>131</v>
      </c>
      <c r="AS255" s="297">
        <f t="shared" si="141"/>
        <v>131</v>
      </c>
      <c r="AT255" s="290">
        <v>42135</v>
      </c>
      <c r="AU255" s="298"/>
      <c r="AV255"/>
      <c r="AW255"/>
      <c r="AX255"/>
      <c r="AY255"/>
      <c r="AZ255"/>
      <c r="BA255"/>
      <c r="BB255"/>
      <c r="BC255"/>
      <c r="BD255"/>
      <c r="BE255"/>
      <c r="BF255" s="277">
        <v>-5.4405770301818848</v>
      </c>
      <c r="BG255" s="283">
        <v>42233</v>
      </c>
      <c r="BH255"/>
      <c r="BI255"/>
      <c r="BJ255"/>
      <c r="BK255"/>
      <c r="BL255" s="277">
        <v>60.809703826904297</v>
      </c>
      <c r="BM255" s="283">
        <v>42233</v>
      </c>
      <c r="BN255"/>
      <c r="BO255"/>
      <c r="BP255" s="277">
        <v>3.5756380558013916</v>
      </c>
      <c r="BQ255" s="283">
        <v>42233</v>
      </c>
      <c r="BR255" s="277">
        <v>47.479232788085938</v>
      </c>
      <c r="BS255" s="283">
        <v>42233</v>
      </c>
      <c r="BT255" s="277">
        <v>18.544170379638672</v>
      </c>
      <c r="BU255" s="283">
        <v>42233</v>
      </c>
      <c r="BV255" s="277">
        <v>59.015869140625</v>
      </c>
      <c r="BW255" s="283">
        <v>42233</v>
      </c>
      <c r="BX255" s="277">
        <v>5.6844100952148437</v>
      </c>
      <c r="BY255" s="283">
        <v>42233</v>
      </c>
      <c r="BZ255"/>
      <c r="CA255" s="136"/>
      <c r="CB255" s="266">
        <v>1.66</v>
      </c>
      <c r="CC255"/>
      <c r="CD255" s="277">
        <v>3.4482758620689689</v>
      </c>
      <c r="CE255" s="291" t="s">
        <v>8401</v>
      </c>
      <c r="CF255"/>
      <c r="CG255"/>
      <c r="CH255">
        <v>3</v>
      </c>
      <c r="CI255">
        <v>3</v>
      </c>
      <c r="CK255"/>
      <c r="CL255"/>
      <c r="CM255" s="259">
        <v>42161</v>
      </c>
      <c r="CN255" s="137" t="s">
        <v>8406</v>
      </c>
    </row>
    <row r="256" spans="1:93" s="227" customFormat="1">
      <c r="A256" s="258">
        <v>418</v>
      </c>
      <c r="B256" s="235">
        <v>418</v>
      </c>
      <c r="C256" s="235" t="s">
        <v>7801</v>
      </c>
      <c r="D256" s="235" t="s">
        <v>7846</v>
      </c>
      <c r="E256" s="235" t="s">
        <v>7801</v>
      </c>
      <c r="F256" s="235" t="s">
        <v>8464</v>
      </c>
      <c r="G256" s="235" t="str">
        <f t="shared" si="135"/>
        <v>Rapsodyn</v>
      </c>
      <c r="H256" s="235" t="s">
        <v>265</v>
      </c>
      <c r="I256" s="235">
        <v>1</v>
      </c>
      <c r="J256" s="235">
        <v>9172</v>
      </c>
      <c r="K256" s="235">
        <v>21</v>
      </c>
      <c r="L256" s="235">
        <f t="shared" si="127"/>
        <v>21</v>
      </c>
      <c r="M256" s="235">
        <v>6</v>
      </c>
      <c r="N256" s="235">
        <v>7</v>
      </c>
      <c r="O256" s="248">
        <v>42048</v>
      </c>
      <c r="P256" s="223">
        <v>5.4</v>
      </c>
      <c r="Q256" s="264">
        <v>42204</v>
      </c>
      <c r="R256" s="223"/>
      <c r="S256" s="223"/>
      <c r="T256" s="223"/>
      <c r="U256" s="225"/>
      <c r="V256" s="219">
        <f t="shared" si="136"/>
        <v>17.000031033236883</v>
      </c>
      <c r="W256" s="224"/>
      <c r="X256">
        <v>15.55</v>
      </c>
      <c r="Y256" s="223"/>
      <c r="Z256" s="223"/>
      <c r="AA256" s="223"/>
      <c r="AB256" s="220">
        <f t="shared" si="137"/>
        <v>5.1726950955160955</v>
      </c>
      <c r="AC256" s="224"/>
      <c r="AD256" s="221">
        <f t="shared" si="138"/>
        <v>67247.377576300685</v>
      </c>
      <c r="AE256" s="224"/>
      <c r="AF256" s="220">
        <f t="shared" si="139"/>
        <v>32.816720257234735</v>
      </c>
      <c r="AG256" s="224"/>
      <c r="AH256" s="220">
        <f t="shared" si="140"/>
        <v>36.798295870413469</v>
      </c>
      <c r="AI256" s="224"/>
      <c r="AJ256">
        <v>4.88</v>
      </c>
      <c r="AK256" s="290" t="s">
        <v>8401</v>
      </c>
      <c r="AL256" s="223">
        <v>165</v>
      </c>
      <c r="AM256" s="223"/>
      <c r="AN256" s="241">
        <v>70</v>
      </c>
      <c r="AO256" s="242">
        <v>42074</v>
      </c>
      <c r="AP256" s="255">
        <v>106</v>
      </c>
      <c r="AQ256" s="242">
        <v>42110</v>
      </c>
      <c r="AR256" s="223">
        <v>131</v>
      </c>
      <c r="AS256" s="297">
        <f t="shared" si="141"/>
        <v>131</v>
      </c>
      <c r="AT256" s="290">
        <v>42135</v>
      </c>
      <c r="AU256" s="298"/>
      <c r="AV256" s="223"/>
      <c r="AW256" s="223"/>
      <c r="AX256" s="223"/>
      <c r="AY256" s="223"/>
      <c r="AZ256" s="223"/>
      <c r="BA256" s="223"/>
      <c r="BB256" s="223"/>
      <c r="BC256" s="223"/>
      <c r="BD256" s="223"/>
      <c r="BE256" s="223"/>
      <c r="BF256" s="281">
        <v>-3.54551100730896</v>
      </c>
      <c r="BG256" s="283">
        <v>42233</v>
      </c>
      <c r="BH256" s="223"/>
      <c r="BI256" s="223"/>
      <c r="BJ256" s="223"/>
      <c r="BK256" s="223"/>
      <c r="BL256" s="281">
        <v>62.970607757568359</v>
      </c>
      <c r="BM256" s="283">
        <v>42233</v>
      </c>
      <c r="BN256" s="223"/>
      <c r="BO256" s="223"/>
      <c r="BP256" s="281">
        <v>3.7481729984283447</v>
      </c>
      <c r="BQ256" s="283">
        <v>42233</v>
      </c>
      <c r="BR256" s="281">
        <v>51.802955627441406</v>
      </c>
      <c r="BS256" s="283">
        <v>42233</v>
      </c>
      <c r="BT256" s="281">
        <v>15.76237678527832</v>
      </c>
      <c r="BU256" s="283">
        <v>42233</v>
      </c>
      <c r="BV256" s="281">
        <v>14.415708541870117</v>
      </c>
      <c r="BW256" s="283">
        <v>42233</v>
      </c>
      <c r="BX256" s="281">
        <v>5.3245162963867188</v>
      </c>
      <c r="BY256" s="283">
        <v>42233</v>
      </c>
      <c r="BZ256" s="223"/>
      <c r="CA256" s="226"/>
      <c r="CB256" s="266">
        <v>2.42</v>
      </c>
      <c r="CC256" s="223"/>
      <c r="CD256" s="281">
        <v>3.5714285714285587</v>
      </c>
      <c r="CE256" s="291" t="s">
        <v>8401</v>
      </c>
      <c r="CF256" s="223"/>
      <c r="CG256" s="223"/>
      <c r="CH256" s="223">
        <v>2</v>
      </c>
      <c r="CI256" s="223">
        <v>2</v>
      </c>
      <c r="CK256" s="223"/>
      <c r="CL256" s="223"/>
      <c r="CM256" s="259">
        <v>42161</v>
      </c>
      <c r="CN256" s="137" t="s">
        <v>8406</v>
      </c>
    </row>
    <row r="257" spans="1:93" s="227" customFormat="1">
      <c r="A257" s="258">
        <v>421</v>
      </c>
      <c r="B257" s="235">
        <v>421</v>
      </c>
      <c r="C257" s="235" t="s">
        <v>7757</v>
      </c>
      <c r="D257" s="235" t="s">
        <v>7814</v>
      </c>
      <c r="E257" s="235" t="s">
        <v>7757</v>
      </c>
      <c r="F257" s="235" t="s">
        <v>8593</v>
      </c>
      <c r="G257" s="235" t="str">
        <f t="shared" si="135"/>
        <v>Rapsodyn</v>
      </c>
      <c r="H257" s="235" t="s">
        <v>265</v>
      </c>
      <c r="I257" s="235">
        <v>1</v>
      </c>
      <c r="J257" s="235">
        <v>9128</v>
      </c>
      <c r="K257" s="235">
        <v>18</v>
      </c>
      <c r="L257" s="235">
        <f t="shared" si="127"/>
        <v>18</v>
      </c>
      <c r="M257" s="235">
        <v>6</v>
      </c>
      <c r="N257" s="235">
        <v>7</v>
      </c>
      <c r="O257" s="248">
        <v>42048</v>
      </c>
      <c r="P257">
        <v>3.15</v>
      </c>
      <c r="Q257" s="264">
        <v>42204</v>
      </c>
      <c r="R257"/>
      <c r="S257"/>
      <c r="T257"/>
      <c r="U257" s="153"/>
      <c r="V257" s="219">
        <f t="shared" si="136"/>
        <v>9.8134413618909235</v>
      </c>
      <c r="W257" s="219"/>
      <c r="X257">
        <v>15.55</v>
      </c>
      <c r="Y257"/>
      <c r="Z257"/>
      <c r="AA257"/>
      <c r="AB257" s="220">
        <f t="shared" si="137"/>
        <v>3.0974910286874042</v>
      </c>
      <c r="AC257" s="219"/>
      <c r="AD257" s="221">
        <f t="shared" si="138"/>
        <v>44485.479389043023</v>
      </c>
      <c r="AE257" s="219"/>
      <c r="AF257" s="220">
        <f t="shared" si="139"/>
        <v>18.728386822787112</v>
      </c>
      <c r="AG257" s="219"/>
      <c r="AH257" s="220">
        <f t="shared" si="140"/>
        <v>21.000658020617976</v>
      </c>
      <c r="AI257" s="219"/>
      <c r="AJ257">
        <v>4.21</v>
      </c>
      <c r="AK257" s="284" t="s">
        <v>8399</v>
      </c>
      <c r="AL257">
        <v>185</v>
      </c>
      <c r="AM257"/>
      <c r="AN257" s="241">
        <v>70</v>
      </c>
      <c r="AO257" s="242">
        <v>42074</v>
      </c>
      <c r="AP257" s="255">
        <v>113</v>
      </c>
      <c r="AQ257" s="242">
        <v>42117</v>
      </c>
      <c r="AR257">
        <v>141</v>
      </c>
      <c r="AS257" s="297">
        <f t="shared" si="141"/>
        <v>141</v>
      </c>
      <c r="AT257" s="290">
        <v>42145</v>
      </c>
      <c r="AU257" s="298"/>
      <c r="AV257"/>
      <c r="AW257"/>
      <c r="AX257"/>
      <c r="AY257"/>
      <c r="AZ257"/>
      <c r="BA257"/>
      <c r="BB257"/>
      <c r="BC257"/>
      <c r="BD257"/>
      <c r="BE257"/>
      <c r="BF257" s="277">
        <v>35.93975830078125</v>
      </c>
      <c r="BG257" s="283">
        <v>42230</v>
      </c>
      <c r="BH257"/>
      <c r="BI257"/>
      <c r="BJ257"/>
      <c r="BK257"/>
      <c r="BL257" s="277">
        <v>60.567680358886719</v>
      </c>
      <c r="BM257" s="283">
        <v>42230</v>
      </c>
      <c r="BN257"/>
      <c r="BO257"/>
      <c r="BP257" s="277">
        <v>3.3007349967956543</v>
      </c>
      <c r="BQ257" s="283">
        <v>42230</v>
      </c>
      <c r="BR257" s="277">
        <v>52.398754119873047</v>
      </c>
      <c r="BS257" s="283">
        <v>42230</v>
      </c>
      <c r="BT257" s="277">
        <v>16.539016723632813</v>
      </c>
      <c r="BU257" s="283">
        <v>42230</v>
      </c>
      <c r="BV257" s="277">
        <v>62.227790832519531</v>
      </c>
      <c r="BW257" s="283">
        <v>42230</v>
      </c>
      <c r="BX257" s="277">
        <v>5.152984619140625</v>
      </c>
      <c r="BY257" s="283">
        <v>42230</v>
      </c>
      <c r="BZ257"/>
      <c r="CA257" s="136"/>
      <c r="CB257" s="266">
        <v>2.34</v>
      </c>
      <c r="CC257"/>
      <c r="CD257" s="277">
        <v>5.660377358490563</v>
      </c>
      <c r="CE257" s="291" t="s">
        <v>8399</v>
      </c>
      <c r="CF257"/>
      <c r="CG257"/>
      <c r="CH257">
        <v>2</v>
      </c>
      <c r="CI257">
        <v>8</v>
      </c>
      <c r="CK257"/>
      <c r="CL257">
        <v>3</v>
      </c>
      <c r="CM257" s="259">
        <v>42161</v>
      </c>
      <c r="CN257" s="137"/>
      <c r="CO257" s="137" t="s">
        <v>8405</v>
      </c>
    </row>
    <row r="258" spans="1:93" s="227" customFormat="1">
      <c r="A258" s="258">
        <v>426</v>
      </c>
      <c r="B258" s="235">
        <v>426</v>
      </c>
      <c r="C258" s="235" t="s">
        <v>7704</v>
      </c>
      <c r="D258" s="235" t="s">
        <v>7530</v>
      </c>
      <c r="E258" s="235" t="s">
        <v>7704</v>
      </c>
      <c r="F258" s="235" t="s">
        <v>8576</v>
      </c>
      <c r="G258" s="235" t="str">
        <f t="shared" si="135"/>
        <v>Rapsodyn</v>
      </c>
      <c r="H258" s="235" t="s">
        <v>265</v>
      </c>
      <c r="I258" s="235">
        <v>1</v>
      </c>
      <c r="J258" s="235">
        <v>9086</v>
      </c>
      <c r="K258" s="235">
        <v>13</v>
      </c>
      <c r="L258" s="235">
        <f t="shared" si="127"/>
        <v>13</v>
      </c>
      <c r="M258" s="235">
        <v>6</v>
      </c>
      <c r="N258" s="235">
        <v>5</v>
      </c>
      <c r="O258" s="248">
        <v>42048</v>
      </c>
      <c r="P258" s="223">
        <v>4.75</v>
      </c>
      <c r="Q258" s="264">
        <v>42204</v>
      </c>
      <c r="R258" s="223"/>
      <c r="S258" s="223"/>
      <c r="T258" s="223"/>
      <c r="U258" s="225"/>
      <c r="V258" s="219">
        <f t="shared" si="136"/>
        <v>14.942642018545637</v>
      </c>
      <c r="W258" s="224"/>
      <c r="X258">
        <v>15.55</v>
      </c>
      <c r="Y258" s="223"/>
      <c r="Z258" s="223"/>
      <c r="AA258" s="223"/>
      <c r="AB258" s="220">
        <f t="shared" si="137"/>
        <v>4.5926385845484727</v>
      </c>
      <c r="AC258" s="224"/>
      <c r="AD258" s="221">
        <f t="shared" si="138"/>
        <v>74300.549313298528</v>
      </c>
      <c r="AE258" s="224"/>
      <c r="AF258" s="220">
        <f t="shared" si="139"/>
        <v>29.348716978752918</v>
      </c>
      <c r="AG258" s="224"/>
      <c r="AH258" s="220">
        <f t="shared" si="140"/>
        <v>32.909527897233595</v>
      </c>
      <c r="AI258" s="224"/>
      <c r="AJ258">
        <v>3.95</v>
      </c>
      <c r="AK258" s="290" t="s">
        <v>8403</v>
      </c>
      <c r="AL258" s="223">
        <v>145</v>
      </c>
      <c r="AM258" s="223"/>
      <c r="AN258" s="241">
        <v>79</v>
      </c>
      <c r="AO258" s="242">
        <v>42083</v>
      </c>
      <c r="AP258" s="255">
        <v>104</v>
      </c>
      <c r="AQ258" s="242">
        <v>42108</v>
      </c>
      <c r="AR258" s="223">
        <v>132</v>
      </c>
      <c r="AS258" s="297">
        <f t="shared" si="141"/>
        <v>132</v>
      </c>
      <c r="AT258" s="290">
        <v>42136</v>
      </c>
      <c r="AU258" s="298"/>
      <c r="AV258" s="223"/>
      <c r="AW258" s="223"/>
      <c r="AX258" s="223"/>
      <c r="AY258" s="223"/>
      <c r="AZ258" s="223"/>
      <c r="BA258" s="223"/>
      <c r="BB258" s="223"/>
      <c r="BC258" s="223"/>
      <c r="BD258" s="223"/>
      <c r="BE258" s="223"/>
      <c r="BF258" s="281">
        <v>-6.7573471069335937</v>
      </c>
      <c r="BG258" s="283">
        <v>42233</v>
      </c>
      <c r="BH258" s="223"/>
      <c r="BI258" s="223"/>
      <c r="BJ258" s="223"/>
      <c r="BK258" s="223"/>
      <c r="BL258" s="281">
        <v>64.894729614257813</v>
      </c>
      <c r="BM258" s="283">
        <v>42233</v>
      </c>
      <c r="BN258" s="223"/>
      <c r="BO258" s="223"/>
      <c r="BP258" s="281">
        <v>3.2661008834838867</v>
      </c>
      <c r="BQ258" s="283">
        <v>42233</v>
      </c>
      <c r="BR258" s="281">
        <v>50.91412353515625</v>
      </c>
      <c r="BS258" s="283">
        <v>42233</v>
      </c>
      <c r="BT258" s="281">
        <v>15.648515701293945</v>
      </c>
      <c r="BU258" s="283">
        <v>42233</v>
      </c>
      <c r="BV258" s="281">
        <v>18.477954864501953</v>
      </c>
      <c r="BW258" s="283">
        <v>42233</v>
      </c>
      <c r="BX258" s="281">
        <v>5.49688720703125</v>
      </c>
      <c r="BY258" s="283">
        <v>42233</v>
      </c>
      <c r="BZ258" s="223"/>
      <c r="CA258" s="226"/>
      <c r="CB258" s="266">
        <v>1.35</v>
      </c>
      <c r="CC258" s="223"/>
      <c r="CD258" s="281">
        <v>1.9607843137254832</v>
      </c>
      <c r="CE258" s="291" t="s">
        <v>8403</v>
      </c>
      <c r="CF258" s="223"/>
      <c r="CG258" s="223"/>
      <c r="CH258" s="223">
        <v>2</v>
      </c>
      <c r="CI258" s="223">
        <v>3</v>
      </c>
      <c r="CK258" s="223"/>
      <c r="CL258" s="223"/>
      <c r="CM258" s="259">
        <v>42161</v>
      </c>
      <c r="CN258" s="137" t="s">
        <v>8406</v>
      </c>
    </row>
    <row r="259" spans="1:93" s="227" customFormat="1">
      <c r="A259" s="258">
        <v>431</v>
      </c>
      <c r="B259" s="235">
        <v>431</v>
      </c>
      <c r="C259" s="235" t="s">
        <v>7695</v>
      </c>
      <c r="D259" s="235" t="s">
        <v>7521</v>
      </c>
      <c r="E259" s="235" t="s">
        <v>7695</v>
      </c>
      <c r="F259" s="235" t="s">
        <v>8594</v>
      </c>
      <c r="G259" s="235" t="str">
        <f t="shared" si="135"/>
        <v>Rapsodyn</v>
      </c>
      <c r="H259" s="235" t="s">
        <v>265</v>
      </c>
      <c r="I259" s="235">
        <v>1</v>
      </c>
      <c r="J259" s="235">
        <v>9077</v>
      </c>
      <c r="K259" s="235">
        <v>8</v>
      </c>
      <c r="L259" s="235">
        <f t="shared" si="127"/>
        <v>8</v>
      </c>
      <c r="M259" s="235">
        <v>6</v>
      </c>
      <c r="N259" s="235">
        <v>5</v>
      </c>
      <c r="O259" s="248">
        <v>42048</v>
      </c>
      <c r="P259">
        <v>4.8499999999999996</v>
      </c>
      <c r="Q259" s="264">
        <v>42204</v>
      </c>
      <c r="R259"/>
      <c r="S259"/>
      <c r="T259"/>
      <c r="U259" s="153"/>
      <c r="V259" s="219">
        <f t="shared" si="136"/>
        <v>15.279064894575857</v>
      </c>
      <c r="W259" s="219"/>
      <c r="X259">
        <v>15.55</v>
      </c>
      <c r="Y259"/>
      <c r="Z259"/>
      <c r="AA259"/>
      <c r="AB259" s="220">
        <f t="shared" si="137"/>
        <v>4.532673543322467</v>
      </c>
      <c r="AC259" s="219"/>
      <c r="AD259" s="221">
        <f t="shared" si="138"/>
        <v>66318.919733745584</v>
      </c>
      <c r="AE259" s="219"/>
      <c r="AF259" s="220">
        <f t="shared" si="139"/>
        <v>29.511919281516789</v>
      </c>
      <c r="AG259" s="219"/>
      <c r="AH259" s="220">
        <f t="shared" si="140"/>
        <v>33.092531152182993</v>
      </c>
      <c r="AI259" s="219"/>
      <c r="AJ259">
        <v>4.45</v>
      </c>
      <c r="AK259" s="284" t="s">
        <v>8398</v>
      </c>
      <c r="AL259">
        <v>160</v>
      </c>
      <c r="AM259"/>
      <c r="AN259" s="241">
        <v>70</v>
      </c>
      <c r="AO259" s="242">
        <v>42074</v>
      </c>
      <c r="AP259" s="255">
        <v>106</v>
      </c>
      <c r="AQ259" s="242">
        <v>42110</v>
      </c>
      <c r="AR259" s="223">
        <v>132</v>
      </c>
      <c r="AS259" s="297">
        <f t="shared" si="141"/>
        <v>132</v>
      </c>
      <c r="AT259" s="290">
        <v>42136</v>
      </c>
      <c r="AU259" s="298"/>
      <c r="AV259"/>
      <c r="AW259"/>
      <c r="AX259"/>
      <c r="AY259"/>
      <c r="AZ259"/>
      <c r="BA259"/>
      <c r="BB259"/>
      <c r="BC259"/>
      <c r="BD259"/>
      <c r="BE259"/>
      <c r="BF259" s="277">
        <v>-3.2778589725494385</v>
      </c>
      <c r="BG259" s="283">
        <v>42230</v>
      </c>
      <c r="BH259"/>
      <c r="BI259"/>
      <c r="BJ259"/>
      <c r="BK259"/>
      <c r="BL259" s="277">
        <v>64.428810119628906</v>
      </c>
      <c r="BM259" s="283">
        <v>42230</v>
      </c>
      <c r="BN259"/>
      <c r="BO259"/>
      <c r="BP259" s="277">
        <v>3.420058012008667</v>
      </c>
      <c r="BQ259" s="283">
        <v>42230</v>
      </c>
      <c r="BR259" s="277">
        <v>51.77252197265625</v>
      </c>
      <c r="BS259" s="283">
        <v>42230</v>
      </c>
      <c r="BT259" s="277">
        <v>15.358789443969727</v>
      </c>
      <c r="BU259" s="283">
        <v>42230</v>
      </c>
      <c r="BV259" s="277">
        <v>12.581777572631836</v>
      </c>
      <c r="BW259" s="283">
        <v>42230</v>
      </c>
      <c r="BX259" s="277">
        <v>5.5314559936523437</v>
      </c>
      <c r="BY259" s="283">
        <v>42230</v>
      </c>
      <c r="BZ259"/>
      <c r="CA259" s="136"/>
      <c r="CB259" s="266">
        <v>1.24</v>
      </c>
      <c r="CC259"/>
      <c r="CD259" s="277">
        <v>3.4482758620689689</v>
      </c>
      <c r="CE259" s="291" t="s">
        <v>8398</v>
      </c>
      <c r="CF259"/>
      <c r="CG259"/>
      <c r="CH259">
        <v>2</v>
      </c>
      <c r="CI259">
        <v>4</v>
      </c>
      <c r="CK259"/>
      <c r="CL259"/>
      <c r="CM259" s="259">
        <v>42161</v>
      </c>
      <c r="CN259" s="137" t="s">
        <v>8406</v>
      </c>
    </row>
    <row r="260" spans="1:93" s="227" customFormat="1">
      <c r="A260" s="258">
        <v>432</v>
      </c>
      <c r="B260" s="235">
        <v>432</v>
      </c>
      <c r="C260" s="235" t="s">
        <v>7700</v>
      </c>
      <c r="D260" s="235" t="s">
        <v>7526</v>
      </c>
      <c r="E260" s="235" t="s">
        <v>7700</v>
      </c>
      <c r="F260" s="235" t="s">
        <v>8516</v>
      </c>
      <c r="G260" s="235" t="str">
        <f t="shared" si="135"/>
        <v>Rapsodyn</v>
      </c>
      <c r="H260" s="235" t="s">
        <v>265</v>
      </c>
      <c r="I260" s="235">
        <v>1</v>
      </c>
      <c r="J260" s="235">
        <v>9082</v>
      </c>
      <c r="K260" s="235">
        <v>7</v>
      </c>
      <c r="L260" s="235">
        <f t="shared" si="127"/>
        <v>7</v>
      </c>
      <c r="M260" s="235">
        <v>6</v>
      </c>
      <c r="N260" s="236">
        <v>5</v>
      </c>
      <c r="O260" s="248">
        <v>42048</v>
      </c>
      <c r="P260">
        <v>4.8</v>
      </c>
      <c r="Q260" s="264">
        <v>42204</v>
      </c>
      <c r="R260"/>
      <c r="S260"/>
      <c r="T260"/>
      <c r="U260" s="153"/>
      <c r="V260" s="219">
        <f t="shared" si="136"/>
        <v>14.4721209461666</v>
      </c>
      <c r="W260" s="219"/>
      <c r="X260">
        <v>15.55</v>
      </c>
      <c r="Y260"/>
      <c r="Z260"/>
      <c r="AA260"/>
      <c r="AB260" s="220">
        <f t="shared" si="137"/>
        <v>4.4725426976243785</v>
      </c>
      <c r="AC260" s="219"/>
      <c r="AD260" s="221">
        <f t="shared" si="138"/>
        <v>68822.656443235217</v>
      </c>
      <c r="AE260" s="219"/>
      <c r="AF260" s="220">
        <f t="shared" si="139"/>
        <v>28.630225080385852</v>
      </c>
      <c r="AG260" s="219"/>
      <c r="AH260" s="220">
        <f t="shared" si="140"/>
        <v>32.103863063899809</v>
      </c>
      <c r="AI260" s="219"/>
      <c r="AJ260">
        <v>4.16</v>
      </c>
      <c r="AK260" s="284" t="s">
        <v>8398</v>
      </c>
      <c r="AL260">
        <v>165</v>
      </c>
      <c r="AM260"/>
      <c r="AN260" s="241">
        <v>72</v>
      </c>
      <c r="AO260" s="242">
        <v>42076</v>
      </c>
      <c r="AP260" s="255">
        <v>106</v>
      </c>
      <c r="AQ260" s="242">
        <v>42110</v>
      </c>
      <c r="AR260" s="223">
        <v>127</v>
      </c>
      <c r="AS260" s="297">
        <f t="shared" si="141"/>
        <v>127</v>
      </c>
      <c r="AT260" s="290">
        <v>42131</v>
      </c>
      <c r="AU260" s="298"/>
      <c r="AV260"/>
      <c r="AW260"/>
      <c r="AX260"/>
      <c r="AY260"/>
      <c r="AZ260"/>
      <c r="BA260"/>
      <c r="BB260"/>
      <c r="BC260"/>
      <c r="BD260"/>
      <c r="BE260"/>
      <c r="BF260" s="277">
        <v>3.5390999168157578E-2</v>
      </c>
      <c r="BG260" s="283">
        <v>42230</v>
      </c>
      <c r="BH260"/>
      <c r="BI260"/>
      <c r="BJ260"/>
      <c r="BK260"/>
      <c r="BL260" s="277">
        <v>64.779281616210938</v>
      </c>
      <c r="BM260" s="283">
        <v>42230</v>
      </c>
      <c r="BN260"/>
      <c r="BO260"/>
      <c r="BP260" s="277">
        <v>3.2370760440826416</v>
      </c>
      <c r="BQ260" s="283">
        <v>42230</v>
      </c>
      <c r="BR260" s="277">
        <v>50.54840087890625</v>
      </c>
      <c r="BS260" s="283">
        <v>42230</v>
      </c>
      <c r="BT260" s="277">
        <v>15.62175178527832</v>
      </c>
      <c r="BU260" s="283">
        <v>42230</v>
      </c>
      <c r="BV260" s="277">
        <v>11.745183944702148</v>
      </c>
      <c r="BW260" s="283">
        <v>42230</v>
      </c>
      <c r="BX260" s="277">
        <v>5.6110458374023437</v>
      </c>
      <c r="BY260" s="283">
        <v>42230</v>
      </c>
      <c r="BZ260"/>
      <c r="CA260" s="136"/>
      <c r="CB260" s="266">
        <v>1.32</v>
      </c>
      <c r="CC260"/>
      <c r="CD260" s="277">
        <v>5.3571428571428541</v>
      </c>
      <c r="CE260" s="291" t="s">
        <v>8398</v>
      </c>
      <c r="CF260"/>
      <c r="CG260"/>
      <c r="CH260">
        <v>1</v>
      </c>
      <c r="CI260">
        <v>2</v>
      </c>
      <c r="CK260"/>
      <c r="CL260">
        <v>3</v>
      </c>
      <c r="CM260" s="259">
        <v>42161</v>
      </c>
      <c r="CN260" s="137" t="s">
        <v>8406</v>
      </c>
    </row>
    <row r="261" spans="1:93" s="227" customFormat="1">
      <c r="A261" s="258">
        <v>433</v>
      </c>
      <c r="B261" s="236">
        <v>433</v>
      </c>
      <c r="C261" s="235" t="s">
        <v>7576</v>
      </c>
      <c r="D261" s="235"/>
      <c r="E261" s="235"/>
      <c r="F261" s="235"/>
      <c r="G261" s="235"/>
      <c r="H261" s="235" t="s">
        <v>265</v>
      </c>
      <c r="I261" s="235">
        <v>1</v>
      </c>
      <c r="J261" s="235"/>
      <c r="K261" s="235">
        <v>6</v>
      </c>
      <c r="L261" s="235">
        <f t="shared" si="127"/>
        <v>6</v>
      </c>
      <c r="M261" s="235">
        <v>6</v>
      </c>
      <c r="N261" s="235"/>
      <c r="O261" s="248">
        <v>42048</v>
      </c>
      <c r="P261"/>
      <c r="Q261" s="219"/>
      <c r="R261"/>
      <c r="S261"/>
      <c r="T261"/>
      <c r="U261" s="153"/>
      <c r="V261" s="219"/>
      <c r="W261" s="219"/>
      <c r="X261">
        <v>15.55</v>
      </c>
      <c r="Y261"/>
      <c r="Z261"/>
      <c r="AA261"/>
      <c r="AB261" s="220"/>
      <c r="AC261" s="219"/>
      <c r="AD261" s="221"/>
      <c r="AE261" s="219"/>
      <c r="AF261" s="220"/>
      <c r="AG261" s="219"/>
      <c r="AH261" s="220"/>
      <c r="AI261" s="219"/>
      <c r="AJ261" s="286"/>
      <c r="AK261" s="284"/>
      <c r="AL261"/>
      <c r="AM261"/>
      <c r="AN261" s="241">
        <v>70</v>
      </c>
      <c r="AO261" s="242">
        <v>42074</v>
      </c>
      <c r="AP261" s="255">
        <v>104</v>
      </c>
      <c r="AQ261" s="242">
        <v>42108</v>
      </c>
      <c r="AR261"/>
      <c r="AS261" s="297"/>
      <c r="AT261" s="290"/>
      <c r="AU261" s="298"/>
      <c r="AV261"/>
      <c r="AW261"/>
      <c r="AX261"/>
      <c r="AY261"/>
      <c r="AZ261"/>
      <c r="BA261"/>
      <c r="BB261"/>
      <c r="BC261"/>
      <c r="BD261"/>
      <c r="BE261"/>
      <c r="BF261" s="277"/>
      <c r="BG261" s="235"/>
      <c r="BH261"/>
      <c r="BI261"/>
      <c r="BJ261"/>
      <c r="BK261"/>
      <c r="BL261" s="277"/>
      <c r="BM261" s="235"/>
      <c r="BN261"/>
      <c r="BO261"/>
      <c r="BP261" s="277"/>
      <c r="BQ261" s="235"/>
      <c r="BR261" s="277"/>
      <c r="BS261" s="235"/>
      <c r="BT261" s="277"/>
      <c r="BU261" s="235"/>
      <c r="BV261" s="277"/>
      <c r="BW261" s="235"/>
      <c r="BX261" s="277"/>
      <c r="BY261" s="235"/>
      <c r="BZ261"/>
      <c r="CA261" s="136"/>
      <c r="CB261" s="266"/>
      <c r="CC261"/>
      <c r="CD261" s="277"/>
      <c r="CE261" s="291"/>
      <c r="CF261"/>
      <c r="CG261"/>
      <c r="CH261"/>
      <c r="CI261"/>
      <c r="CK261"/>
      <c r="CL261"/>
      <c r="CM261" s="259">
        <v>42161</v>
      </c>
    </row>
    <row r="262" spans="1:93" s="227" customFormat="1">
      <c r="A262" s="258">
        <v>434</v>
      </c>
      <c r="B262" s="235">
        <v>434</v>
      </c>
      <c r="C262" s="238" t="s">
        <v>7731</v>
      </c>
      <c r="D262" s="238" t="s">
        <v>7554</v>
      </c>
      <c r="E262" s="238" t="s">
        <v>7731</v>
      </c>
      <c r="F262" s="238" t="s">
        <v>8564</v>
      </c>
      <c r="G262" s="235" t="str">
        <f>IF(MID(C262,1,3)="BGA","Complement","Rapsodyn")</f>
        <v>Rapsodyn</v>
      </c>
      <c r="H262" s="235" t="s">
        <v>265</v>
      </c>
      <c r="I262" s="235">
        <v>1</v>
      </c>
      <c r="J262" s="238">
        <v>9374</v>
      </c>
      <c r="K262" s="238">
        <v>5</v>
      </c>
      <c r="L262" s="235">
        <f t="shared" si="127"/>
        <v>5</v>
      </c>
      <c r="M262" s="238">
        <v>6</v>
      </c>
      <c r="N262" s="235">
        <v>5</v>
      </c>
      <c r="O262" s="248">
        <v>42048</v>
      </c>
      <c r="P262">
        <v>1.65</v>
      </c>
      <c r="Q262" s="264">
        <v>42204</v>
      </c>
      <c r="R262"/>
      <c r="S262"/>
      <c r="T262"/>
      <c r="U262" s="153"/>
      <c r="V262" s="219">
        <f>+BR262*AF262/100</f>
        <v>4.9067443844138481</v>
      </c>
      <c r="W262" s="219"/>
      <c r="X262">
        <v>15.55</v>
      </c>
      <c r="Y262"/>
      <c r="Z262"/>
      <c r="AA262"/>
      <c r="AB262" s="220">
        <f>+AF262*BT262/100</f>
        <v>2.0248444397513286</v>
      </c>
      <c r="AC262" s="219"/>
      <c r="AD262" s="221">
        <f>+(AF262/AJ262)*10000</f>
        <v>22773.463568525149</v>
      </c>
      <c r="AE262" s="219"/>
      <c r="AF262" s="220">
        <f>($P262/$X262)*(((100-$CD262)/100*(100-2)/100))*100</f>
        <v>10.202511678699267</v>
      </c>
      <c r="AG262" s="219"/>
      <c r="AH262" s="220">
        <f>($P262/$X262)*(((100-$CD262)/(100-9)*(100-2)/(100-2))*100)</f>
        <v>11.440358464565223</v>
      </c>
      <c r="AI262" s="219"/>
      <c r="AJ262">
        <v>4.4800000000000004</v>
      </c>
      <c r="AK262" s="284" t="s">
        <v>8398</v>
      </c>
      <c r="AL262">
        <v>155</v>
      </c>
      <c r="AM262"/>
      <c r="AN262" s="241">
        <v>61</v>
      </c>
      <c r="AO262" s="246">
        <v>42065</v>
      </c>
      <c r="AP262" s="255">
        <v>104</v>
      </c>
      <c r="AQ262" s="242">
        <v>42108</v>
      </c>
      <c r="AR262" s="223">
        <v>123</v>
      </c>
      <c r="AS262" s="297">
        <f>IF(AR262=0,,AR262)</f>
        <v>123</v>
      </c>
      <c r="AT262" s="290">
        <v>42127</v>
      </c>
      <c r="AU262" s="298"/>
      <c r="AV262"/>
      <c r="AW262"/>
      <c r="AX262"/>
      <c r="AY262"/>
      <c r="AZ262"/>
      <c r="BA262"/>
      <c r="BB262"/>
      <c r="BC262"/>
      <c r="BD262"/>
      <c r="BE262"/>
      <c r="BF262" s="277">
        <v>27.088479995727539</v>
      </c>
      <c r="BG262" s="283">
        <v>42230</v>
      </c>
      <c r="BH262"/>
      <c r="BI262"/>
      <c r="BJ262"/>
      <c r="BK262"/>
      <c r="BL262" s="277">
        <v>60.138790130615234</v>
      </c>
      <c r="BM262" s="283">
        <v>42230</v>
      </c>
      <c r="BN262"/>
      <c r="BO262"/>
      <c r="BP262" s="277">
        <v>2.7120258808135986</v>
      </c>
      <c r="BQ262" s="283">
        <v>42230</v>
      </c>
      <c r="BR262" s="277">
        <v>48.093494415283203</v>
      </c>
      <c r="BS262" s="283">
        <v>42230</v>
      </c>
      <c r="BT262" s="277">
        <v>19.846529006958008</v>
      </c>
      <c r="BU262" s="283">
        <v>42230</v>
      </c>
      <c r="BV262" s="277">
        <v>58.818336486816406</v>
      </c>
      <c r="BW262" s="283">
        <v>42230</v>
      </c>
      <c r="BX262" s="277">
        <v>5.5717620849609375</v>
      </c>
      <c r="BY262" s="283">
        <v>42230</v>
      </c>
      <c r="BZ262"/>
      <c r="CA262" s="136"/>
      <c r="CB262" s="266">
        <v>2.57</v>
      </c>
      <c r="CC262"/>
      <c r="CD262" s="277">
        <v>1.886792452830182</v>
      </c>
      <c r="CE262" s="291" t="s">
        <v>8398</v>
      </c>
      <c r="CF262"/>
      <c r="CG262"/>
      <c r="CH262">
        <v>3</v>
      </c>
      <c r="CI262">
        <v>8</v>
      </c>
      <c r="CK262"/>
      <c r="CL262">
        <v>7</v>
      </c>
      <c r="CM262" s="259">
        <v>42161</v>
      </c>
      <c r="CN262" s="137"/>
      <c r="CO262" s="137" t="s">
        <v>8405</v>
      </c>
    </row>
    <row r="263" spans="1:93" s="227" customFormat="1">
      <c r="A263" s="258">
        <v>435</v>
      </c>
      <c r="B263" s="235">
        <v>435</v>
      </c>
      <c r="C263" s="238" t="s">
        <v>7746</v>
      </c>
      <c r="D263" s="238" t="s">
        <v>7887</v>
      </c>
      <c r="E263" s="238" t="s">
        <v>7746</v>
      </c>
      <c r="F263" s="238" t="s">
        <v>8560</v>
      </c>
      <c r="G263" s="235" t="str">
        <f>IF(MID(C263,1,3)="BGA","Complement","Rapsodyn")</f>
        <v>Rapsodyn</v>
      </c>
      <c r="H263" s="235" t="s">
        <v>265</v>
      </c>
      <c r="I263" s="235">
        <v>1</v>
      </c>
      <c r="J263" s="238">
        <v>9379</v>
      </c>
      <c r="K263" s="238">
        <v>4</v>
      </c>
      <c r="L263" s="235">
        <f t="shared" si="127"/>
        <v>4</v>
      </c>
      <c r="M263" s="238">
        <v>6</v>
      </c>
      <c r="N263" s="235">
        <v>7</v>
      </c>
      <c r="O263" s="248">
        <v>42048</v>
      </c>
      <c r="P263">
        <v>2.95</v>
      </c>
      <c r="Q263" s="264">
        <v>42204</v>
      </c>
      <c r="R263"/>
      <c r="S263"/>
      <c r="T263"/>
      <c r="U263" s="153"/>
      <c r="V263" s="219">
        <f>+BR263*AF263/100</f>
        <v>9.0085844046049939</v>
      </c>
      <c r="W263" s="219"/>
      <c r="X263">
        <v>15.55</v>
      </c>
      <c r="Y263"/>
      <c r="Z263"/>
      <c r="AA263"/>
      <c r="AB263" s="220">
        <f>+AF263*BT263/100</f>
        <v>3.5093461130666959</v>
      </c>
      <c r="AC263" s="219"/>
      <c r="AD263" s="221">
        <f>+(AF263/AJ263)*10000</f>
        <v>35313.58588638089</v>
      </c>
      <c r="AE263" s="219"/>
      <c r="AF263" s="220">
        <f>($P263/$X263)*(((100-$CD263)/100*(100-2)/100))*100</f>
        <v>17.939301630281491</v>
      </c>
      <c r="AG263" s="219"/>
      <c r="AH263" s="220">
        <f>($P263/$X263)*(((100-$CD263)/(100-9)*(100-2)/(100-2))*100)</f>
        <v>20.115834974525111</v>
      </c>
      <c r="AI263" s="219"/>
      <c r="AJ263">
        <v>5.08</v>
      </c>
      <c r="AK263" s="284" t="s">
        <v>8398</v>
      </c>
      <c r="AL263">
        <v>155</v>
      </c>
      <c r="AM263"/>
      <c r="AN263" s="241">
        <v>63</v>
      </c>
      <c r="AO263" s="246">
        <v>42067</v>
      </c>
      <c r="AP263" s="255">
        <v>104</v>
      </c>
      <c r="AQ263" s="242">
        <v>42108</v>
      </c>
      <c r="AR263" s="223">
        <v>123</v>
      </c>
      <c r="AS263" s="297">
        <f>IF(AR263=0,,AR263)</f>
        <v>123</v>
      </c>
      <c r="AT263" s="290">
        <v>42127</v>
      </c>
      <c r="AU263" s="298"/>
      <c r="AV263"/>
      <c r="AW263"/>
      <c r="AX263"/>
      <c r="AY263"/>
      <c r="AZ263"/>
      <c r="BA263"/>
      <c r="BB263"/>
      <c r="BC263"/>
      <c r="BD263"/>
      <c r="BE263"/>
      <c r="BF263" s="277">
        <v>41.343376159667969</v>
      </c>
      <c r="BG263" s="283">
        <v>42230</v>
      </c>
      <c r="BH263"/>
      <c r="BI263"/>
      <c r="BJ263"/>
      <c r="BK263"/>
      <c r="BL263" s="277">
        <v>58.477615356445313</v>
      </c>
      <c r="BM263" s="283">
        <v>42230</v>
      </c>
      <c r="BN263"/>
      <c r="BO263"/>
      <c r="BP263" s="277">
        <v>3.7586109638214111</v>
      </c>
      <c r="BQ263" s="283">
        <v>42230</v>
      </c>
      <c r="BR263" s="277">
        <v>50.217029571533203</v>
      </c>
      <c r="BS263" s="283">
        <v>42230</v>
      </c>
      <c r="BT263" s="277">
        <v>19.562334060668945</v>
      </c>
      <c r="BU263" s="283">
        <v>42230</v>
      </c>
      <c r="BV263" s="277">
        <v>76.067031860351563</v>
      </c>
      <c r="BW263" s="283">
        <v>42230</v>
      </c>
      <c r="BX263" s="277">
        <v>5.284454345703125</v>
      </c>
      <c r="BY263" s="283">
        <v>42230</v>
      </c>
      <c r="BZ263"/>
      <c r="CA263" s="136"/>
      <c r="CB263" s="266">
        <v>1.55</v>
      </c>
      <c r="CC263"/>
      <c r="CD263" s="277">
        <v>3.5087719298245648</v>
      </c>
      <c r="CE263" s="291" t="s">
        <v>8398</v>
      </c>
      <c r="CF263"/>
      <c r="CG263"/>
      <c r="CH263">
        <v>2</v>
      </c>
      <c r="CI263">
        <v>3</v>
      </c>
      <c r="CK263"/>
      <c r="CL263">
        <v>6</v>
      </c>
      <c r="CM263" s="259">
        <v>42161</v>
      </c>
      <c r="CN263" s="137" t="s">
        <v>8406</v>
      </c>
    </row>
    <row r="264" spans="1:93" s="227" customFormat="1">
      <c r="A264" s="258">
        <v>436</v>
      </c>
      <c r="B264" s="235">
        <v>436</v>
      </c>
      <c r="C264" s="235" t="s">
        <v>7632</v>
      </c>
      <c r="D264" s="235" t="s">
        <v>7466</v>
      </c>
      <c r="E264" s="235" t="s">
        <v>7632</v>
      </c>
      <c r="F264" s="235" t="s">
        <v>8497</v>
      </c>
      <c r="G264" s="235" t="str">
        <f>IF(MID(C264,1,3)="BGA","Complement","Rapsodyn")</f>
        <v>Rapsodyn</v>
      </c>
      <c r="H264" s="235" t="s">
        <v>265</v>
      </c>
      <c r="I264" s="235">
        <v>1</v>
      </c>
      <c r="J264" s="235">
        <v>9366</v>
      </c>
      <c r="K264" s="235">
        <v>3</v>
      </c>
      <c r="L264" s="235">
        <f t="shared" si="127"/>
        <v>3</v>
      </c>
      <c r="M264" s="235">
        <v>6</v>
      </c>
      <c r="N264" s="235">
        <v>7</v>
      </c>
      <c r="O264" s="248">
        <v>42048</v>
      </c>
      <c r="P264">
        <v>2.7</v>
      </c>
      <c r="Q264" s="264">
        <v>42204</v>
      </c>
      <c r="R264"/>
      <c r="S264"/>
      <c r="T264"/>
      <c r="U264" s="153"/>
      <c r="V264" s="219">
        <f>+BR264*AF264/100</f>
        <v>8.0935203487850096</v>
      </c>
      <c r="W264" s="219"/>
      <c r="X264">
        <v>15.55</v>
      </c>
      <c r="Y264"/>
      <c r="Z264"/>
      <c r="AA264"/>
      <c r="AB264" s="220">
        <f>+AF264*BT264/100</f>
        <v>3.3531926451005361</v>
      </c>
      <c r="AC264" s="219"/>
      <c r="AD264" s="221">
        <f>+(AF264/AJ264)*10000</f>
        <v>32077.195104640476</v>
      </c>
      <c r="AE264" s="219"/>
      <c r="AF264" s="220">
        <f>($P264/$X264)*(((100-$CD264)/100*(100-2)/100))*100</f>
        <v>16.712218649517688</v>
      </c>
      <c r="AG264" s="219"/>
      <c r="AH264" s="220">
        <f>($P264/$X264)*(((100-$CD264)/(100-9)*(100-2)/(100-2))*100)</f>
        <v>18.739872896969825</v>
      </c>
      <c r="AI264" s="219"/>
      <c r="AJ264">
        <v>5.21</v>
      </c>
      <c r="AK264" s="284" t="s">
        <v>8398</v>
      </c>
      <c r="AL264">
        <v>155</v>
      </c>
      <c r="AM264"/>
      <c r="AN264" s="241">
        <v>75</v>
      </c>
      <c r="AO264" s="242">
        <v>42079</v>
      </c>
      <c r="AP264" s="255">
        <v>106</v>
      </c>
      <c r="AQ264" s="242">
        <v>42110</v>
      </c>
      <c r="AR264" s="223">
        <v>127</v>
      </c>
      <c r="AS264" s="297">
        <f>IF(AR264=0,,AR264)</f>
        <v>127</v>
      </c>
      <c r="AT264" s="290">
        <v>42131</v>
      </c>
      <c r="AU264" s="298"/>
      <c r="AV264"/>
      <c r="AW264"/>
      <c r="AX264"/>
      <c r="AY264"/>
      <c r="AZ264"/>
      <c r="BA264"/>
      <c r="BB264"/>
      <c r="BC264"/>
      <c r="BD264"/>
      <c r="BE264"/>
      <c r="BF264" s="277">
        <v>35.012237548828125</v>
      </c>
      <c r="BG264" s="283">
        <v>42230</v>
      </c>
      <c r="BH264"/>
      <c r="BI264"/>
      <c r="BJ264"/>
      <c r="BK264"/>
      <c r="BL264" s="277">
        <v>59.990592956542969</v>
      </c>
      <c r="BM264" s="283">
        <v>42230</v>
      </c>
      <c r="BN264"/>
      <c r="BO264"/>
      <c r="BP264" s="277">
        <v>3.5291540622711182</v>
      </c>
      <c r="BQ264" s="283">
        <v>42230</v>
      </c>
      <c r="BR264" s="277">
        <v>48.428760528564453</v>
      </c>
      <c r="BS264" s="283">
        <v>42230</v>
      </c>
      <c r="BT264" s="277">
        <v>20.06431770324707</v>
      </c>
      <c r="BU264" s="283">
        <v>42230</v>
      </c>
      <c r="BV264" s="277">
        <v>88.052001953125</v>
      </c>
      <c r="BW264" s="283">
        <v>42230</v>
      </c>
      <c r="BX264" s="277">
        <v>5.5016708374023438</v>
      </c>
      <c r="BY264" s="283">
        <v>42230</v>
      </c>
      <c r="BZ264"/>
      <c r="CA264" s="136"/>
      <c r="CB264" s="266">
        <v>1.38</v>
      </c>
      <c r="CC264"/>
      <c r="CD264" s="277">
        <v>1.7857142857142794</v>
      </c>
      <c r="CE264" s="291" t="s">
        <v>8398</v>
      </c>
      <c r="CF264"/>
      <c r="CG264"/>
      <c r="CH264">
        <v>2</v>
      </c>
      <c r="CI264">
        <v>3</v>
      </c>
      <c r="CK264"/>
      <c r="CL264">
        <v>6</v>
      </c>
      <c r="CM264" s="259">
        <v>42161</v>
      </c>
      <c r="CN264" s="137" t="s">
        <v>8406</v>
      </c>
    </row>
    <row r="265" spans="1:93" s="227" customFormat="1">
      <c r="A265" s="258">
        <v>437</v>
      </c>
      <c r="B265" s="235">
        <v>437</v>
      </c>
      <c r="C265" s="235" t="s">
        <v>7745</v>
      </c>
      <c r="D265" s="235" t="s">
        <v>7875</v>
      </c>
      <c r="E265" s="235" t="s">
        <v>7745</v>
      </c>
      <c r="F265" s="235" t="s">
        <v>8499</v>
      </c>
      <c r="G265" s="235" t="str">
        <f>IF(MID(C265,1,3)="BGA","Complement","Rapsodyn")</f>
        <v>Rapsodyn</v>
      </c>
      <c r="H265" s="235" t="s">
        <v>265</v>
      </c>
      <c r="I265" s="235">
        <v>1</v>
      </c>
      <c r="J265" s="235">
        <v>9378</v>
      </c>
      <c r="K265" s="235">
        <v>2</v>
      </c>
      <c r="L265" s="235">
        <f t="shared" si="127"/>
        <v>2</v>
      </c>
      <c r="M265" s="235">
        <v>6</v>
      </c>
      <c r="N265" s="236">
        <v>5</v>
      </c>
      <c r="O265" s="248">
        <v>42048</v>
      </c>
      <c r="P265">
        <v>2.0499999999999998</v>
      </c>
      <c r="Q265" s="264">
        <v>42204</v>
      </c>
      <c r="R265"/>
      <c r="S265"/>
      <c r="T265"/>
      <c r="U265" s="153"/>
      <c r="V265" s="219">
        <f>+BR265*AF265/100</f>
        <v>5.7384766630077557</v>
      </c>
      <c r="W265" s="219"/>
      <c r="X265">
        <v>15.55</v>
      </c>
      <c r="Y265"/>
      <c r="Z265"/>
      <c r="AA265"/>
      <c r="AB265" s="220">
        <f>+AF265*BT265/100</f>
        <v>2.4961856156513069</v>
      </c>
      <c r="AC265" s="219"/>
      <c r="AD265" s="221">
        <f>+(AF265/AJ265)*10000</f>
        <v>26870.647775830668</v>
      </c>
      <c r="AE265" s="219"/>
      <c r="AF265" s="220">
        <f>($P265/$X265)*(((100-$CD265)/100*(100-2)/100))*100</f>
        <v>12.441109920209598</v>
      </c>
      <c r="AG265" s="219"/>
      <c r="AH265" s="220">
        <f>($P265/$X265)*(((100-$CD265)/(100-9)*(100-2)/(100-2))*100)</f>
        <v>13.950560574354784</v>
      </c>
      <c r="AI265" s="219"/>
      <c r="AJ265">
        <v>4.63</v>
      </c>
      <c r="AK265" s="284" t="s">
        <v>8398</v>
      </c>
      <c r="AL265">
        <v>165</v>
      </c>
      <c r="AM265"/>
      <c r="AN265" s="241">
        <v>75</v>
      </c>
      <c r="AO265" s="242">
        <v>42079</v>
      </c>
      <c r="AP265" s="255">
        <v>106</v>
      </c>
      <c r="AQ265" s="242">
        <v>42110</v>
      </c>
      <c r="AR265" s="223">
        <v>131</v>
      </c>
      <c r="AS265" s="297">
        <f>IF(AR265=0,,AR265)</f>
        <v>131</v>
      </c>
      <c r="AT265" s="290">
        <v>42135</v>
      </c>
      <c r="AU265" s="298"/>
      <c r="AV265"/>
      <c r="AW265"/>
      <c r="AX265"/>
      <c r="AY265"/>
      <c r="AZ265"/>
      <c r="BA265"/>
      <c r="BB265"/>
      <c r="BC265"/>
      <c r="BD265"/>
      <c r="BE265"/>
      <c r="BF265" s="277">
        <v>28.293510437011719</v>
      </c>
      <c r="BG265" s="283">
        <v>42230</v>
      </c>
      <c r="BH265"/>
      <c r="BI265"/>
      <c r="BJ265"/>
      <c r="BK265"/>
      <c r="BL265" s="277">
        <v>59.13812255859375</v>
      </c>
      <c r="BM265" s="283">
        <v>42230</v>
      </c>
      <c r="BN265"/>
      <c r="BO265"/>
      <c r="BP265" s="277">
        <v>3.7447679042816162</v>
      </c>
      <c r="BQ265" s="283">
        <v>42230</v>
      </c>
      <c r="BR265" s="277">
        <v>46.125118255615234</v>
      </c>
      <c r="BS265" s="283">
        <v>42230</v>
      </c>
      <c r="BT265" s="277">
        <v>20.064010620117188</v>
      </c>
      <c r="BU265" s="283">
        <v>42230</v>
      </c>
      <c r="BV265" s="277">
        <v>65.563728332519531</v>
      </c>
      <c r="BW265" s="283">
        <v>42230</v>
      </c>
      <c r="BX265" s="277">
        <v>5.6314163208007812</v>
      </c>
      <c r="BY265" s="283">
        <v>42230</v>
      </c>
      <c r="BZ265"/>
      <c r="CA265" s="136"/>
      <c r="CB265" s="266">
        <v>2.2999999999999998</v>
      </c>
      <c r="CC265"/>
      <c r="CD265" s="277">
        <v>3.7037037037037068</v>
      </c>
      <c r="CE265" s="291" t="s">
        <v>8398</v>
      </c>
      <c r="CF265"/>
      <c r="CG265"/>
      <c r="CH265">
        <v>2</v>
      </c>
      <c r="CI265">
        <v>8</v>
      </c>
      <c r="CK265"/>
      <c r="CL265">
        <v>7</v>
      </c>
      <c r="CM265" s="259">
        <v>42161</v>
      </c>
      <c r="CN265" s="137"/>
      <c r="CO265" s="137" t="s">
        <v>8405</v>
      </c>
    </row>
    <row r="266" spans="1:93" s="227" customFormat="1">
      <c r="A266" s="258">
        <v>438</v>
      </c>
      <c r="B266" s="235">
        <v>438</v>
      </c>
      <c r="C266" s="235" t="s">
        <v>7576</v>
      </c>
      <c r="D266" s="235"/>
      <c r="E266" s="235"/>
      <c r="F266" s="235"/>
      <c r="G266" s="235"/>
      <c r="H266" s="235" t="s">
        <v>265</v>
      </c>
      <c r="I266" s="235">
        <v>1</v>
      </c>
      <c r="J266" s="235"/>
      <c r="K266" s="235">
        <v>1</v>
      </c>
      <c r="L266" s="235">
        <f t="shared" si="127"/>
        <v>1</v>
      </c>
      <c r="M266" s="235">
        <v>6</v>
      </c>
      <c r="N266" s="235"/>
      <c r="O266" s="248">
        <v>42048</v>
      </c>
      <c r="P266"/>
      <c r="Q266" s="219"/>
      <c r="R266"/>
      <c r="S266"/>
      <c r="T266"/>
      <c r="U266" s="153"/>
      <c r="V266" s="219"/>
      <c r="W266" s="219"/>
      <c r="X266">
        <v>15.55</v>
      </c>
      <c r="Y266"/>
      <c r="Z266"/>
      <c r="AA266"/>
      <c r="AB266" s="220"/>
      <c r="AC266" s="219"/>
      <c r="AD266" s="221"/>
      <c r="AE266" s="219"/>
      <c r="AF266" s="220"/>
      <c r="AG266" s="219"/>
      <c r="AH266" s="220"/>
      <c r="AI266" s="219"/>
      <c r="AJ266" s="286"/>
      <c r="AK266" s="284"/>
      <c r="AL266"/>
      <c r="AM266"/>
      <c r="AN266" s="241">
        <v>70</v>
      </c>
      <c r="AO266" s="242">
        <v>42074</v>
      </c>
      <c r="AP266" s="255">
        <v>104</v>
      </c>
      <c r="AQ266" s="242">
        <v>42108</v>
      </c>
      <c r="AR266"/>
      <c r="AS266" s="297"/>
      <c r="AT266" s="290"/>
      <c r="AU266" s="298"/>
      <c r="AV266"/>
      <c r="AW266"/>
      <c r="AX266"/>
      <c r="AY266"/>
      <c r="AZ266"/>
      <c r="BA266"/>
      <c r="BB266"/>
      <c r="BC266"/>
      <c r="BD266"/>
      <c r="BE266"/>
      <c r="BF266" s="277"/>
      <c r="BG266" s="235"/>
      <c r="BH266"/>
      <c r="BI266"/>
      <c r="BJ266"/>
      <c r="BK266"/>
      <c r="BL266" s="277"/>
      <c r="BM266" s="235"/>
      <c r="BN266"/>
      <c r="BO266"/>
      <c r="BP266" s="277"/>
      <c r="BQ266" s="235"/>
      <c r="BR266" s="277"/>
      <c r="BS266" s="235"/>
      <c r="BT266" s="277"/>
      <c r="BU266" s="235"/>
      <c r="BV266" s="277"/>
      <c r="BW266" s="235"/>
      <c r="BX266" s="277"/>
      <c r="BY266" s="235"/>
      <c r="BZ266"/>
      <c r="CA266" s="136"/>
      <c r="CB266" s="266"/>
      <c r="CC266"/>
      <c r="CD266" s="277"/>
      <c r="CE266" s="291"/>
      <c r="CF266"/>
      <c r="CG266"/>
      <c r="CH266"/>
      <c r="CI266"/>
      <c r="CK266"/>
      <c r="CL266">
        <v>1</v>
      </c>
      <c r="CM266" s="259">
        <v>42161</v>
      </c>
    </row>
    <row r="267" spans="1:93" s="227" customFormat="1">
      <c r="A267" s="258">
        <v>439</v>
      </c>
      <c r="B267" s="235">
        <v>439</v>
      </c>
      <c r="C267" s="235" t="s">
        <v>7576</v>
      </c>
      <c r="D267" s="235"/>
      <c r="E267" s="235"/>
      <c r="F267" s="235"/>
      <c r="G267" s="235"/>
      <c r="H267" s="235" t="s">
        <v>265</v>
      </c>
      <c r="I267" s="235">
        <v>2</v>
      </c>
      <c r="J267" s="235"/>
      <c r="K267" s="235">
        <v>1</v>
      </c>
      <c r="L267" s="235">
        <f t="shared" si="127"/>
        <v>1</v>
      </c>
      <c r="M267" s="235">
        <v>7</v>
      </c>
      <c r="N267" s="235"/>
      <c r="O267" s="248">
        <v>42048</v>
      </c>
      <c r="P267"/>
      <c r="Q267" s="219"/>
      <c r="R267"/>
      <c r="S267"/>
      <c r="T267"/>
      <c r="U267" s="153"/>
      <c r="V267" s="219"/>
      <c r="W267" s="219"/>
      <c r="X267">
        <v>15.55</v>
      </c>
      <c r="Y267"/>
      <c r="Z267"/>
      <c r="AA267"/>
      <c r="AB267" s="220"/>
      <c r="AC267" s="219"/>
      <c r="AD267" s="221"/>
      <c r="AE267" s="219"/>
      <c r="AF267" s="220"/>
      <c r="AG267" s="219"/>
      <c r="AH267" s="220"/>
      <c r="AI267" s="219"/>
      <c r="AJ267" s="286"/>
      <c r="AK267" s="284"/>
      <c r="AL267"/>
      <c r="AM267"/>
      <c r="AN267" s="241">
        <v>70</v>
      </c>
      <c r="AO267" s="242">
        <v>42074</v>
      </c>
      <c r="AP267" s="255">
        <v>104</v>
      </c>
      <c r="AQ267" s="242">
        <v>42108</v>
      </c>
      <c r="AR267"/>
      <c r="AS267" s="297"/>
      <c r="AT267" s="290"/>
      <c r="AU267" s="298"/>
      <c r="AV267"/>
      <c r="AW267"/>
      <c r="AX267"/>
      <c r="AY267"/>
      <c r="AZ267"/>
      <c r="BA267"/>
      <c r="BB267"/>
      <c r="BC267"/>
      <c r="BD267"/>
      <c r="BE267"/>
      <c r="BF267" s="277"/>
      <c r="BG267" s="235"/>
      <c r="BH267"/>
      <c r="BI267"/>
      <c r="BJ267"/>
      <c r="BK267"/>
      <c r="BL267" s="277"/>
      <c r="BM267" s="235"/>
      <c r="BN267"/>
      <c r="BO267"/>
      <c r="BP267" s="277"/>
      <c r="BQ267" s="235"/>
      <c r="BR267" s="277"/>
      <c r="BS267" s="235"/>
      <c r="BT267" s="277"/>
      <c r="BU267" s="235"/>
      <c r="BV267" s="277"/>
      <c r="BW267" s="235"/>
      <c r="BX267" s="277"/>
      <c r="BY267" s="235"/>
      <c r="BZ267"/>
      <c r="CA267" s="136"/>
      <c r="CB267" s="266"/>
      <c r="CC267"/>
      <c r="CD267" s="277"/>
      <c r="CE267" s="291"/>
      <c r="CF267"/>
      <c r="CG267"/>
      <c r="CH267"/>
      <c r="CI267"/>
      <c r="CK267"/>
      <c r="CL267"/>
      <c r="CM267" s="259">
        <v>42161</v>
      </c>
    </row>
    <row r="268" spans="1:93" s="227" customFormat="1">
      <c r="A268" s="258">
        <v>440</v>
      </c>
      <c r="B268" s="235">
        <v>440</v>
      </c>
      <c r="C268" s="235" t="s">
        <v>7632</v>
      </c>
      <c r="D268" s="235" t="s">
        <v>7466</v>
      </c>
      <c r="E268" s="235" t="s">
        <v>7632</v>
      </c>
      <c r="F268" s="235" t="s">
        <v>8497</v>
      </c>
      <c r="G268" s="235" t="str">
        <f>IF(MID(C268,1,3)="BGA","Complement","Rapsodyn")</f>
        <v>Rapsodyn</v>
      </c>
      <c r="H268" s="235" t="s">
        <v>265</v>
      </c>
      <c r="I268" s="235">
        <v>2</v>
      </c>
      <c r="J268" s="235">
        <v>9366</v>
      </c>
      <c r="K268" s="235">
        <v>2</v>
      </c>
      <c r="L268" s="235">
        <f t="shared" si="127"/>
        <v>2</v>
      </c>
      <c r="M268" s="235">
        <v>7</v>
      </c>
      <c r="N268" s="235">
        <v>7</v>
      </c>
      <c r="O268" s="248">
        <v>42048</v>
      </c>
      <c r="P268">
        <v>2.9</v>
      </c>
      <c r="Q268" s="264">
        <v>42204</v>
      </c>
      <c r="R268"/>
      <c r="S268"/>
      <c r="T268"/>
      <c r="U268" s="153"/>
      <c r="V268" s="219">
        <f>+BR268*AF268/100</f>
        <v>8.3567825464573708</v>
      </c>
      <c r="W268" s="219"/>
      <c r="X268">
        <v>15.55</v>
      </c>
      <c r="Y268"/>
      <c r="Z268"/>
      <c r="AA268"/>
      <c r="AB268" s="220">
        <f>+AF268*BT268/100</f>
        <v>3.5236202693828811</v>
      </c>
      <c r="AC268" s="219"/>
      <c r="AD268" s="221">
        <f>+(AF268/AJ268)*10000</f>
        <v>33138.030039409045</v>
      </c>
      <c r="AE268" s="219"/>
      <c r="AF268" s="220">
        <f>($P268/$X268)*(((100-$CD268)/100*(100-2)/100))*100</f>
        <v>17.331189710610932</v>
      </c>
      <c r="AG268" s="219"/>
      <c r="AH268" s="220">
        <f>($P268/$X268)*(((100-$CD268)/(100-9)*(100-2)/(100-2))*100)</f>
        <v>19.433942263524258</v>
      </c>
      <c r="AI268" s="219"/>
      <c r="AJ268">
        <v>5.23</v>
      </c>
      <c r="AK268" s="284" t="s">
        <v>8398</v>
      </c>
      <c r="AL268">
        <v>145</v>
      </c>
      <c r="AM268"/>
      <c r="AN268" s="241">
        <v>75</v>
      </c>
      <c r="AO268" s="242">
        <v>42079</v>
      </c>
      <c r="AP268" s="255">
        <v>106</v>
      </c>
      <c r="AQ268" s="242">
        <v>42110</v>
      </c>
      <c r="AR268" s="223">
        <v>127</v>
      </c>
      <c r="AS268" s="297">
        <f>IF(AR268=0,,AR268)</f>
        <v>127</v>
      </c>
      <c r="AT268" s="290">
        <v>42131</v>
      </c>
      <c r="AU268" s="298"/>
      <c r="AV268"/>
      <c r="AW268"/>
      <c r="AX268"/>
      <c r="AY268"/>
      <c r="AZ268"/>
      <c r="BA268"/>
      <c r="BB268"/>
      <c r="BC268"/>
      <c r="BD268"/>
      <c r="BE268"/>
      <c r="BF268" s="277">
        <v>37.980278015136719</v>
      </c>
      <c r="BG268" s="283">
        <v>42230</v>
      </c>
      <c r="BH268"/>
      <c r="BI268"/>
      <c r="BJ268"/>
      <c r="BK268"/>
      <c r="BL268" s="277">
        <v>60.092697143554688</v>
      </c>
      <c r="BM268" s="283">
        <v>42230</v>
      </c>
      <c r="BN268"/>
      <c r="BO268"/>
      <c r="BP268" s="277">
        <v>3.6165390014648437</v>
      </c>
      <c r="BQ268" s="283">
        <v>42230</v>
      </c>
      <c r="BR268" s="277">
        <v>48.218170166015625</v>
      </c>
      <c r="BS268" s="283">
        <v>42230</v>
      </c>
      <c r="BT268" s="277">
        <v>20.331092834472656</v>
      </c>
      <c r="BU268" s="283">
        <v>42230</v>
      </c>
      <c r="BV268" s="277">
        <v>84.900398254394531</v>
      </c>
      <c r="BW268" s="283">
        <v>42230</v>
      </c>
      <c r="BX268" s="277">
        <v>5.5574188232421875</v>
      </c>
      <c r="BY268" s="283">
        <v>42230</v>
      </c>
      <c r="BZ268"/>
      <c r="CA268" s="136"/>
      <c r="CB268" s="266">
        <v>1.88</v>
      </c>
      <c r="CC268"/>
      <c r="CD268" s="277">
        <v>5.1724137931034457</v>
      </c>
      <c r="CE268" s="291" t="s">
        <v>8398</v>
      </c>
      <c r="CF268"/>
      <c r="CG268"/>
      <c r="CH268">
        <v>2</v>
      </c>
      <c r="CI268">
        <v>3</v>
      </c>
      <c r="CK268"/>
      <c r="CL268">
        <v>3</v>
      </c>
      <c r="CM268" s="259">
        <v>42161</v>
      </c>
      <c r="CN268" s="137" t="s">
        <v>8406</v>
      </c>
    </row>
    <row r="269" spans="1:93">
      <c r="A269" s="258">
        <v>441</v>
      </c>
      <c r="B269" s="235">
        <v>441</v>
      </c>
      <c r="C269" s="235" t="s">
        <v>7744</v>
      </c>
      <c r="D269" s="235" t="s">
        <v>7876</v>
      </c>
      <c r="E269" s="235" t="s">
        <v>7744</v>
      </c>
      <c r="F269" s="235" t="s">
        <v>8427</v>
      </c>
      <c r="G269" s="235" t="str">
        <f>IF(MID(C269,1,3)="BGA","Complement","Rapsodyn")</f>
        <v>Rapsodyn</v>
      </c>
      <c r="H269" s="235" t="s">
        <v>265</v>
      </c>
      <c r="I269" s="235">
        <v>2</v>
      </c>
      <c r="J269" s="235">
        <v>9377</v>
      </c>
      <c r="K269" s="235">
        <v>3</v>
      </c>
      <c r="L269" s="235">
        <f t="shared" si="127"/>
        <v>3</v>
      </c>
      <c r="M269" s="235">
        <v>7</v>
      </c>
      <c r="N269" s="235">
        <v>7</v>
      </c>
      <c r="O269" s="248">
        <v>42048</v>
      </c>
      <c r="P269">
        <v>2.0499999999999998</v>
      </c>
      <c r="Q269" s="264">
        <v>42204</v>
      </c>
      <c r="R269"/>
      <c r="S269"/>
      <c r="T269"/>
      <c r="V269" s="219">
        <f>+BR269*AF269/100</f>
        <v>6.1158506365221035</v>
      </c>
      <c r="W269" s="219"/>
      <c r="X269">
        <v>15.55</v>
      </c>
      <c r="Y269"/>
      <c r="Z269"/>
      <c r="AA269"/>
      <c r="AB269" s="220">
        <f>+AF269*BT269/100</f>
        <v>2.278362296416911</v>
      </c>
      <c r="AC269" s="219"/>
      <c r="AD269" s="221">
        <f>+(AF269/AJ269)*10000</f>
        <v>30498.67963807816</v>
      </c>
      <c r="AE269" s="219"/>
      <c r="AF269" s="220">
        <f>($P269/$X269)*(((100-$CD269)/100*(100-2)/100))*100</f>
        <v>12.412962612697813</v>
      </c>
      <c r="AG269" s="219"/>
      <c r="AH269" s="220">
        <f>($P269/$X269)*(((100-$CD269)/(100-9)*(100-2)/(100-2))*100)</f>
        <v>13.918998220114167</v>
      </c>
      <c r="AI269" s="219"/>
      <c r="AJ269">
        <v>4.07</v>
      </c>
      <c r="AK269" s="284" t="s">
        <v>8398</v>
      </c>
      <c r="AL269">
        <v>150</v>
      </c>
      <c r="AM269"/>
      <c r="AN269" s="241">
        <v>65</v>
      </c>
      <c r="AO269" s="242">
        <v>42069</v>
      </c>
      <c r="AP269" s="255">
        <v>104</v>
      </c>
      <c r="AQ269" s="242">
        <v>42108</v>
      </c>
      <c r="AR269" s="223">
        <v>138</v>
      </c>
      <c r="AS269" s="297">
        <f>IF(AR269=0,,AR269)</f>
        <v>138</v>
      </c>
      <c r="AT269" s="290">
        <v>42142</v>
      </c>
      <c r="AU269" s="298"/>
      <c r="AV269"/>
      <c r="AW269"/>
      <c r="AX269"/>
      <c r="AY269"/>
      <c r="AZ269"/>
      <c r="BA269"/>
      <c r="BB269"/>
      <c r="BC269"/>
      <c r="BD269"/>
      <c r="BE269"/>
      <c r="BF269" s="277">
        <v>38.522857666015625</v>
      </c>
      <c r="BG269" s="283">
        <v>42230</v>
      </c>
      <c r="BH269"/>
      <c r="BI269"/>
      <c r="BJ269"/>
      <c r="BK269"/>
      <c r="BL269" s="277">
        <v>60.552738189697266</v>
      </c>
      <c r="BM269" s="283">
        <v>42230</v>
      </c>
      <c r="BN269"/>
      <c r="BO269"/>
      <c r="BP269" s="277">
        <v>1.8651679754257202</v>
      </c>
      <c r="BQ269" s="283">
        <v>42230</v>
      </c>
      <c r="BR269" s="277">
        <v>49.269870758056641</v>
      </c>
      <c r="BS269" s="283">
        <v>42230</v>
      </c>
      <c r="BT269" s="277">
        <v>18.354701995849609</v>
      </c>
      <c r="BU269" s="283">
        <v>42230</v>
      </c>
      <c r="BV269" s="277">
        <v>67.981941223144531</v>
      </c>
      <c r="BW269" s="283">
        <v>42230</v>
      </c>
      <c r="BX269" s="277">
        <v>5.2729721069335937</v>
      </c>
      <c r="BY269" s="283">
        <v>42230</v>
      </c>
      <c r="BZ269"/>
      <c r="CB269" s="266">
        <v>1.69</v>
      </c>
      <c r="CC269"/>
      <c r="CD269" s="277">
        <v>3.9215686274509665</v>
      </c>
      <c r="CE269" s="291" t="s">
        <v>8398</v>
      </c>
      <c r="CF269"/>
      <c r="CG269"/>
      <c r="CH269">
        <v>2</v>
      </c>
      <c r="CI269">
        <v>3</v>
      </c>
      <c r="CK269"/>
      <c r="CL269">
        <v>5</v>
      </c>
      <c r="CM269" s="259">
        <v>42161</v>
      </c>
      <c r="CN269" s="137" t="s">
        <v>8406</v>
      </c>
    </row>
    <row r="270" spans="1:93">
      <c r="A270" s="258">
        <v>442</v>
      </c>
      <c r="B270" s="235">
        <v>442</v>
      </c>
      <c r="C270" s="235" t="s">
        <v>7667</v>
      </c>
      <c r="D270" s="235" t="s">
        <v>7496</v>
      </c>
      <c r="E270" s="235" t="s">
        <v>7667</v>
      </c>
      <c r="F270" s="235" t="s">
        <v>8629</v>
      </c>
      <c r="G270" s="235" t="str">
        <f>IF(MID(C270,1,3)="BGA","Complement","Rapsodyn")</f>
        <v>Rapsodyn</v>
      </c>
      <c r="H270" s="235" t="s">
        <v>265</v>
      </c>
      <c r="I270" s="235">
        <v>2</v>
      </c>
      <c r="J270" s="235">
        <v>9373</v>
      </c>
      <c r="K270" s="235">
        <v>4</v>
      </c>
      <c r="L270" s="235">
        <f t="shared" si="127"/>
        <v>4</v>
      </c>
      <c r="M270" s="235">
        <v>7</v>
      </c>
      <c r="N270" s="235">
        <v>7</v>
      </c>
      <c r="O270" s="248">
        <v>42048</v>
      </c>
      <c r="P270">
        <v>3.3</v>
      </c>
      <c r="Q270" s="264">
        <v>42204</v>
      </c>
      <c r="R270"/>
      <c r="S270"/>
      <c r="T270"/>
      <c r="V270" s="219">
        <f>+BR270*AF270/100</f>
        <v>9.7818622191205264</v>
      </c>
      <c r="W270" s="219"/>
      <c r="X270">
        <v>15.55</v>
      </c>
      <c r="Y270"/>
      <c r="Z270"/>
      <c r="AA270"/>
      <c r="AB270" s="220">
        <f>+AF270*BT270/100</f>
        <v>3.4057697468355919</v>
      </c>
      <c r="AC270" s="219"/>
      <c r="AD270" s="221">
        <f>+(AF270/AJ270)*10000</f>
        <v>38990.57890324921</v>
      </c>
      <c r="AE270" s="219"/>
      <c r="AF270" s="220">
        <f>($P270/$X270)*(((100-$CD270)/100*(100-2)/100))*100</f>
        <v>20.041157556270093</v>
      </c>
      <c r="AG270" s="219"/>
      <c r="AH270" s="220">
        <f>($P270/$X270)*(((100-$CD270)/(100-9)*(100-2)/(100-2))*100)</f>
        <v>22.472704144729864</v>
      </c>
      <c r="AI270" s="219"/>
      <c r="AJ270">
        <v>5.14</v>
      </c>
      <c r="AK270" s="284" t="s">
        <v>8398</v>
      </c>
      <c r="AL270">
        <v>155</v>
      </c>
      <c r="AM270"/>
      <c r="AN270" s="241">
        <v>75</v>
      </c>
      <c r="AO270" s="242">
        <v>42079</v>
      </c>
      <c r="AP270" s="255">
        <v>106</v>
      </c>
      <c r="AQ270" s="242">
        <v>42110</v>
      </c>
      <c r="AR270" s="223">
        <v>127</v>
      </c>
      <c r="AS270" s="297">
        <f>IF(AR270=0,,AR270)</f>
        <v>127</v>
      </c>
      <c r="AT270" s="290">
        <v>42131</v>
      </c>
      <c r="AU270" s="298"/>
      <c r="AV270"/>
      <c r="AW270"/>
      <c r="AX270"/>
      <c r="AY270"/>
      <c r="AZ270"/>
      <c r="BA270"/>
      <c r="BB270"/>
      <c r="BC270"/>
      <c r="BD270"/>
      <c r="BE270"/>
      <c r="BF270" s="277">
        <v>-4.8137297630310059</v>
      </c>
      <c r="BG270" s="283">
        <v>42230</v>
      </c>
      <c r="BH270"/>
      <c r="BI270"/>
      <c r="BJ270"/>
      <c r="BK270"/>
      <c r="BL270" s="277">
        <v>64.500747680664063</v>
      </c>
      <c r="BM270" s="283">
        <v>42230</v>
      </c>
      <c r="BN270"/>
      <c r="BO270"/>
      <c r="BP270" s="277">
        <v>3.2778809070587158</v>
      </c>
      <c r="BQ270" s="283">
        <v>42230</v>
      </c>
      <c r="BR270" s="277">
        <v>48.808868408203125</v>
      </c>
      <c r="BS270" s="283">
        <v>42230</v>
      </c>
      <c r="BT270" s="277">
        <v>16.993877410888672</v>
      </c>
      <c r="BU270" s="283">
        <v>42230</v>
      </c>
      <c r="BV270" s="277">
        <v>21.109472274780273</v>
      </c>
      <c r="BW270" s="283">
        <v>42230</v>
      </c>
      <c r="BX270" s="277">
        <v>5.1132125854492187</v>
      </c>
      <c r="BY270" s="283">
        <v>42230</v>
      </c>
      <c r="BZ270"/>
      <c r="CB270" s="266">
        <v>1.89</v>
      </c>
      <c r="CC270"/>
      <c r="CD270" s="277">
        <v>3.6363636363636398</v>
      </c>
      <c r="CE270" s="291" t="s">
        <v>8398</v>
      </c>
      <c r="CF270"/>
      <c r="CG270"/>
      <c r="CH270">
        <v>2</v>
      </c>
      <c r="CI270">
        <v>4</v>
      </c>
      <c r="CK270"/>
      <c r="CL270"/>
      <c r="CM270" s="259">
        <v>42161</v>
      </c>
      <c r="CN270" s="137" t="s">
        <v>8406</v>
      </c>
    </row>
    <row r="271" spans="1:93">
      <c r="A271" s="258">
        <v>443</v>
      </c>
      <c r="B271" s="235">
        <v>443</v>
      </c>
      <c r="C271" s="235" t="s">
        <v>7655</v>
      </c>
      <c r="D271" s="235" t="s">
        <v>8420</v>
      </c>
      <c r="E271" s="235" t="s">
        <v>7655</v>
      </c>
      <c r="F271" s="235" t="s">
        <v>8561</v>
      </c>
      <c r="G271" s="235" t="str">
        <f>IF(MID(C271,1,3)="BGA","Complement","Rapsodyn")</f>
        <v>Rapsodyn</v>
      </c>
      <c r="H271" s="235" t="s">
        <v>265</v>
      </c>
      <c r="I271" s="235">
        <v>2</v>
      </c>
      <c r="J271" s="235">
        <v>9372</v>
      </c>
      <c r="K271" s="235">
        <v>5</v>
      </c>
      <c r="L271" s="235">
        <f t="shared" si="127"/>
        <v>5</v>
      </c>
      <c r="M271" s="235">
        <v>7</v>
      </c>
      <c r="N271" s="235">
        <v>7</v>
      </c>
      <c r="O271" s="248">
        <v>42048</v>
      </c>
      <c r="P271">
        <v>3.1</v>
      </c>
      <c r="Q271" s="264">
        <v>42204</v>
      </c>
      <c r="R271"/>
      <c r="S271"/>
      <c r="T271"/>
      <c r="V271" s="219">
        <f>+BR271*AF271/100</f>
        <v>9.1309099033658967</v>
      </c>
      <c r="W271" s="219"/>
      <c r="X271">
        <v>15.55</v>
      </c>
      <c r="Y271"/>
      <c r="Z271"/>
      <c r="AA271"/>
      <c r="AB271" s="220">
        <f>+AF271*BT271/100</f>
        <v>3.7296507428138903</v>
      </c>
      <c r="AC271" s="219"/>
      <c r="AD271" s="221">
        <f>+(AF271/AJ271)*10000</f>
        <v>38733.65218260423</v>
      </c>
      <c r="AE271" s="219"/>
      <c r="AF271" s="220">
        <f>($P271/$X271)*(((100-$CD271)/100*(100-2)/100))*100</f>
        <v>18.863288612928262</v>
      </c>
      <c r="AG271" s="219"/>
      <c r="AH271" s="220">
        <f>($P271/$X271)*(((100-$CD271)/(100-9)*(100-2)/(100-2))*100)</f>
        <v>21.151927128199443</v>
      </c>
      <c r="AI271" s="219"/>
      <c r="AJ271">
        <v>4.87</v>
      </c>
      <c r="AK271" s="284" t="s">
        <v>8398</v>
      </c>
      <c r="AL271">
        <v>155</v>
      </c>
      <c r="AM271"/>
      <c r="AN271" s="241">
        <v>72</v>
      </c>
      <c r="AO271" s="242">
        <v>42076</v>
      </c>
      <c r="AP271" s="255">
        <v>106</v>
      </c>
      <c r="AQ271" s="242">
        <v>42110</v>
      </c>
      <c r="AR271" s="223">
        <v>131</v>
      </c>
      <c r="AS271" s="297">
        <f>IF(AR271=0,,AR271)</f>
        <v>131</v>
      </c>
      <c r="AT271" s="290">
        <v>42135</v>
      </c>
      <c r="AU271" s="298"/>
      <c r="AV271"/>
      <c r="AW271"/>
      <c r="AX271"/>
      <c r="AY271"/>
      <c r="AZ271"/>
      <c r="BA271"/>
      <c r="BB271"/>
      <c r="BC271"/>
      <c r="BD271"/>
      <c r="BE271"/>
      <c r="BF271" s="277">
        <v>-1.990246057510376</v>
      </c>
      <c r="BG271" s="283">
        <v>42230</v>
      </c>
      <c r="BH271"/>
      <c r="BI271"/>
      <c r="BJ271"/>
      <c r="BK271"/>
      <c r="BL271" s="277">
        <v>60.55328369140625</v>
      </c>
      <c r="BM271" s="283">
        <v>42230</v>
      </c>
      <c r="BN271"/>
      <c r="BO271"/>
      <c r="BP271" s="277">
        <v>3.4960849285125732</v>
      </c>
      <c r="BQ271" s="283">
        <v>42230</v>
      </c>
      <c r="BR271" s="277">
        <v>48.405715942382813</v>
      </c>
      <c r="BS271" s="283">
        <v>42230</v>
      </c>
      <c r="BT271" s="277">
        <v>19.772006988525391</v>
      </c>
      <c r="BU271" s="283">
        <v>42230</v>
      </c>
      <c r="BV271" s="277">
        <v>71.589279174804688</v>
      </c>
      <c r="BW271" s="283">
        <v>42230</v>
      </c>
      <c r="BX271" s="277">
        <v>5.486114501953125</v>
      </c>
      <c r="BY271" s="283">
        <v>42230</v>
      </c>
      <c r="BZ271"/>
      <c r="CB271" s="266">
        <v>1.92</v>
      </c>
      <c r="CC271"/>
      <c r="CD271" s="277">
        <v>3.4482758620689689</v>
      </c>
      <c r="CE271" s="291" t="s">
        <v>8398</v>
      </c>
      <c r="CF271"/>
      <c r="CG271"/>
      <c r="CH271">
        <v>3</v>
      </c>
      <c r="CI271">
        <v>6</v>
      </c>
      <c r="CK271"/>
      <c r="CL271"/>
      <c r="CM271" s="259">
        <v>42161</v>
      </c>
      <c r="CN271" s="137" t="s">
        <v>8406</v>
      </c>
    </row>
    <row r="272" spans="1:93">
      <c r="A272" s="258">
        <v>444</v>
      </c>
      <c r="B272" s="235">
        <v>444</v>
      </c>
      <c r="C272" s="235" t="s">
        <v>7576</v>
      </c>
      <c r="D272" s="235"/>
      <c r="E272" s="235"/>
      <c r="F272" s="235"/>
      <c r="G272" s="235"/>
      <c r="H272" s="235" t="s">
        <v>265</v>
      </c>
      <c r="I272" s="235">
        <v>2</v>
      </c>
      <c r="K272" s="235">
        <v>6</v>
      </c>
      <c r="L272" s="235">
        <f t="shared" si="127"/>
        <v>6</v>
      </c>
      <c r="M272" s="235">
        <v>7</v>
      </c>
      <c r="O272" s="248">
        <v>42048</v>
      </c>
      <c r="P272"/>
      <c r="Q272" s="219"/>
      <c r="R272"/>
      <c r="S272"/>
      <c r="T272"/>
      <c r="V272" s="219"/>
      <c r="W272" s="219"/>
      <c r="X272">
        <v>15.55</v>
      </c>
      <c r="Y272"/>
      <c r="Z272"/>
      <c r="AA272"/>
      <c r="AB272" s="220"/>
      <c r="AC272" s="219"/>
      <c r="AD272" s="221"/>
      <c r="AE272" s="219"/>
      <c r="AF272" s="220"/>
      <c r="AG272" s="219"/>
      <c r="AH272" s="220"/>
      <c r="AI272" s="219"/>
      <c r="AJ272" s="286"/>
      <c r="AK272" s="284"/>
      <c r="AL272"/>
      <c r="AM272"/>
      <c r="AN272" s="241">
        <v>70</v>
      </c>
      <c r="AO272" s="242">
        <v>42074</v>
      </c>
      <c r="AP272" s="255">
        <v>104</v>
      </c>
      <c r="AQ272" s="242">
        <v>42108</v>
      </c>
      <c r="AR272"/>
      <c r="AS272" s="297"/>
      <c r="AT272" s="290"/>
      <c r="AU272" s="298"/>
      <c r="AV272"/>
      <c r="AW272"/>
      <c r="AX272"/>
      <c r="AY272"/>
      <c r="AZ272"/>
      <c r="BA272"/>
      <c r="BB272"/>
      <c r="BC272"/>
      <c r="BD272"/>
      <c r="BE272"/>
      <c r="BF272" s="277"/>
      <c r="BG272" s="235"/>
      <c r="BH272"/>
      <c r="BI272"/>
      <c r="BJ272"/>
      <c r="BK272"/>
      <c r="BL272" s="277"/>
      <c r="BM272" s="235"/>
      <c r="BN272"/>
      <c r="BO272"/>
      <c r="BP272" s="277"/>
      <c r="BQ272" s="235"/>
      <c r="BR272" s="277"/>
      <c r="BS272" s="235"/>
      <c r="BT272" s="277"/>
      <c r="BU272" s="235"/>
      <c r="BV272" s="277"/>
      <c r="BW272" s="235"/>
      <c r="BX272" s="277"/>
      <c r="BY272" s="235"/>
      <c r="BZ272"/>
      <c r="CB272" s="266"/>
      <c r="CC272"/>
      <c r="CD272" s="277"/>
      <c r="CE272" s="291"/>
      <c r="CF272"/>
      <c r="CG272"/>
      <c r="CH272"/>
      <c r="CI272"/>
      <c r="CK272"/>
      <c r="CL272"/>
      <c r="CM272" s="259">
        <v>42161</v>
      </c>
    </row>
    <row r="273" spans="1:92">
      <c r="A273" s="258">
        <v>445</v>
      </c>
      <c r="B273" s="235">
        <v>445</v>
      </c>
      <c r="C273" s="235" t="s">
        <v>7688</v>
      </c>
      <c r="D273" s="235" t="s">
        <v>7514</v>
      </c>
      <c r="E273" s="235" t="s">
        <v>7688</v>
      </c>
      <c r="F273" s="235" t="s">
        <v>8435</v>
      </c>
      <c r="G273" s="235" t="str">
        <f t="shared" ref="G273:G285" si="142">IF(MID(C273,1,3)="BGA","Complement","Rapsodyn")</f>
        <v>Rapsodyn</v>
      </c>
      <c r="H273" s="235" t="s">
        <v>265</v>
      </c>
      <c r="I273" s="235">
        <v>2</v>
      </c>
      <c r="J273" s="235">
        <v>9070</v>
      </c>
      <c r="K273" s="235">
        <v>7</v>
      </c>
      <c r="L273" s="235">
        <f t="shared" si="127"/>
        <v>7</v>
      </c>
      <c r="M273" s="235">
        <v>7</v>
      </c>
      <c r="N273" s="235">
        <v>7</v>
      </c>
      <c r="O273" s="248">
        <v>42048</v>
      </c>
      <c r="P273">
        <v>4</v>
      </c>
      <c r="Q273" s="264">
        <v>42204</v>
      </c>
      <c r="R273"/>
      <c r="S273"/>
      <c r="T273"/>
      <c r="V273" s="219">
        <f t="shared" ref="V273:V285" si="143">+BR273*AF273/100</f>
        <v>11.921866975041519</v>
      </c>
      <c r="W273" s="219"/>
      <c r="X273">
        <v>15.55</v>
      </c>
      <c r="Y273"/>
      <c r="Z273"/>
      <c r="AA273"/>
      <c r="AB273" s="220">
        <f t="shared" ref="AB273:AB285" si="144">+AF273*BT273/100</f>
        <v>3.6689701185161061</v>
      </c>
      <c r="AC273" s="219"/>
      <c r="AD273" s="221">
        <f t="shared" ref="AD273:AD285" si="145">+(AF273/AJ273)*10000</f>
        <v>56569.021686951368</v>
      </c>
      <c r="AE273" s="219"/>
      <c r="AF273" s="220">
        <f t="shared" ref="AF273:AF285" si="146">($P273/$X273)*(((100-$CD273)/100*(100-2)/100))*100</f>
        <v>23.306436935023964</v>
      </c>
      <c r="AG273" s="219"/>
      <c r="AH273" s="220">
        <f t="shared" ref="AH273:AH285" si="147">($P273/$X273)*(((100-$CD273)/(100-9)*(100-2)/(100-2))*100)</f>
        <v>26.134152203435708</v>
      </c>
      <c r="AI273" s="219"/>
      <c r="AJ273">
        <v>4.12</v>
      </c>
      <c r="AK273" s="284" t="s">
        <v>8398</v>
      </c>
      <c r="AL273">
        <v>150</v>
      </c>
      <c r="AM273"/>
      <c r="AN273" s="241">
        <v>70</v>
      </c>
      <c r="AO273" s="242">
        <v>42074</v>
      </c>
      <c r="AP273" s="255">
        <v>110</v>
      </c>
      <c r="AQ273" s="242">
        <v>42114</v>
      </c>
      <c r="AR273" s="223">
        <v>141</v>
      </c>
      <c r="AS273" s="297">
        <f t="shared" ref="AS273:AS285" si="148">IF(AR273=0,,AR273)</f>
        <v>141</v>
      </c>
      <c r="AT273" s="290">
        <v>42145</v>
      </c>
      <c r="AU273" s="298"/>
      <c r="AV273"/>
      <c r="AW273"/>
      <c r="AX273"/>
      <c r="AY273"/>
      <c r="AZ273"/>
      <c r="BA273"/>
      <c r="BB273"/>
      <c r="BC273"/>
      <c r="BD273"/>
      <c r="BE273"/>
      <c r="BF273" s="277">
        <v>-5.0954737663269043</v>
      </c>
      <c r="BG273" s="283">
        <v>42230</v>
      </c>
      <c r="BH273"/>
      <c r="BI273"/>
      <c r="BJ273"/>
      <c r="BK273"/>
      <c r="BL273" s="277">
        <v>64.090644836425781</v>
      </c>
      <c r="BM273" s="283">
        <v>42230</v>
      </c>
      <c r="BN273"/>
      <c r="BO273"/>
      <c r="BP273" s="277">
        <v>4.2299518585205078</v>
      </c>
      <c r="BQ273" s="283">
        <v>42230</v>
      </c>
      <c r="BR273" s="277">
        <v>51.152679443359375</v>
      </c>
      <c r="BS273" s="283">
        <v>42230</v>
      </c>
      <c r="BT273" s="277">
        <v>15.742303848266602</v>
      </c>
      <c r="BU273" s="283">
        <v>42230</v>
      </c>
      <c r="BV273" s="277">
        <v>14.747979164123535</v>
      </c>
      <c r="BW273" s="283">
        <v>42230</v>
      </c>
      <c r="BX273" s="277">
        <v>5.8877792358398437</v>
      </c>
      <c r="BY273" s="283">
        <v>42230</v>
      </c>
      <c r="BZ273"/>
      <c r="CB273" s="266">
        <v>1.1499999999999999</v>
      </c>
      <c r="CC273"/>
      <c r="CD273" s="277">
        <v>7.547169811320745</v>
      </c>
      <c r="CE273" s="291" t="s">
        <v>8398</v>
      </c>
      <c r="CF273"/>
      <c r="CG273"/>
      <c r="CH273">
        <v>3</v>
      </c>
      <c r="CI273">
        <v>3</v>
      </c>
      <c r="CK273"/>
      <c r="CL273"/>
      <c r="CM273" s="259">
        <v>42161</v>
      </c>
      <c r="CN273" s="137" t="s">
        <v>8406</v>
      </c>
    </row>
    <row r="274" spans="1:92">
      <c r="A274" s="258">
        <v>446</v>
      </c>
      <c r="B274" s="235">
        <v>446</v>
      </c>
      <c r="C274" s="235" t="s">
        <v>7782</v>
      </c>
      <c r="D274" s="235" t="s">
        <v>7580</v>
      </c>
      <c r="E274" s="235" t="s">
        <v>7782</v>
      </c>
      <c r="F274" s="235" t="s">
        <v>8606</v>
      </c>
      <c r="G274" s="235" t="str">
        <f t="shared" si="142"/>
        <v>Rapsodyn</v>
      </c>
      <c r="H274" s="235" t="s">
        <v>265</v>
      </c>
      <c r="I274" s="235">
        <v>2</v>
      </c>
      <c r="J274" s="235">
        <v>9153</v>
      </c>
      <c r="K274" s="235">
        <v>8</v>
      </c>
      <c r="L274" s="235">
        <f t="shared" si="127"/>
        <v>8</v>
      </c>
      <c r="M274" s="235">
        <v>7</v>
      </c>
      <c r="N274" s="235">
        <v>7</v>
      </c>
      <c r="O274" s="248">
        <v>42048</v>
      </c>
      <c r="P274" s="223">
        <v>5</v>
      </c>
      <c r="Q274" s="264">
        <v>42204</v>
      </c>
      <c r="R274" s="223"/>
      <c r="S274" s="223"/>
      <c r="T274" s="223"/>
      <c r="U274" s="225"/>
      <c r="V274" s="219">
        <f t="shared" si="143"/>
        <v>15.195208690921266</v>
      </c>
      <c r="W274" s="224"/>
      <c r="X274">
        <v>15.55</v>
      </c>
      <c r="Y274" s="223"/>
      <c r="Z274" s="223"/>
      <c r="AA274" s="223"/>
      <c r="AB274" s="220">
        <f t="shared" si="144"/>
        <v>4.5950907897907634</v>
      </c>
      <c r="AC274" s="224"/>
      <c r="AD274" s="221">
        <f t="shared" si="145"/>
        <v>67065.976745650216</v>
      </c>
      <c r="AE274" s="224"/>
      <c r="AF274" s="220">
        <f t="shared" si="146"/>
        <v>29.374897814594796</v>
      </c>
      <c r="AG274" s="224"/>
      <c r="AH274" s="220">
        <f t="shared" si="147"/>
        <v>32.938885192413991</v>
      </c>
      <c r="AI274" s="224"/>
      <c r="AJ274">
        <v>4.38</v>
      </c>
      <c r="AK274" s="290" t="s">
        <v>8398</v>
      </c>
      <c r="AL274" s="223">
        <v>170</v>
      </c>
      <c r="AM274" s="223"/>
      <c r="AN274" s="241">
        <v>70</v>
      </c>
      <c r="AO274" s="242">
        <v>42074</v>
      </c>
      <c r="AP274" s="255">
        <v>104</v>
      </c>
      <c r="AQ274" s="242">
        <v>42108</v>
      </c>
      <c r="AR274" s="223">
        <v>125</v>
      </c>
      <c r="AS274" s="297">
        <f t="shared" si="148"/>
        <v>125</v>
      </c>
      <c r="AT274" s="290">
        <v>42129</v>
      </c>
      <c r="AU274" s="298"/>
      <c r="AV274" s="223"/>
      <c r="AW274" s="223"/>
      <c r="AX274" s="223"/>
      <c r="AY274" s="223"/>
      <c r="AZ274" s="223"/>
      <c r="BA274" s="223"/>
      <c r="BB274" s="223"/>
      <c r="BC274" s="223"/>
      <c r="BD274" s="223"/>
      <c r="BE274" s="223"/>
      <c r="BF274" s="281">
        <v>-6.2087650299072266</v>
      </c>
      <c r="BG274" s="283">
        <v>42230</v>
      </c>
      <c r="BH274" s="223"/>
      <c r="BI274" s="223"/>
      <c r="BJ274" s="223"/>
      <c r="BK274" s="223"/>
      <c r="BL274" s="281">
        <v>64.98883056640625</v>
      </c>
      <c r="BM274" s="283">
        <v>42230</v>
      </c>
      <c r="BN274" s="223"/>
      <c r="BO274" s="223"/>
      <c r="BP274" s="281">
        <v>3.5679819583892822</v>
      </c>
      <c r="BQ274" s="283">
        <v>42230</v>
      </c>
      <c r="BR274" s="281">
        <v>51.728549957275391</v>
      </c>
      <c r="BS274" s="283">
        <v>42230</v>
      </c>
      <c r="BT274" s="281">
        <v>15.642916679382324</v>
      </c>
      <c r="BU274" s="283">
        <v>42230</v>
      </c>
      <c r="BV274" s="281">
        <v>17.829593658447266</v>
      </c>
      <c r="BW274" s="283">
        <v>42230</v>
      </c>
      <c r="BX274" s="281">
        <v>5.6717147827148437</v>
      </c>
      <c r="BY274" s="283">
        <v>42230</v>
      </c>
      <c r="BZ274" s="223"/>
      <c r="CA274" s="226"/>
      <c r="CB274" s="266">
        <v>1</v>
      </c>
      <c r="CC274" s="223"/>
      <c r="CD274" s="281">
        <v>6.7796610169491585</v>
      </c>
      <c r="CE274" s="291" t="s">
        <v>8398</v>
      </c>
      <c r="CF274" s="223"/>
      <c r="CG274" s="223"/>
      <c r="CH274" s="223">
        <v>2</v>
      </c>
      <c r="CI274" s="223">
        <v>3</v>
      </c>
      <c r="CK274" s="223"/>
      <c r="CL274" s="223"/>
      <c r="CM274" s="259">
        <v>42161</v>
      </c>
      <c r="CN274" s="137" t="s">
        <v>8406</v>
      </c>
    </row>
    <row r="275" spans="1:92">
      <c r="A275" s="258">
        <v>447</v>
      </c>
      <c r="B275" s="235">
        <v>447</v>
      </c>
      <c r="C275" s="235" t="s">
        <v>7630</v>
      </c>
      <c r="D275" s="235" t="s">
        <v>7464</v>
      </c>
      <c r="E275" s="235" t="s">
        <v>7630</v>
      </c>
      <c r="F275" s="235" t="s">
        <v>8567</v>
      </c>
      <c r="G275" s="235" t="str">
        <f t="shared" si="142"/>
        <v>Rapsodyn</v>
      </c>
      <c r="H275" s="235" t="s">
        <v>265</v>
      </c>
      <c r="I275" s="235">
        <v>2</v>
      </c>
      <c r="J275" s="235">
        <v>9020</v>
      </c>
      <c r="K275" s="235">
        <v>9</v>
      </c>
      <c r="L275" s="235">
        <f t="shared" si="127"/>
        <v>9</v>
      </c>
      <c r="M275" s="235">
        <v>7</v>
      </c>
      <c r="N275" s="236">
        <v>9</v>
      </c>
      <c r="O275" s="248">
        <v>42048</v>
      </c>
      <c r="P275">
        <v>3.7</v>
      </c>
      <c r="Q275" s="264">
        <v>42204</v>
      </c>
      <c r="R275"/>
      <c r="S275"/>
      <c r="T275"/>
      <c r="V275" s="219">
        <f t="shared" si="143"/>
        <v>10.495259725064475</v>
      </c>
      <c r="W275" s="219"/>
      <c r="X275">
        <v>15.55</v>
      </c>
      <c r="Y275"/>
      <c r="Z275"/>
      <c r="AA275"/>
      <c r="AB275" s="220">
        <f t="shared" si="144"/>
        <v>4.1808686360385856</v>
      </c>
      <c r="AC275" s="219"/>
      <c r="AD275" s="221">
        <f t="shared" si="145"/>
        <v>45119.178279085056</v>
      </c>
      <c r="AE275" s="219"/>
      <c r="AF275" s="220">
        <f t="shared" si="146"/>
        <v>21.973039821914423</v>
      </c>
      <c r="AG275" s="219"/>
      <c r="AH275" s="220">
        <f t="shared" si="147"/>
        <v>24.638977149489151</v>
      </c>
      <c r="AI275" s="219"/>
      <c r="AJ275">
        <v>4.87</v>
      </c>
      <c r="AK275" s="284" t="s">
        <v>8400</v>
      </c>
      <c r="AL275">
        <v>155</v>
      </c>
      <c r="AM275"/>
      <c r="AN275" s="241">
        <v>75</v>
      </c>
      <c r="AO275" s="242">
        <v>42079</v>
      </c>
      <c r="AP275" s="255">
        <v>106</v>
      </c>
      <c r="AQ275" s="242">
        <v>42110</v>
      </c>
      <c r="AR275" s="223">
        <v>127</v>
      </c>
      <c r="AS275" s="297">
        <f t="shared" si="148"/>
        <v>127</v>
      </c>
      <c r="AT275" s="290">
        <v>42131</v>
      </c>
      <c r="AU275" s="298"/>
      <c r="AV275"/>
      <c r="AW275"/>
      <c r="AX275"/>
      <c r="AY275"/>
      <c r="AZ275"/>
      <c r="BA275"/>
      <c r="BB275"/>
      <c r="BC275"/>
      <c r="BD275"/>
      <c r="BE275"/>
      <c r="BF275" s="277">
        <v>8.6825027465820312</v>
      </c>
      <c r="BG275" s="283">
        <v>42230</v>
      </c>
      <c r="BH275"/>
      <c r="BI275"/>
      <c r="BJ275"/>
      <c r="BK275"/>
      <c r="BL275" s="277">
        <v>62.434947967529297</v>
      </c>
      <c r="BM275" s="283">
        <v>42230</v>
      </c>
      <c r="BN275"/>
      <c r="BO275"/>
      <c r="BP275" s="277">
        <v>3.8636419773101807</v>
      </c>
      <c r="BQ275" s="283">
        <v>42230</v>
      </c>
      <c r="BR275" s="277">
        <v>47.764259338378906</v>
      </c>
      <c r="BS275" s="283">
        <v>42230</v>
      </c>
      <c r="BT275" s="277">
        <v>19.027265548706055</v>
      </c>
      <c r="BU275" s="283">
        <v>42230</v>
      </c>
      <c r="BV275" s="277">
        <v>50.736740112304687</v>
      </c>
      <c r="BW275" s="283">
        <v>42230</v>
      </c>
      <c r="BX275" s="277">
        <v>5.9508895874023438</v>
      </c>
      <c r="BY275" s="283">
        <v>42230</v>
      </c>
      <c r="BZ275"/>
      <c r="CB275" s="266">
        <v>0.87</v>
      </c>
      <c r="CC275"/>
      <c r="CD275" s="277">
        <v>5.7692307692307656</v>
      </c>
      <c r="CE275" s="291" t="s">
        <v>8400</v>
      </c>
      <c r="CF275"/>
      <c r="CG275"/>
      <c r="CH275">
        <v>1</v>
      </c>
      <c r="CI275">
        <v>2</v>
      </c>
      <c r="CK275"/>
      <c r="CL275"/>
      <c r="CM275" s="259">
        <v>42161</v>
      </c>
      <c r="CN275" s="137" t="s">
        <v>8406</v>
      </c>
    </row>
    <row r="276" spans="1:92">
      <c r="A276" s="258">
        <v>448</v>
      </c>
      <c r="B276" s="235">
        <v>448</v>
      </c>
      <c r="C276" s="235" t="s">
        <v>7809</v>
      </c>
      <c r="D276" s="235" t="s">
        <v>7603</v>
      </c>
      <c r="E276" s="235" t="s">
        <v>7809</v>
      </c>
      <c r="F276" s="235" t="s">
        <v>8572</v>
      </c>
      <c r="G276" s="235" t="str">
        <f t="shared" si="142"/>
        <v>Rapsodyn</v>
      </c>
      <c r="H276" s="235" t="s">
        <v>265</v>
      </c>
      <c r="I276" s="235">
        <v>2</v>
      </c>
      <c r="J276" s="235">
        <v>9180</v>
      </c>
      <c r="K276" s="235">
        <v>10</v>
      </c>
      <c r="L276" s="235">
        <f t="shared" si="127"/>
        <v>10</v>
      </c>
      <c r="M276" s="235">
        <v>7</v>
      </c>
      <c r="N276" s="235">
        <v>7</v>
      </c>
      <c r="O276" s="248">
        <v>42048</v>
      </c>
      <c r="P276">
        <v>5.45</v>
      </c>
      <c r="Q276" s="264">
        <v>42204</v>
      </c>
      <c r="R276"/>
      <c r="S276"/>
      <c r="T276"/>
      <c r="V276" s="219">
        <f t="shared" si="143"/>
        <v>16.889176476970587</v>
      </c>
      <c r="W276" s="219"/>
      <c r="X276">
        <v>15.55</v>
      </c>
      <c r="Y276"/>
      <c r="Z276"/>
      <c r="AA276"/>
      <c r="AB276" s="220">
        <f t="shared" si="144"/>
        <v>4.4145643304570417</v>
      </c>
      <c r="AC276" s="219"/>
      <c r="AD276" s="221">
        <f t="shared" si="145"/>
        <v>73856.426556282415</v>
      </c>
      <c r="AE276" s="219"/>
      <c r="AF276" s="220">
        <f t="shared" si="146"/>
        <v>32.570684111320546</v>
      </c>
      <c r="AG276" s="219"/>
      <c r="AH276" s="220">
        <f t="shared" si="147"/>
        <v>36.522408736623177</v>
      </c>
      <c r="AI276" s="219"/>
      <c r="AJ276">
        <v>4.41</v>
      </c>
      <c r="AK276" s="284" t="s">
        <v>8400</v>
      </c>
      <c r="AL276">
        <v>165</v>
      </c>
      <c r="AM276"/>
      <c r="AN276" s="241">
        <v>70</v>
      </c>
      <c r="AO276" s="242">
        <v>42074</v>
      </c>
      <c r="AP276" s="255">
        <v>104</v>
      </c>
      <c r="AQ276" s="242">
        <v>42108</v>
      </c>
      <c r="AR276" s="223">
        <v>131</v>
      </c>
      <c r="AS276" s="297">
        <f t="shared" si="148"/>
        <v>131</v>
      </c>
      <c r="AT276" s="290">
        <v>42135</v>
      </c>
      <c r="AU276" s="298"/>
      <c r="AV276"/>
      <c r="AW276"/>
      <c r="AX276"/>
      <c r="AY276"/>
      <c r="AZ276"/>
      <c r="BA276"/>
      <c r="BB276"/>
      <c r="BC276"/>
      <c r="BD276"/>
      <c r="BE276"/>
      <c r="BF276" s="277">
        <v>-3.3294579982757568</v>
      </c>
      <c r="BG276" s="283">
        <v>42230</v>
      </c>
      <c r="BH276"/>
      <c r="BI276"/>
      <c r="BJ276"/>
      <c r="BK276"/>
      <c r="BL276" s="277">
        <v>64.714584350585938</v>
      </c>
      <c r="BM276" s="283">
        <v>42230</v>
      </c>
      <c r="BN276"/>
      <c r="BO276"/>
      <c r="BP276" s="277">
        <v>3.9737820625305176</v>
      </c>
      <c r="BQ276" s="283">
        <v>42230</v>
      </c>
      <c r="BR276" s="277">
        <v>51.853919982910156</v>
      </c>
      <c r="BS276" s="283">
        <v>42230</v>
      </c>
      <c r="BT276" s="277">
        <v>13.553796768188477</v>
      </c>
      <c r="BU276" s="283">
        <v>42230</v>
      </c>
      <c r="BV276" s="277">
        <v>12.631638526916504</v>
      </c>
      <c r="BW276" s="283">
        <v>42230</v>
      </c>
      <c r="BX276" s="277">
        <v>5.6509552001953125</v>
      </c>
      <c r="BY276" s="283">
        <v>42230</v>
      </c>
      <c r="BZ276"/>
      <c r="CB276" s="266">
        <v>1.51</v>
      </c>
      <c r="CC276"/>
      <c r="CD276" s="277">
        <v>5.1724137931034457</v>
      </c>
      <c r="CE276" s="291" t="s">
        <v>8400</v>
      </c>
      <c r="CF276"/>
      <c r="CG276"/>
      <c r="CH276">
        <v>2</v>
      </c>
      <c r="CI276">
        <v>3</v>
      </c>
      <c r="CK276"/>
      <c r="CL276"/>
      <c r="CM276" s="259">
        <v>42161</v>
      </c>
      <c r="CN276" s="137" t="s">
        <v>8406</v>
      </c>
    </row>
    <row r="277" spans="1:92">
      <c r="A277" s="258">
        <v>449</v>
      </c>
      <c r="B277" s="235">
        <v>449</v>
      </c>
      <c r="C277" s="235" t="s">
        <v>7807</v>
      </c>
      <c r="D277" s="235" t="s">
        <v>7601</v>
      </c>
      <c r="E277" s="235" t="s">
        <v>7807</v>
      </c>
      <c r="F277" s="235" t="s">
        <v>8452</v>
      </c>
      <c r="G277" s="235" t="str">
        <f t="shared" si="142"/>
        <v>Rapsodyn</v>
      </c>
      <c r="H277" s="235" t="s">
        <v>265</v>
      </c>
      <c r="I277" s="235">
        <v>2</v>
      </c>
      <c r="J277" s="235">
        <v>9178</v>
      </c>
      <c r="K277" s="235">
        <v>11</v>
      </c>
      <c r="L277" s="235">
        <f t="shared" si="127"/>
        <v>11</v>
      </c>
      <c r="M277" s="235">
        <v>7</v>
      </c>
      <c r="N277" s="235">
        <v>5</v>
      </c>
      <c r="O277" s="248">
        <v>42048</v>
      </c>
      <c r="P277">
        <v>5.15</v>
      </c>
      <c r="Q277" s="264">
        <v>42204</v>
      </c>
      <c r="R277"/>
      <c r="S277"/>
      <c r="T277"/>
      <c r="V277" s="219">
        <f t="shared" si="143"/>
        <v>15.571178155255785</v>
      </c>
      <c r="W277" s="219"/>
      <c r="X277">
        <v>15.55</v>
      </c>
      <c r="Y277"/>
      <c r="Z277"/>
      <c r="AA277"/>
      <c r="AB277" s="220">
        <f t="shared" si="144"/>
        <v>4.4121862950574098</v>
      </c>
      <c r="AC277" s="219"/>
      <c r="AD277" s="221">
        <f t="shared" si="145"/>
        <v>61870.180523388372</v>
      </c>
      <c r="AE277" s="219"/>
      <c r="AF277" s="220">
        <f t="shared" si="146"/>
        <v>30.007037553843357</v>
      </c>
      <c r="AG277" s="219"/>
      <c r="AH277" s="220">
        <f t="shared" si="147"/>
        <v>33.647720961923476</v>
      </c>
      <c r="AI277" s="219"/>
      <c r="AJ277">
        <v>4.8499999999999996</v>
      </c>
      <c r="AK277" s="284" t="s">
        <v>8399</v>
      </c>
      <c r="AL277">
        <v>155</v>
      </c>
      <c r="AM277"/>
      <c r="AN277" s="241">
        <v>70</v>
      </c>
      <c r="AO277" s="242">
        <v>42074</v>
      </c>
      <c r="AP277" s="255">
        <v>104</v>
      </c>
      <c r="AQ277" s="242">
        <v>42108</v>
      </c>
      <c r="AR277" s="223">
        <v>132</v>
      </c>
      <c r="AS277" s="297">
        <f t="shared" si="148"/>
        <v>132</v>
      </c>
      <c r="AT277" s="290">
        <v>42136</v>
      </c>
      <c r="AU277" s="298"/>
      <c r="AV277"/>
      <c r="AW277"/>
      <c r="AX277"/>
      <c r="AY277"/>
      <c r="AZ277"/>
      <c r="BA277"/>
      <c r="BB277"/>
      <c r="BC277"/>
      <c r="BD277"/>
      <c r="BE277"/>
      <c r="BF277" s="277">
        <v>-1.4312969446182251</v>
      </c>
      <c r="BG277" s="283">
        <v>42233</v>
      </c>
      <c r="BH277"/>
      <c r="BI277"/>
      <c r="BJ277"/>
      <c r="BK277"/>
      <c r="BL277" s="277">
        <v>64.981880187988281</v>
      </c>
      <c r="BM277" s="283">
        <v>42233</v>
      </c>
      <c r="BN277"/>
      <c r="BO277"/>
      <c r="BP277" s="277">
        <v>3.7784659862518311</v>
      </c>
      <c r="BQ277" s="283">
        <v>42233</v>
      </c>
      <c r="BR277" s="277">
        <v>51.891754150390625</v>
      </c>
      <c r="BS277" s="283">
        <v>42233</v>
      </c>
      <c r="BT277" s="277">
        <v>14.703838348388672</v>
      </c>
      <c r="BU277" s="283">
        <v>42233</v>
      </c>
      <c r="BV277" s="277">
        <v>10.36967658996582</v>
      </c>
      <c r="BW277" s="283">
        <v>42233</v>
      </c>
      <c r="BX277" s="277">
        <v>5.3024063110351562</v>
      </c>
      <c r="BY277" s="283">
        <v>42233</v>
      </c>
      <c r="BZ277"/>
      <c r="CB277" s="266">
        <v>1.81</v>
      </c>
      <c r="CC277"/>
      <c r="CD277" s="277">
        <v>7.547169811320745</v>
      </c>
      <c r="CE277" s="291" t="s">
        <v>8399</v>
      </c>
      <c r="CF277"/>
      <c r="CG277"/>
      <c r="CH277">
        <v>2</v>
      </c>
      <c r="CI277">
        <v>3</v>
      </c>
      <c r="CK277"/>
      <c r="CL277"/>
      <c r="CM277" s="259">
        <v>42161</v>
      </c>
      <c r="CN277" s="137" t="s">
        <v>8406</v>
      </c>
    </row>
    <row r="278" spans="1:92" s="227" customFormat="1">
      <c r="A278" s="258">
        <v>450</v>
      </c>
      <c r="B278" s="235">
        <v>450</v>
      </c>
      <c r="C278" s="235" t="s">
        <v>7668</v>
      </c>
      <c r="D278" s="235" t="s">
        <v>7497</v>
      </c>
      <c r="E278" s="235" t="s">
        <v>7668</v>
      </c>
      <c r="F278" s="235" t="s">
        <v>8455</v>
      </c>
      <c r="G278" s="235" t="str">
        <f t="shared" si="142"/>
        <v>Rapsodyn</v>
      </c>
      <c r="H278" s="235" t="s">
        <v>265</v>
      </c>
      <c r="I278" s="235">
        <v>2</v>
      </c>
      <c r="J278" s="235">
        <v>9050</v>
      </c>
      <c r="K278" s="235">
        <v>12</v>
      </c>
      <c r="L278" s="235">
        <f t="shared" ref="L278:L313" si="149">K278</f>
        <v>12</v>
      </c>
      <c r="M278" s="235">
        <v>7</v>
      </c>
      <c r="N278" s="235">
        <v>7</v>
      </c>
      <c r="O278" s="248">
        <v>42048</v>
      </c>
      <c r="P278" s="223">
        <v>4.9000000000000004</v>
      </c>
      <c r="Q278" s="264">
        <v>42204</v>
      </c>
      <c r="R278" s="223"/>
      <c r="S278" s="223"/>
      <c r="T278" s="223"/>
      <c r="U278" s="225"/>
      <c r="V278" s="219">
        <f t="shared" si="143"/>
        <v>15.476384021333427</v>
      </c>
      <c r="W278" s="224"/>
      <c r="X278">
        <v>15.55</v>
      </c>
      <c r="Y278" s="223"/>
      <c r="Z278" s="223"/>
      <c r="AA278" s="223"/>
      <c r="AB278" s="220">
        <f t="shared" si="144"/>
        <v>4.432892046618691</v>
      </c>
      <c r="AC278" s="224"/>
      <c r="AD278" s="221">
        <f t="shared" si="145"/>
        <v>65166.02432490253</v>
      </c>
      <c r="AE278" s="224"/>
      <c r="AF278" s="220">
        <f t="shared" si="146"/>
        <v>29.715707092155551</v>
      </c>
      <c r="AG278" s="224"/>
      <c r="AH278" s="220">
        <f t="shared" si="147"/>
        <v>33.321044059380526</v>
      </c>
      <c r="AI278" s="224"/>
      <c r="AJ278">
        <v>4.5599999999999996</v>
      </c>
      <c r="AK278" s="290" t="s">
        <v>8399</v>
      </c>
      <c r="AL278" s="223">
        <v>160</v>
      </c>
      <c r="AM278" s="223"/>
      <c r="AN278" s="241">
        <v>70</v>
      </c>
      <c r="AO278" s="242">
        <v>42074</v>
      </c>
      <c r="AP278" s="255">
        <v>106</v>
      </c>
      <c r="AQ278" s="242">
        <v>42110</v>
      </c>
      <c r="AR278" s="223">
        <v>135</v>
      </c>
      <c r="AS278" s="297">
        <f t="shared" si="148"/>
        <v>135</v>
      </c>
      <c r="AT278" s="290">
        <v>42139</v>
      </c>
      <c r="AU278" s="298"/>
      <c r="AV278" s="223"/>
      <c r="AW278" s="223"/>
      <c r="AX278" s="223"/>
      <c r="AY278" s="223"/>
      <c r="AZ278" s="223"/>
      <c r="BA278" s="223"/>
      <c r="BB278" s="223"/>
      <c r="BC278" s="223"/>
      <c r="BD278" s="223"/>
      <c r="BE278" s="223"/>
      <c r="BF278" s="281">
        <v>-4.0587058067321777</v>
      </c>
      <c r="BG278" s="283">
        <v>42233</v>
      </c>
      <c r="BH278" s="223"/>
      <c r="BI278" s="223"/>
      <c r="BJ278" s="223"/>
      <c r="BK278" s="223"/>
      <c r="BL278" s="281">
        <v>63.167667388916016</v>
      </c>
      <c r="BM278" s="283">
        <v>42233</v>
      </c>
      <c r="BN278" s="223"/>
      <c r="BO278" s="223"/>
      <c r="BP278" s="281">
        <v>3.7717139720916748</v>
      </c>
      <c r="BQ278" s="283">
        <v>42233</v>
      </c>
      <c r="BR278" s="281">
        <v>52.081493377685547</v>
      </c>
      <c r="BS278" s="283">
        <v>42233</v>
      </c>
      <c r="BT278" s="281">
        <v>14.917673110961914</v>
      </c>
      <c r="BU278" s="283">
        <v>42233</v>
      </c>
      <c r="BV278" s="281">
        <v>11.946447372436523</v>
      </c>
      <c r="BW278" s="283">
        <v>42233</v>
      </c>
      <c r="BX278" s="281">
        <v>5.2700424194335938</v>
      </c>
      <c r="BY278" s="283">
        <v>42233</v>
      </c>
      <c r="BZ278" s="223"/>
      <c r="CA278" s="226"/>
      <c r="CB278" s="266">
        <v>1.33</v>
      </c>
      <c r="CC278" s="223"/>
      <c r="CD278" s="281">
        <v>3.7735849056603805</v>
      </c>
      <c r="CE278" s="291" t="s">
        <v>8399</v>
      </c>
      <c r="CF278" s="223"/>
      <c r="CG278" s="223"/>
      <c r="CH278" s="223">
        <v>2</v>
      </c>
      <c r="CI278" s="223">
        <v>3</v>
      </c>
      <c r="CK278" s="223"/>
      <c r="CL278" s="223"/>
      <c r="CM278" s="259">
        <v>42161</v>
      </c>
      <c r="CN278" s="137" t="s">
        <v>8406</v>
      </c>
    </row>
    <row r="279" spans="1:92">
      <c r="A279" s="258">
        <v>453</v>
      </c>
      <c r="B279" s="235">
        <v>453</v>
      </c>
      <c r="C279" s="235" t="s">
        <v>7795</v>
      </c>
      <c r="D279" s="235" t="s">
        <v>7593</v>
      </c>
      <c r="E279" s="235" t="s">
        <v>7795</v>
      </c>
      <c r="F279" s="235" t="s">
        <v>8488</v>
      </c>
      <c r="G279" s="235" t="str">
        <f t="shared" si="142"/>
        <v>Rapsodyn</v>
      </c>
      <c r="H279" s="235" t="s">
        <v>265</v>
      </c>
      <c r="I279" s="235">
        <v>2</v>
      </c>
      <c r="J279" s="235">
        <v>9166</v>
      </c>
      <c r="K279" s="235">
        <v>15</v>
      </c>
      <c r="L279" s="235">
        <f t="shared" si="149"/>
        <v>15</v>
      </c>
      <c r="M279" s="235">
        <v>7</v>
      </c>
      <c r="N279" s="235">
        <v>7</v>
      </c>
      <c r="O279" s="248">
        <v>42048</v>
      </c>
      <c r="P279">
        <v>4.8499999999999996</v>
      </c>
      <c r="Q279" s="264">
        <v>42204</v>
      </c>
      <c r="R279"/>
      <c r="S279"/>
      <c r="T279"/>
      <c r="V279" s="219">
        <f t="shared" si="143"/>
        <v>14.963235661969474</v>
      </c>
      <c r="W279" s="219"/>
      <c r="X279">
        <v>15.55</v>
      </c>
      <c r="Y279"/>
      <c r="Z279"/>
      <c r="AA279"/>
      <c r="AB279" s="220">
        <f t="shared" si="144"/>
        <v>4.7449216177373907</v>
      </c>
      <c r="AC279" s="219"/>
      <c r="AD279" s="221">
        <f t="shared" si="145"/>
        <v>64017.178484852033</v>
      </c>
      <c r="AE279" s="219"/>
      <c r="AF279" s="220">
        <f t="shared" si="146"/>
        <v>29.511919281516789</v>
      </c>
      <c r="AG279" s="219"/>
      <c r="AH279" s="220">
        <f t="shared" si="147"/>
        <v>33.092531152182993</v>
      </c>
      <c r="AI279" s="219"/>
      <c r="AJ279">
        <v>4.6100000000000003</v>
      </c>
      <c r="AK279" s="284" t="s">
        <v>8400</v>
      </c>
      <c r="AL279">
        <v>140</v>
      </c>
      <c r="AM279"/>
      <c r="AN279" s="241">
        <v>72</v>
      </c>
      <c r="AO279" s="242">
        <v>42076</v>
      </c>
      <c r="AP279" s="255">
        <v>104</v>
      </c>
      <c r="AQ279" s="242">
        <v>42108</v>
      </c>
      <c r="AR279" s="223">
        <v>123</v>
      </c>
      <c r="AS279" s="297">
        <f t="shared" si="148"/>
        <v>123</v>
      </c>
      <c r="AT279" s="290">
        <v>42127</v>
      </c>
      <c r="AU279" s="298"/>
      <c r="AV279"/>
      <c r="AW279"/>
      <c r="AX279"/>
      <c r="AY279"/>
      <c r="AZ279"/>
      <c r="BA279"/>
      <c r="BB279"/>
      <c r="BC279"/>
      <c r="BD279"/>
      <c r="BE279"/>
      <c r="BF279" s="277">
        <v>-5.4070110321044922</v>
      </c>
      <c r="BG279" s="283">
        <v>42230</v>
      </c>
      <c r="BH279"/>
      <c r="BI279"/>
      <c r="BJ279"/>
      <c r="BK279"/>
      <c r="BL279" s="277">
        <v>65.562019348144531</v>
      </c>
      <c r="BM279" s="283">
        <v>42230</v>
      </c>
      <c r="BN279"/>
      <c r="BO279"/>
      <c r="BP279" s="277">
        <v>4.0669980049133301</v>
      </c>
      <c r="BQ279" s="283">
        <v>42230</v>
      </c>
      <c r="BR279" s="277">
        <v>50.702346801757813</v>
      </c>
      <c r="BS279" s="283">
        <v>42230</v>
      </c>
      <c r="BT279" s="277">
        <v>16.077983856201172</v>
      </c>
      <c r="BU279" s="283">
        <v>42230</v>
      </c>
      <c r="BV279" s="277">
        <v>11.438904762268066</v>
      </c>
      <c r="BW279" s="283">
        <v>42230</v>
      </c>
      <c r="BX279" s="277">
        <v>5.2213287353515625</v>
      </c>
      <c r="BY279" s="283">
        <v>42230</v>
      </c>
      <c r="BZ279"/>
      <c r="CB279" s="266">
        <v>1.5</v>
      </c>
      <c r="CC279"/>
      <c r="CD279" s="277">
        <v>3.4482758620689689</v>
      </c>
      <c r="CE279" s="291" t="s">
        <v>8400</v>
      </c>
      <c r="CF279"/>
      <c r="CG279"/>
      <c r="CH279">
        <v>2</v>
      </c>
      <c r="CI279">
        <v>2</v>
      </c>
      <c r="CK279"/>
      <c r="CL279"/>
      <c r="CM279" s="259">
        <v>42161</v>
      </c>
      <c r="CN279" s="137" t="s">
        <v>8406</v>
      </c>
    </row>
    <row r="280" spans="1:92">
      <c r="A280" s="258">
        <v>454</v>
      </c>
      <c r="B280" s="235">
        <v>454</v>
      </c>
      <c r="C280" s="235" t="s">
        <v>7621</v>
      </c>
      <c r="D280" s="235" t="s">
        <v>7456</v>
      </c>
      <c r="E280" s="235" t="s">
        <v>7621</v>
      </c>
      <c r="F280" s="235" t="s">
        <v>8478</v>
      </c>
      <c r="G280" s="235" t="str">
        <f t="shared" si="142"/>
        <v>Rapsodyn</v>
      </c>
      <c r="H280" s="235" t="s">
        <v>265</v>
      </c>
      <c r="I280" s="235">
        <v>2</v>
      </c>
      <c r="J280" s="235">
        <v>9014</v>
      </c>
      <c r="K280" s="235">
        <v>16</v>
      </c>
      <c r="L280" s="235">
        <f t="shared" si="149"/>
        <v>16</v>
      </c>
      <c r="M280" s="235">
        <v>7</v>
      </c>
      <c r="N280" s="235">
        <v>7</v>
      </c>
      <c r="O280" s="248">
        <v>42048</v>
      </c>
      <c r="P280">
        <v>2.6</v>
      </c>
      <c r="Q280" s="264">
        <v>42204</v>
      </c>
      <c r="R280"/>
      <c r="S280"/>
      <c r="T280"/>
      <c r="V280" s="219">
        <f t="shared" si="143"/>
        <v>8.0806743595859469</v>
      </c>
      <c r="W280" s="219"/>
      <c r="X280">
        <v>15.55</v>
      </c>
      <c r="Y280"/>
      <c r="Z280"/>
      <c r="AA280"/>
      <c r="AB280" s="220">
        <f t="shared" si="144"/>
        <v>2.8482235792664898</v>
      </c>
      <c r="AC280" s="219"/>
      <c r="AD280" s="221">
        <f t="shared" si="145"/>
        <v>34653.885821755743</v>
      </c>
      <c r="AE280" s="219"/>
      <c r="AF280" s="220">
        <f t="shared" si="146"/>
        <v>15.767518048898863</v>
      </c>
      <c r="AG280" s="219"/>
      <c r="AH280" s="220">
        <f t="shared" si="147"/>
        <v>17.680553990691706</v>
      </c>
      <c r="AI280" s="219"/>
      <c r="AJ280">
        <v>4.55</v>
      </c>
      <c r="AK280" s="284" t="s">
        <v>8400</v>
      </c>
      <c r="AL280">
        <v>140</v>
      </c>
      <c r="AM280"/>
      <c r="AN280" s="241">
        <v>72</v>
      </c>
      <c r="AO280" s="242">
        <v>42076</v>
      </c>
      <c r="AP280" s="255">
        <v>104</v>
      </c>
      <c r="AQ280" s="242">
        <v>42108</v>
      </c>
      <c r="AR280" s="223">
        <v>132</v>
      </c>
      <c r="AS280" s="297">
        <f t="shared" si="148"/>
        <v>132</v>
      </c>
      <c r="AT280" s="290">
        <v>42136</v>
      </c>
      <c r="AU280" s="298"/>
      <c r="AV280"/>
      <c r="AW280"/>
      <c r="AX280"/>
      <c r="AY280"/>
      <c r="AZ280"/>
      <c r="BA280"/>
      <c r="BB280"/>
      <c r="BC280"/>
      <c r="BD280"/>
      <c r="BE280"/>
      <c r="BF280" s="277">
        <v>33.956958770751953</v>
      </c>
      <c r="BG280" s="283">
        <v>42230</v>
      </c>
      <c r="BH280"/>
      <c r="BI280"/>
      <c r="BJ280"/>
      <c r="BK280"/>
      <c r="BL280" s="277">
        <v>60.825050354003906</v>
      </c>
      <c r="BM280" s="283">
        <v>42230</v>
      </c>
      <c r="BN280"/>
      <c r="BO280"/>
      <c r="BP280" s="277">
        <v>3.7927060127258301</v>
      </c>
      <c r="BQ280" s="283">
        <v>42230</v>
      </c>
      <c r="BR280" s="277">
        <v>51.248867034912109</v>
      </c>
      <c r="BS280" s="283">
        <v>42230</v>
      </c>
      <c r="BT280" s="277">
        <v>18.063867568969727</v>
      </c>
      <c r="BU280" s="283">
        <v>42230</v>
      </c>
      <c r="BV280" s="277">
        <v>60.813278198242188</v>
      </c>
      <c r="BW280" s="283">
        <v>42230</v>
      </c>
      <c r="BX280" s="277">
        <v>5.422760009765625</v>
      </c>
      <c r="BY280" s="283">
        <v>42230</v>
      </c>
      <c r="BZ280"/>
      <c r="CB280" s="266">
        <v>1.36</v>
      </c>
      <c r="CC280"/>
      <c r="CD280" s="277">
        <v>3.7735849056603805</v>
      </c>
      <c r="CE280" s="291" t="s">
        <v>8400</v>
      </c>
      <c r="CF280"/>
      <c r="CG280"/>
      <c r="CH280">
        <v>5</v>
      </c>
      <c r="CI280">
        <v>6</v>
      </c>
      <c r="CK280"/>
      <c r="CL280"/>
      <c r="CM280" s="259">
        <v>42161</v>
      </c>
      <c r="CN280" s="137" t="s">
        <v>8406</v>
      </c>
    </row>
    <row r="281" spans="1:92">
      <c r="A281" s="258">
        <v>457</v>
      </c>
      <c r="B281" s="235">
        <v>457</v>
      </c>
      <c r="C281" s="235" t="s">
        <v>7679</v>
      </c>
      <c r="D281" s="235" t="s">
        <v>7506</v>
      </c>
      <c r="E281" s="235" t="s">
        <v>7679</v>
      </c>
      <c r="F281" s="235" t="s">
        <v>8432</v>
      </c>
      <c r="G281" s="235" t="str">
        <f t="shared" si="142"/>
        <v>Rapsodyn</v>
      </c>
      <c r="H281" s="235" t="s">
        <v>265</v>
      </c>
      <c r="I281" s="235">
        <v>2</v>
      </c>
      <c r="J281" s="235">
        <v>9061</v>
      </c>
      <c r="K281" s="235">
        <v>19</v>
      </c>
      <c r="L281" s="235">
        <f t="shared" si="149"/>
        <v>19</v>
      </c>
      <c r="M281" s="235">
        <v>7</v>
      </c>
      <c r="N281" s="235">
        <v>5</v>
      </c>
      <c r="O281" s="248">
        <v>42048</v>
      </c>
      <c r="P281" s="223">
        <v>5.5</v>
      </c>
      <c r="Q281" s="264">
        <v>42204</v>
      </c>
      <c r="R281" s="223"/>
      <c r="S281" s="223"/>
      <c r="T281" s="223"/>
      <c r="U281" s="225"/>
      <c r="V281" s="219">
        <f t="shared" si="143"/>
        <v>17.102949393416523</v>
      </c>
      <c r="W281" s="224"/>
      <c r="X281">
        <v>15.55</v>
      </c>
      <c r="Y281" s="223"/>
      <c r="Z281" s="223"/>
      <c r="AA281" s="223"/>
      <c r="AB281" s="220">
        <f t="shared" si="144"/>
        <v>4.9323331257614669</v>
      </c>
      <c r="AC281" s="224"/>
      <c r="AD281" s="221">
        <f t="shared" si="145"/>
        <v>74481.145863782498</v>
      </c>
      <c r="AE281" s="224"/>
      <c r="AF281" s="220">
        <f t="shared" si="146"/>
        <v>32.771704180064305</v>
      </c>
      <c r="AG281" s="224"/>
      <c r="AH281" s="220">
        <f t="shared" si="147"/>
        <v>36.747818098300414</v>
      </c>
      <c r="AI281" s="224"/>
      <c r="AJ281">
        <v>4.4000000000000004</v>
      </c>
      <c r="AK281" s="290" t="s">
        <v>8403</v>
      </c>
      <c r="AL281" s="223">
        <v>165</v>
      </c>
      <c r="AM281" s="223"/>
      <c r="AN281" s="241">
        <v>65</v>
      </c>
      <c r="AO281" s="242">
        <v>42069</v>
      </c>
      <c r="AP281" s="255">
        <v>104</v>
      </c>
      <c r="AQ281" s="242">
        <v>42108</v>
      </c>
      <c r="AR281" s="223">
        <v>131</v>
      </c>
      <c r="AS281" s="297">
        <f t="shared" si="148"/>
        <v>131</v>
      </c>
      <c r="AT281" s="290">
        <v>42135</v>
      </c>
      <c r="AU281" s="298"/>
      <c r="AV281" s="223"/>
      <c r="AW281" s="223"/>
      <c r="AX281" s="223"/>
      <c r="AY281" s="223"/>
      <c r="AZ281" s="223"/>
      <c r="BA281" s="223"/>
      <c r="BB281" s="223"/>
      <c r="BC281" s="223"/>
      <c r="BD281" s="223"/>
      <c r="BE281" s="223"/>
      <c r="BF281" s="281">
        <v>-7.5083098411560059</v>
      </c>
      <c r="BG281" s="283">
        <v>42233</v>
      </c>
      <c r="BH281" s="223"/>
      <c r="BI281" s="223"/>
      <c r="BJ281" s="223"/>
      <c r="BK281" s="223"/>
      <c r="BL281" s="281">
        <v>66.740493774414063</v>
      </c>
      <c r="BM281" s="283">
        <v>42233</v>
      </c>
      <c r="BN281" s="223"/>
      <c r="BO281" s="223"/>
      <c r="BP281" s="281">
        <v>3.4238739013671875</v>
      </c>
      <c r="BQ281" s="283">
        <v>42233</v>
      </c>
      <c r="BR281" s="281">
        <v>52.188159942626953</v>
      </c>
      <c r="BS281" s="283">
        <v>42233</v>
      </c>
      <c r="BT281" s="281">
        <v>15.05058479309082</v>
      </c>
      <c r="BU281" s="283">
        <v>42233</v>
      </c>
      <c r="BV281" s="281">
        <v>11.520130157470703</v>
      </c>
      <c r="BW281" s="283">
        <v>42233</v>
      </c>
      <c r="BX281" s="281">
        <v>5.3431930541992187</v>
      </c>
      <c r="BY281" s="283">
        <v>42233</v>
      </c>
      <c r="BZ281" s="223"/>
      <c r="CA281" s="226"/>
      <c r="CB281" s="266">
        <v>1.66</v>
      </c>
      <c r="CC281" s="223"/>
      <c r="CD281" s="281">
        <v>5.4545454545454515</v>
      </c>
      <c r="CE281" s="291" t="s">
        <v>8403</v>
      </c>
      <c r="CF281" s="223"/>
      <c r="CG281" s="223"/>
      <c r="CH281" s="223">
        <v>2</v>
      </c>
      <c r="CI281" s="223">
        <v>3</v>
      </c>
      <c r="CK281" s="223"/>
      <c r="CL281" s="223"/>
      <c r="CM281" s="259">
        <v>42161</v>
      </c>
      <c r="CN281" s="137" t="s">
        <v>8406</v>
      </c>
    </row>
    <row r="282" spans="1:92">
      <c r="A282" s="258">
        <v>458</v>
      </c>
      <c r="B282" s="235">
        <v>458</v>
      </c>
      <c r="C282" s="235" t="s">
        <v>7788</v>
      </c>
      <c r="D282" s="235" t="s">
        <v>7586</v>
      </c>
      <c r="E282" s="235" t="s">
        <v>7788</v>
      </c>
      <c r="F282" s="235" t="s">
        <v>8555</v>
      </c>
      <c r="G282" s="235" t="str">
        <f t="shared" si="142"/>
        <v>Rapsodyn</v>
      </c>
      <c r="H282" s="235" t="s">
        <v>265</v>
      </c>
      <c r="I282" s="235">
        <v>2</v>
      </c>
      <c r="J282" s="235">
        <v>9159</v>
      </c>
      <c r="K282" s="235">
        <v>20</v>
      </c>
      <c r="L282" s="235">
        <f t="shared" si="149"/>
        <v>20</v>
      </c>
      <c r="M282" s="235">
        <v>7</v>
      </c>
      <c r="N282" s="235">
        <v>3</v>
      </c>
      <c r="O282" s="248">
        <v>42048</v>
      </c>
      <c r="P282" s="223">
        <v>4.2</v>
      </c>
      <c r="Q282" s="264">
        <v>42204</v>
      </c>
      <c r="R282" s="223"/>
      <c r="S282" s="223"/>
      <c r="T282" s="223"/>
      <c r="U282" s="225"/>
      <c r="V282" s="219">
        <f t="shared" si="143"/>
        <v>12.40974651268573</v>
      </c>
      <c r="W282" s="224"/>
      <c r="X282">
        <v>15.55</v>
      </c>
      <c r="Y282" s="223"/>
      <c r="Z282" s="223"/>
      <c r="AA282" s="223"/>
      <c r="AB282" s="220">
        <f t="shared" si="144"/>
        <v>4.2192359885403876</v>
      </c>
      <c r="AC282" s="224"/>
      <c r="AD282" s="221">
        <f t="shared" si="145"/>
        <v>48362.897338758834</v>
      </c>
      <c r="AE282" s="224"/>
      <c r="AF282" s="220">
        <f t="shared" si="146"/>
        <v>25.100343718815836</v>
      </c>
      <c r="AG282" s="224"/>
      <c r="AH282" s="220">
        <f t="shared" si="147"/>
        <v>28.145709485104103</v>
      </c>
      <c r="AI282" s="224"/>
      <c r="AJ282">
        <v>5.19</v>
      </c>
      <c r="AK282" s="290" t="s">
        <v>8402</v>
      </c>
      <c r="AL282" s="223">
        <v>160</v>
      </c>
      <c r="AM282" s="223"/>
      <c r="AN282" s="241">
        <v>75</v>
      </c>
      <c r="AO282" s="242">
        <v>42079</v>
      </c>
      <c r="AP282" s="255">
        <v>106</v>
      </c>
      <c r="AQ282" s="242">
        <v>42110</v>
      </c>
      <c r="AR282" s="223">
        <v>130</v>
      </c>
      <c r="AS282" s="297">
        <f t="shared" si="148"/>
        <v>130</v>
      </c>
      <c r="AT282" s="290">
        <v>42134</v>
      </c>
      <c r="AU282" s="298"/>
      <c r="AV282" s="223"/>
      <c r="AW282" s="223"/>
      <c r="AX282" s="223"/>
      <c r="AY282" s="223"/>
      <c r="AZ282" s="223"/>
      <c r="BA282" s="223"/>
      <c r="BB282" s="223"/>
      <c r="BC282" s="223"/>
      <c r="BD282" s="223"/>
      <c r="BE282" s="223"/>
      <c r="BF282" s="281">
        <v>-2.3738160133361816</v>
      </c>
      <c r="BG282" s="283">
        <v>42233</v>
      </c>
      <c r="BH282" s="223"/>
      <c r="BI282" s="223"/>
      <c r="BJ282" s="223"/>
      <c r="BK282" s="223"/>
      <c r="BL282" s="281">
        <v>63.544696807861328</v>
      </c>
      <c r="BM282" s="283">
        <v>42233</v>
      </c>
      <c r="BN282" s="223"/>
      <c r="BO282" s="223"/>
      <c r="BP282" s="281">
        <v>3.9284579753875732</v>
      </c>
      <c r="BQ282" s="283">
        <v>42233</v>
      </c>
      <c r="BR282" s="281">
        <v>49.440544128417969</v>
      </c>
      <c r="BS282" s="283">
        <v>42233</v>
      </c>
      <c r="BT282" s="281">
        <v>16.809474945068359</v>
      </c>
      <c r="BU282" s="283">
        <v>42233</v>
      </c>
      <c r="BV282" s="281">
        <v>16.402185440063477</v>
      </c>
      <c r="BW282" s="283">
        <v>42233</v>
      </c>
      <c r="BX282" s="281">
        <v>5.4833984375</v>
      </c>
      <c r="BY282" s="283">
        <v>42233</v>
      </c>
      <c r="BZ282" s="223"/>
      <c r="CA282" s="226"/>
      <c r="CB282" s="266">
        <v>1.34</v>
      </c>
      <c r="CC282" s="223"/>
      <c r="CD282" s="281">
        <v>5.1724137931034457</v>
      </c>
      <c r="CE282" s="291" t="s">
        <v>8402</v>
      </c>
      <c r="CF282" s="223"/>
      <c r="CG282" s="223"/>
      <c r="CH282" s="223">
        <v>2</v>
      </c>
      <c r="CI282" s="223">
        <v>3</v>
      </c>
      <c r="CK282" s="223"/>
      <c r="CL282" s="223"/>
      <c r="CM282" s="259">
        <v>42161</v>
      </c>
      <c r="CN282" s="137" t="s">
        <v>8406</v>
      </c>
    </row>
    <row r="283" spans="1:92">
      <c r="A283" s="258">
        <v>459</v>
      </c>
      <c r="B283" s="235">
        <v>459</v>
      </c>
      <c r="C283" s="235" t="s">
        <v>7618</v>
      </c>
      <c r="D283" s="235" t="s">
        <v>263</v>
      </c>
      <c r="E283" s="235" t="s">
        <v>7618</v>
      </c>
      <c r="F283" s="235" t="s">
        <v>8565</v>
      </c>
      <c r="G283" s="235" t="str">
        <f t="shared" si="142"/>
        <v>Rapsodyn</v>
      </c>
      <c r="H283" s="235" t="s">
        <v>265</v>
      </c>
      <c r="I283" s="235">
        <v>2</v>
      </c>
      <c r="J283" s="235">
        <v>9011</v>
      </c>
      <c r="K283" s="235">
        <v>21</v>
      </c>
      <c r="L283" s="235">
        <f t="shared" si="149"/>
        <v>21</v>
      </c>
      <c r="M283" s="235">
        <v>7</v>
      </c>
      <c r="N283" s="235">
        <v>7</v>
      </c>
      <c r="O283" s="248">
        <v>42048</v>
      </c>
      <c r="P283" s="223">
        <v>3.5</v>
      </c>
      <c r="Q283" s="264">
        <v>42204</v>
      </c>
      <c r="R283" s="223"/>
      <c r="S283" s="223"/>
      <c r="T283" s="223"/>
      <c r="U283" s="225"/>
      <c r="V283" s="219">
        <f t="shared" si="143"/>
        <v>10.012496479377868</v>
      </c>
      <c r="W283" s="224"/>
      <c r="X283">
        <v>15.55</v>
      </c>
      <c r="Y283" s="223"/>
      <c r="Z283" s="223"/>
      <c r="AA283" s="223"/>
      <c r="AB283" s="220">
        <f t="shared" si="144"/>
        <v>4.3750982726118561</v>
      </c>
      <c r="AC283" s="224"/>
      <c r="AD283" s="221">
        <f t="shared" si="145"/>
        <v>49352.732358821151</v>
      </c>
      <c r="AE283" s="224"/>
      <c r="AF283" s="220">
        <f t="shared" si="146"/>
        <v>20.876205787781348</v>
      </c>
      <c r="AG283" s="224"/>
      <c r="AH283" s="220">
        <f t="shared" si="147"/>
        <v>23.409066817426943</v>
      </c>
      <c r="AI283" s="224"/>
      <c r="AJ283">
        <v>4.2300000000000004</v>
      </c>
      <c r="AK283" s="290" t="s">
        <v>8401</v>
      </c>
      <c r="AL283" s="223">
        <v>140</v>
      </c>
      <c r="AM283" s="223"/>
      <c r="AN283" s="241">
        <v>72</v>
      </c>
      <c r="AO283" s="242">
        <v>42076</v>
      </c>
      <c r="AP283" s="255">
        <v>104</v>
      </c>
      <c r="AQ283" s="242">
        <v>42108</v>
      </c>
      <c r="AR283" s="223">
        <v>121</v>
      </c>
      <c r="AS283" s="297">
        <f t="shared" si="148"/>
        <v>121</v>
      </c>
      <c r="AT283" s="290">
        <v>42125</v>
      </c>
      <c r="AU283" s="298"/>
      <c r="AV283" s="223"/>
      <c r="AW283" s="223"/>
      <c r="AX283" s="223"/>
      <c r="AY283" s="223"/>
      <c r="AZ283" s="223"/>
      <c r="BA283" s="223"/>
      <c r="BB283" s="223"/>
      <c r="BC283" s="223"/>
      <c r="BD283" s="223"/>
      <c r="BE283" s="223"/>
      <c r="BF283" s="281">
        <v>35.644611358642578</v>
      </c>
      <c r="BG283" s="283">
        <v>42233</v>
      </c>
      <c r="BH283" s="223"/>
      <c r="BI283" s="223"/>
      <c r="BJ283" s="223"/>
      <c r="BK283" s="223"/>
      <c r="BL283" s="281">
        <v>59.744487762451172</v>
      </c>
      <c r="BM283" s="283">
        <v>42233</v>
      </c>
      <c r="BN283" s="223"/>
      <c r="BO283" s="223"/>
      <c r="BP283" s="281">
        <v>2.2313289642333984</v>
      </c>
      <c r="BQ283" s="283">
        <v>42233</v>
      </c>
      <c r="BR283" s="281">
        <v>47.961284637451172</v>
      </c>
      <c r="BS283" s="283">
        <v>42233</v>
      </c>
      <c r="BT283" s="281">
        <v>20.957344055175781</v>
      </c>
      <c r="BU283" s="283">
        <v>42233</v>
      </c>
      <c r="BV283" s="281">
        <v>61.839508056640625</v>
      </c>
      <c r="BW283" s="283">
        <v>42233</v>
      </c>
      <c r="BX283" s="281">
        <v>5.6035919189453125</v>
      </c>
      <c r="BY283" s="283">
        <v>42233</v>
      </c>
      <c r="BZ283" s="223"/>
      <c r="CA283" s="226"/>
      <c r="CB283" s="266">
        <v>1.63</v>
      </c>
      <c r="CC283" s="223"/>
      <c r="CD283" s="281">
        <v>5.3571428571428541</v>
      </c>
      <c r="CE283" s="291" t="s">
        <v>8401</v>
      </c>
      <c r="CF283" s="223"/>
      <c r="CG283" s="223"/>
      <c r="CH283" s="223">
        <v>2</v>
      </c>
      <c r="CI283" s="223">
        <v>2</v>
      </c>
      <c r="CK283" s="223"/>
      <c r="CL283" s="223"/>
      <c r="CM283" s="259">
        <v>42161</v>
      </c>
      <c r="CN283" s="137" t="s">
        <v>8406</v>
      </c>
    </row>
    <row r="284" spans="1:92">
      <c r="A284" s="258">
        <v>463</v>
      </c>
      <c r="B284" s="235">
        <v>463</v>
      </c>
      <c r="C284" s="235" t="s">
        <v>7751</v>
      </c>
      <c r="D284" s="235" t="s">
        <v>7559</v>
      </c>
      <c r="E284" s="235" t="s">
        <v>7751</v>
      </c>
      <c r="F284" s="235" t="s">
        <v>8552</v>
      </c>
      <c r="G284" s="235" t="str">
        <f t="shared" si="142"/>
        <v>Rapsodyn</v>
      </c>
      <c r="H284" s="235" t="s">
        <v>265</v>
      </c>
      <c r="I284" s="235">
        <v>2</v>
      </c>
      <c r="J284" s="235">
        <v>9123</v>
      </c>
      <c r="K284" s="235">
        <v>25</v>
      </c>
      <c r="L284" s="235">
        <f t="shared" si="149"/>
        <v>25</v>
      </c>
      <c r="M284" s="235">
        <v>7</v>
      </c>
      <c r="N284" s="235">
        <v>7</v>
      </c>
      <c r="O284" s="248">
        <v>42048</v>
      </c>
      <c r="P284">
        <v>4</v>
      </c>
      <c r="Q284" s="264">
        <v>42204</v>
      </c>
      <c r="R284"/>
      <c r="S284"/>
      <c r="T284"/>
      <c r="V284" s="219">
        <f t="shared" si="143"/>
        <v>12.101977684743741</v>
      </c>
      <c r="W284" s="219"/>
      <c r="X284">
        <v>15.55</v>
      </c>
      <c r="Y284"/>
      <c r="Z284"/>
      <c r="AA284"/>
      <c r="AB284" s="220">
        <f t="shared" si="144"/>
        <v>4.1406966557338807</v>
      </c>
      <c r="AC284" s="219"/>
      <c r="AD284" s="221">
        <f t="shared" si="145"/>
        <v>58944.510286136188</v>
      </c>
      <c r="AE284" s="219"/>
      <c r="AF284" s="220">
        <f t="shared" si="146"/>
        <v>23.754637645312886</v>
      </c>
      <c r="AG284" s="219"/>
      <c r="AH284" s="220">
        <f t="shared" si="147"/>
        <v>26.636732053501785</v>
      </c>
      <c r="AI284" s="219"/>
      <c r="AJ284">
        <v>4.03</v>
      </c>
      <c r="AK284" s="284" t="s">
        <v>8398</v>
      </c>
      <c r="AL284">
        <v>160</v>
      </c>
      <c r="AM284"/>
      <c r="AN284" s="241">
        <v>79</v>
      </c>
      <c r="AO284" s="242">
        <v>42083</v>
      </c>
      <c r="AP284" s="255">
        <v>106</v>
      </c>
      <c r="AQ284" s="242">
        <v>42110</v>
      </c>
      <c r="AR284" s="223">
        <v>132</v>
      </c>
      <c r="AS284" s="297">
        <f t="shared" si="148"/>
        <v>132</v>
      </c>
      <c r="AT284" s="290">
        <v>42136</v>
      </c>
      <c r="AU284" s="298"/>
      <c r="AV284"/>
      <c r="AW284"/>
      <c r="AX284"/>
      <c r="AY284"/>
      <c r="AZ284"/>
      <c r="BA284"/>
      <c r="BB284"/>
      <c r="BC284"/>
      <c r="BD284"/>
      <c r="BE284"/>
      <c r="BF284" s="277">
        <v>39.955806732177734</v>
      </c>
      <c r="BG284" s="283">
        <v>42234</v>
      </c>
      <c r="BH284"/>
      <c r="BI284"/>
      <c r="BJ284"/>
      <c r="BK284"/>
      <c r="BL284" s="277">
        <v>62.118877410888672</v>
      </c>
      <c r="BM284" s="283">
        <v>42234</v>
      </c>
      <c r="BN284"/>
      <c r="BO284"/>
      <c r="BP284" s="277">
        <v>2.9841239452362061</v>
      </c>
      <c r="BQ284" s="283">
        <v>42234</v>
      </c>
      <c r="BR284" s="277">
        <v>50.945747375488281</v>
      </c>
      <c r="BS284" s="283">
        <v>42234</v>
      </c>
      <c r="BT284" s="277">
        <v>17.431108474731445</v>
      </c>
      <c r="BU284" s="283">
        <v>42234</v>
      </c>
      <c r="BV284" s="277">
        <v>41.840061187744141</v>
      </c>
      <c r="BW284" s="283">
        <v>42234</v>
      </c>
      <c r="BX284" s="277">
        <v>5.2761688232421875</v>
      </c>
      <c r="BY284" s="283">
        <v>42234</v>
      </c>
      <c r="BZ284"/>
      <c r="CB284" s="266">
        <v>1.51</v>
      </c>
      <c r="CC284"/>
      <c r="CD284" s="277">
        <v>5.7692307692307656</v>
      </c>
      <c r="CE284" s="291" t="s">
        <v>8398</v>
      </c>
      <c r="CF284"/>
      <c r="CG284"/>
      <c r="CH284">
        <v>2</v>
      </c>
      <c r="CI284">
        <v>2</v>
      </c>
      <c r="CK284"/>
      <c r="CL284">
        <v>3</v>
      </c>
      <c r="CM284" s="259">
        <v>42161</v>
      </c>
      <c r="CN284" s="137" t="s">
        <v>8406</v>
      </c>
    </row>
    <row r="285" spans="1:92">
      <c r="A285" s="258">
        <v>464</v>
      </c>
      <c r="B285" s="235">
        <v>464</v>
      </c>
      <c r="C285" s="235" t="s">
        <v>7634</v>
      </c>
      <c r="D285" s="235" t="s">
        <v>7467</v>
      </c>
      <c r="E285" s="235" t="s">
        <v>7634</v>
      </c>
      <c r="F285" s="235" t="s">
        <v>8580</v>
      </c>
      <c r="G285" s="235" t="str">
        <f t="shared" si="142"/>
        <v>Rapsodyn</v>
      </c>
      <c r="H285" s="235" t="s">
        <v>265</v>
      </c>
      <c r="I285" s="235">
        <v>2</v>
      </c>
      <c r="J285" s="235">
        <v>9022</v>
      </c>
      <c r="K285" s="235">
        <v>26</v>
      </c>
      <c r="L285" s="235">
        <f t="shared" si="149"/>
        <v>26</v>
      </c>
      <c r="M285" s="235">
        <v>7</v>
      </c>
      <c r="N285" s="235">
        <v>7</v>
      </c>
      <c r="O285" s="248">
        <v>42048</v>
      </c>
      <c r="P285">
        <v>4.8499999999999996</v>
      </c>
      <c r="Q285" s="264">
        <v>42204</v>
      </c>
      <c r="R285"/>
      <c r="S285"/>
      <c r="T285"/>
      <c r="V285" s="219">
        <f t="shared" si="143"/>
        <v>15.127360992186317</v>
      </c>
      <c r="W285" s="219"/>
      <c r="X285">
        <v>15.55</v>
      </c>
      <c r="Y285"/>
      <c r="Z285"/>
      <c r="AA285"/>
      <c r="AB285" s="220">
        <f t="shared" si="144"/>
        <v>4.5902336758432645</v>
      </c>
      <c r="AC285" s="219"/>
      <c r="AD285" s="221">
        <f t="shared" si="145"/>
        <v>54506.290388037312</v>
      </c>
      <c r="AE285" s="219"/>
      <c r="AF285" s="220">
        <f t="shared" si="146"/>
        <v>28.070739549839217</v>
      </c>
      <c r="AG285" s="219"/>
      <c r="AH285" s="220">
        <f t="shared" si="147"/>
        <v>31.47649646763761</v>
      </c>
      <c r="AI285" s="219"/>
      <c r="AJ285">
        <v>5.15</v>
      </c>
      <c r="AK285" s="284" t="s">
        <v>8398</v>
      </c>
      <c r="AL285">
        <v>170</v>
      </c>
      <c r="AM285"/>
      <c r="AN285" s="241">
        <v>72</v>
      </c>
      <c r="AO285" s="242">
        <v>42076</v>
      </c>
      <c r="AP285" s="255">
        <v>104</v>
      </c>
      <c r="AQ285" s="242">
        <v>42108</v>
      </c>
      <c r="AR285" s="223">
        <v>125</v>
      </c>
      <c r="AS285" s="297">
        <f t="shared" si="148"/>
        <v>125</v>
      </c>
      <c r="AT285" s="290">
        <v>42129</v>
      </c>
      <c r="AU285" s="298"/>
      <c r="AV285"/>
      <c r="AW285"/>
      <c r="AX285"/>
      <c r="AY285"/>
      <c r="AZ285"/>
      <c r="BA285"/>
      <c r="BB285"/>
      <c r="BC285"/>
      <c r="BD285"/>
      <c r="BE285"/>
      <c r="BF285" s="277">
        <v>45.998664855957031</v>
      </c>
      <c r="BG285" s="283">
        <v>42234</v>
      </c>
      <c r="BH285"/>
      <c r="BI285"/>
      <c r="BJ285"/>
      <c r="BK285"/>
      <c r="BL285" s="277">
        <v>65.656646728515625</v>
      </c>
      <c r="BM285" s="283">
        <v>42234</v>
      </c>
      <c r="BN285"/>
      <c r="BO285"/>
      <c r="BP285" s="277">
        <v>2.2346498966217041</v>
      </c>
      <c r="BQ285" s="283">
        <v>42234</v>
      </c>
      <c r="BR285" s="277">
        <v>53.890140533447266</v>
      </c>
      <c r="BS285" s="283">
        <v>42234</v>
      </c>
      <c r="BT285" s="277">
        <v>16.352378845214844</v>
      </c>
      <c r="BU285" s="283">
        <v>42234</v>
      </c>
      <c r="BV285" s="277">
        <v>13.883438110351563</v>
      </c>
      <c r="BW285" s="283">
        <v>42234</v>
      </c>
      <c r="BX285" s="277">
        <v>5.0429153442382813</v>
      </c>
      <c r="BY285" s="283">
        <v>42234</v>
      </c>
      <c r="BZ285"/>
      <c r="CB285" s="266">
        <v>1.98</v>
      </c>
      <c r="CC285"/>
      <c r="CD285" s="277">
        <v>8.1632653061224545</v>
      </c>
      <c r="CE285" s="291" t="s">
        <v>8398</v>
      </c>
      <c r="CF285"/>
      <c r="CG285"/>
      <c r="CH285">
        <v>1</v>
      </c>
      <c r="CI285">
        <v>3</v>
      </c>
      <c r="CK285"/>
      <c r="CL285"/>
      <c r="CM285" s="259">
        <v>42161</v>
      </c>
      <c r="CN285" s="137" t="s">
        <v>8406</v>
      </c>
    </row>
    <row r="286" spans="1:92">
      <c r="A286" s="258">
        <v>465</v>
      </c>
      <c r="B286" s="235">
        <v>465</v>
      </c>
      <c r="C286" s="235" t="s">
        <v>7576</v>
      </c>
      <c r="D286" s="235"/>
      <c r="E286" s="235"/>
      <c r="F286" s="235"/>
      <c r="G286" s="235"/>
      <c r="H286" s="235" t="s">
        <v>265</v>
      </c>
      <c r="I286" s="235">
        <v>2</v>
      </c>
      <c r="K286" s="235">
        <v>27</v>
      </c>
      <c r="L286" s="235">
        <f t="shared" si="149"/>
        <v>27</v>
      </c>
      <c r="M286" s="235">
        <v>7</v>
      </c>
      <c r="O286" s="248">
        <v>42048</v>
      </c>
      <c r="P286" s="223"/>
      <c r="Q286" s="224"/>
      <c r="R286" s="223"/>
      <c r="S286" s="223"/>
      <c r="T286" s="223"/>
      <c r="U286" s="225"/>
      <c r="V286" s="219"/>
      <c r="W286" s="224"/>
      <c r="X286">
        <v>15.55</v>
      </c>
      <c r="Y286" s="223"/>
      <c r="Z286" s="223"/>
      <c r="AA286" s="223"/>
      <c r="AB286" s="220"/>
      <c r="AC286" s="224"/>
      <c r="AD286" s="221"/>
      <c r="AE286" s="224"/>
      <c r="AF286" s="220"/>
      <c r="AG286" s="224"/>
      <c r="AH286" s="220"/>
      <c r="AI286" s="224"/>
      <c r="AJ286" s="286"/>
      <c r="AK286" s="290"/>
      <c r="AL286" s="223"/>
      <c r="AM286" s="223"/>
      <c r="AN286" s="241">
        <v>70</v>
      </c>
      <c r="AO286" s="242">
        <v>42074</v>
      </c>
      <c r="AP286" s="255">
        <v>104</v>
      </c>
      <c r="AQ286" s="242">
        <v>42108</v>
      </c>
      <c r="AR286" s="223"/>
      <c r="AS286" s="297"/>
      <c r="AT286" s="290"/>
      <c r="AU286" s="298"/>
      <c r="AV286" s="223"/>
      <c r="AW286" s="223"/>
      <c r="AX286" s="223"/>
      <c r="AY286" s="223"/>
      <c r="AZ286" s="223"/>
      <c r="BA286" s="223"/>
      <c r="BB286" s="223"/>
      <c r="BC286" s="223"/>
      <c r="BD286" s="223"/>
      <c r="BE286" s="223"/>
      <c r="BF286" s="281"/>
      <c r="BG286" s="235"/>
      <c r="BH286" s="223"/>
      <c r="BI286" s="223"/>
      <c r="BJ286" s="223"/>
      <c r="BK286" s="223"/>
      <c r="BL286" s="281"/>
      <c r="BM286" s="235"/>
      <c r="BN286" s="223"/>
      <c r="BO286" s="223"/>
      <c r="BP286" s="281"/>
      <c r="BQ286" s="235"/>
      <c r="BR286" s="281"/>
      <c r="BS286" s="235"/>
      <c r="BT286" s="281"/>
      <c r="BU286" s="235"/>
      <c r="BV286" s="281"/>
      <c r="BW286" s="235"/>
      <c r="BX286" s="281"/>
      <c r="BY286" s="235"/>
      <c r="BZ286" s="223"/>
      <c r="CA286" s="226"/>
      <c r="CB286" s="266"/>
      <c r="CC286" s="223"/>
      <c r="CD286" s="281"/>
      <c r="CE286" s="291"/>
      <c r="CF286" s="223"/>
      <c r="CG286" s="223"/>
      <c r="CH286" s="223"/>
      <c r="CI286" s="223"/>
      <c r="CK286" s="223"/>
      <c r="CL286" s="223"/>
      <c r="CM286" s="259">
        <v>42161</v>
      </c>
    </row>
    <row r="287" spans="1:92">
      <c r="A287" s="258">
        <v>466</v>
      </c>
      <c r="B287" s="235">
        <v>466</v>
      </c>
      <c r="C287" s="235" t="s">
        <v>7576</v>
      </c>
      <c r="D287" s="235"/>
      <c r="E287" s="235"/>
      <c r="F287" s="235"/>
      <c r="G287" s="235"/>
      <c r="H287" s="235" t="s">
        <v>265</v>
      </c>
      <c r="I287" s="235">
        <v>2</v>
      </c>
      <c r="K287" s="235">
        <v>28</v>
      </c>
      <c r="L287" s="235">
        <f t="shared" si="149"/>
        <v>28</v>
      </c>
      <c r="M287" s="235">
        <v>7</v>
      </c>
      <c r="O287" s="248">
        <v>42048</v>
      </c>
      <c r="P287" s="223"/>
      <c r="Q287" s="224"/>
      <c r="R287" s="223"/>
      <c r="S287" s="223"/>
      <c r="T287" s="223"/>
      <c r="U287" s="225"/>
      <c r="V287" s="219"/>
      <c r="W287" s="224"/>
      <c r="X287">
        <v>15.55</v>
      </c>
      <c r="Y287" s="223"/>
      <c r="Z287" s="223"/>
      <c r="AA287" s="223"/>
      <c r="AB287" s="220"/>
      <c r="AC287" s="224"/>
      <c r="AD287" s="221"/>
      <c r="AE287" s="224"/>
      <c r="AF287" s="220"/>
      <c r="AG287" s="224"/>
      <c r="AH287" s="220"/>
      <c r="AI287" s="224"/>
      <c r="AJ287" s="286"/>
      <c r="AK287" s="290"/>
      <c r="AL287" s="223"/>
      <c r="AM287" s="223"/>
      <c r="AN287" s="241">
        <v>70</v>
      </c>
      <c r="AO287" s="242">
        <v>42074</v>
      </c>
      <c r="AP287" s="255">
        <v>104</v>
      </c>
      <c r="AQ287" s="242">
        <v>42108</v>
      </c>
      <c r="AR287" s="223"/>
      <c r="AS287" s="297"/>
      <c r="AT287" s="290"/>
      <c r="AU287" s="298"/>
      <c r="AV287" s="223"/>
      <c r="AW287" s="223"/>
      <c r="AX287" s="223"/>
      <c r="AY287" s="223"/>
      <c r="AZ287" s="223"/>
      <c r="BA287" s="223"/>
      <c r="BB287" s="223"/>
      <c r="BC287" s="223"/>
      <c r="BD287" s="223"/>
      <c r="BE287" s="223"/>
      <c r="BF287" s="281"/>
      <c r="BG287" s="235"/>
      <c r="BH287" s="223"/>
      <c r="BI287" s="223"/>
      <c r="BJ287" s="223"/>
      <c r="BK287" s="223"/>
      <c r="BL287" s="281"/>
      <c r="BM287" s="235"/>
      <c r="BN287" s="223"/>
      <c r="BO287" s="223"/>
      <c r="BP287" s="281"/>
      <c r="BQ287" s="235"/>
      <c r="BR287" s="281"/>
      <c r="BS287" s="235"/>
      <c r="BT287" s="281"/>
      <c r="BU287" s="235"/>
      <c r="BV287" s="281"/>
      <c r="BW287" s="235"/>
      <c r="BX287" s="281"/>
      <c r="BY287" s="235"/>
      <c r="BZ287" s="223"/>
      <c r="CA287" s="226"/>
      <c r="CB287" s="266"/>
      <c r="CC287" s="223"/>
      <c r="CD287" s="281"/>
      <c r="CE287" s="291"/>
      <c r="CF287" s="223"/>
      <c r="CG287" s="223"/>
      <c r="CH287" s="223"/>
      <c r="CI287" s="223"/>
      <c r="CK287" s="223"/>
      <c r="CL287" s="223"/>
      <c r="CM287" s="259">
        <v>42161</v>
      </c>
    </row>
    <row r="288" spans="1:92">
      <c r="A288" s="258">
        <v>467</v>
      </c>
      <c r="B288" s="235">
        <v>467</v>
      </c>
      <c r="C288" s="235" t="s">
        <v>7737</v>
      </c>
      <c r="D288" s="235" t="s">
        <v>7883</v>
      </c>
      <c r="E288" s="235" t="s">
        <v>7737</v>
      </c>
      <c r="F288" s="235" t="s">
        <v>8545</v>
      </c>
      <c r="G288" s="235" t="str">
        <f t="shared" ref="G288:G294" si="150">IF(MID(C288,1,3)="BGA","Complement","Rapsodyn")</f>
        <v>Rapsodyn</v>
      </c>
      <c r="H288" s="235" t="s">
        <v>265</v>
      </c>
      <c r="I288" s="235">
        <v>2</v>
      </c>
      <c r="J288" s="235">
        <v>9117</v>
      </c>
      <c r="K288" s="235">
        <v>29</v>
      </c>
      <c r="L288" s="235">
        <f t="shared" si="149"/>
        <v>29</v>
      </c>
      <c r="M288" s="235">
        <v>7</v>
      </c>
      <c r="N288" s="235">
        <v>1</v>
      </c>
      <c r="O288" s="248">
        <v>42048</v>
      </c>
      <c r="P288" s="223">
        <v>2.5499999999999998</v>
      </c>
      <c r="Q288" s="264">
        <v>42204</v>
      </c>
      <c r="R288" s="223"/>
      <c r="S288" s="223"/>
      <c r="T288" s="223"/>
      <c r="U288" s="225"/>
      <c r="V288" s="219">
        <f t="shared" ref="V288:V294" si="151">+BR288*AF288/100</f>
        <v>7.6832786190194282</v>
      </c>
      <c r="W288" s="224"/>
      <c r="X288">
        <v>15.55</v>
      </c>
      <c r="Y288" s="223"/>
      <c r="Z288" s="223"/>
      <c r="AA288" s="223"/>
      <c r="AB288" s="220">
        <f t="shared" ref="AB288:AB294" si="152">+AF288*BT288/100</f>
        <v>2.7657951027810963</v>
      </c>
      <c r="AC288" s="224"/>
      <c r="AD288" s="221">
        <f t="shared" ref="AD288:AD294" si="153">+(AF288/AJ288)*10000</f>
        <v>33665.869678731411</v>
      </c>
      <c r="AE288" s="224"/>
      <c r="AF288" s="220">
        <f t="shared" ref="AF288:AF294" si="154">($P288/$X288)*(((100-$CD288)/100*(100-2)/100))*100</f>
        <v>15.452634182537716</v>
      </c>
      <c r="AG288" s="224"/>
      <c r="AH288" s="220">
        <f t="shared" ref="AH288:AH294" si="155">($P288/$X288)*(((100-$CD288)/(100-9)*(100-2)/(100-2))*100)</f>
        <v>17.327466004191205</v>
      </c>
      <c r="AI288" s="224"/>
      <c r="AJ288">
        <v>4.59</v>
      </c>
      <c r="AK288" s="290" t="s">
        <v>8403</v>
      </c>
      <c r="AL288" s="223">
        <v>165</v>
      </c>
      <c r="AM288" s="223"/>
      <c r="AN288" s="241">
        <v>75</v>
      </c>
      <c r="AO288" s="242">
        <v>42079</v>
      </c>
      <c r="AP288" s="255">
        <v>110</v>
      </c>
      <c r="AQ288" s="242">
        <v>42114</v>
      </c>
      <c r="AR288" s="223">
        <v>136</v>
      </c>
      <c r="AS288" s="297">
        <f t="shared" ref="AS288:AS294" si="156">IF(AR288=0,,AR288)</f>
        <v>136</v>
      </c>
      <c r="AT288" s="290">
        <v>42140</v>
      </c>
      <c r="AU288" s="298"/>
      <c r="AV288" s="223"/>
      <c r="AW288" s="223"/>
      <c r="AX288" s="223"/>
      <c r="AY288" s="223"/>
      <c r="AZ288" s="223"/>
      <c r="BA288" s="223"/>
      <c r="BB288" s="223"/>
      <c r="BC288" s="223"/>
      <c r="BD288" s="223"/>
      <c r="BE288" s="223"/>
      <c r="BF288" s="281">
        <v>2.7890360355377197</v>
      </c>
      <c r="BG288" s="283">
        <v>42230</v>
      </c>
      <c r="BH288" s="223"/>
      <c r="BI288" s="223"/>
      <c r="BJ288" s="223"/>
      <c r="BK288" s="223"/>
      <c r="BL288" s="281">
        <v>63.737083435058594</v>
      </c>
      <c r="BM288" s="283">
        <v>42230</v>
      </c>
      <c r="BN288" s="223"/>
      <c r="BO288" s="223"/>
      <c r="BP288" s="281">
        <v>3.6176819801330566</v>
      </c>
      <c r="BQ288" s="283">
        <v>42230</v>
      </c>
      <c r="BR288" s="281">
        <v>49.721481323242187</v>
      </c>
      <c r="BS288" s="283">
        <v>42230</v>
      </c>
      <c r="BT288" s="281">
        <v>17.898534774780273</v>
      </c>
      <c r="BU288" s="283">
        <v>42230</v>
      </c>
      <c r="BV288" s="281">
        <v>19.880966186523438</v>
      </c>
      <c r="BW288" s="283">
        <v>42230</v>
      </c>
      <c r="BX288" s="281">
        <v>5.4518051147460937</v>
      </c>
      <c r="BY288" s="283">
        <v>42230</v>
      </c>
      <c r="BZ288" s="223"/>
      <c r="CA288" s="226"/>
      <c r="CB288" s="266">
        <v>1.87</v>
      </c>
      <c r="CC288" s="223"/>
      <c r="CD288" s="281">
        <v>3.8461538461538494</v>
      </c>
      <c r="CE288" s="291" t="s">
        <v>8403</v>
      </c>
      <c r="CF288" s="223"/>
      <c r="CG288" s="223"/>
      <c r="CH288" s="223">
        <v>2</v>
      </c>
      <c r="CI288" s="223">
        <v>3</v>
      </c>
      <c r="CK288" s="223"/>
      <c r="CL288" s="223"/>
      <c r="CM288" s="259">
        <v>42161</v>
      </c>
      <c r="CN288" s="137" t="s">
        <v>8406</v>
      </c>
    </row>
    <row r="289" spans="1:93">
      <c r="A289" s="258">
        <v>473</v>
      </c>
      <c r="B289" s="235">
        <v>473</v>
      </c>
      <c r="C289" s="235" t="s">
        <v>7713</v>
      </c>
      <c r="D289" s="235" t="s">
        <v>7537</v>
      </c>
      <c r="E289" s="235" t="s">
        <v>7713</v>
      </c>
      <c r="F289" s="235" t="s">
        <v>8546</v>
      </c>
      <c r="G289" s="235" t="str">
        <f t="shared" si="150"/>
        <v>Rapsodyn</v>
      </c>
      <c r="H289" s="235" t="s">
        <v>265</v>
      </c>
      <c r="I289" s="235">
        <v>2</v>
      </c>
      <c r="J289" s="235">
        <v>9095</v>
      </c>
      <c r="K289" s="235">
        <v>35</v>
      </c>
      <c r="L289" s="235">
        <f t="shared" si="149"/>
        <v>35</v>
      </c>
      <c r="M289" s="235">
        <v>7</v>
      </c>
      <c r="N289" s="235">
        <v>7</v>
      </c>
      <c r="O289" s="248">
        <v>42048</v>
      </c>
      <c r="P289">
        <v>3.3</v>
      </c>
      <c r="Q289" s="264">
        <v>42204</v>
      </c>
      <c r="R289"/>
      <c r="S289"/>
      <c r="T289"/>
      <c r="V289" s="219">
        <f t="shared" si="151"/>
        <v>10.035990404397943</v>
      </c>
      <c r="W289" s="219"/>
      <c r="X289">
        <v>15.55</v>
      </c>
      <c r="Y289"/>
      <c r="Z289"/>
      <c r="AA289"/>
      <c r="AB289" s="220">
        <f t="shared" si="152"/>
        <v>3.5872752798534595</v>
      </c>
      <c r="AC289" s="219"/>
      <c r="AD289" s="221">
        <f t="shared" si="153"/>
        <v>40672.935435592794</v>
      </c>
      <c r="AE289" s="219"/>
      <c r="AF289" s="220">
        <f t="shared" si="154"/>
        <v>20.092430105182842</v>
      </c>
      <c r="AG289" s="219"/>
      <c r="AH289" s="220">
        <f t="shared" si="155"/>
        <v>22.530197471611174</v>
      </c>
      <c r="AI289" s="219"/>
      <c r="AJ289">
        <v>4.9400000000000004</v>
      </c>
      <c r="AK289" s="284" t="s">
        <v>8402</v>
      </c>
      <c r="AL289">
        <v>155</v>
      </c>
      <c r="AM289"/>
      <c r="AN289" s="241">
        <v>70</v>
      </c>
      <c r="AO289" s="242">
        <v>42074</v>
      </c>
      <c r="AP289" s="255">
        <v>104</v>
      </c>
      <c r="AQ289" s="242">
        <v>42108</v>
      </c>
      <c r="AR289" s="223">
        <v>127</v>
      </c>
      <c r="AS289" s="297">
        <f t="shared" si="156"/>
        <v>127</v>
      </c>
      <c r="AT289" s="290">
        <v>42131</v>
      </c>
      <c r="AU289" s="298"/>
      <c r="AV289"/>
      <c r="AW289"/>
      <c r="AX289"/>
      <c r="AY289"/>
      <c r="AZ289"/>
      <c r="BA289"/>
      <c r="BB289"/>
      <c r="BC289"/>
      <c r="BD289"/>
      <c r="BE289"/>
      <c r="BF289" s="277">
        <v>-0.40689998865127563</v>
      </c>
      <c r="BG289" s="283">
        <v>42233</v>
      </c>
      <c r="BH289"/>
      <c r="BI289"/>
      <c r="BJ289"/>
      <c r="BK289"/>
      <c r="BL289" s="277">
        <v>64.367195129394531</v>
      </c>
      <c r="BM289" s="283">
        <v>42233</v>
      </c>
      <c r="BN289"/>
      <c r="BO289"/>
      <c r="BP289" s="277">
        <v>2.9411740303039551</v>
      </c>
      <c r="BQ289" s="283">
        <v>42233</v>
      </c>
      <c r="BR289" s="277">
        <v>49.949111938476563</v>
      </c>
      <c r="BS289" s="283">
        <v>42233</v>
      </c>
      <c r="BT289" s="277">
        <v>17.853864669799805</v>
      </c>
      <c r="BU289" s="283">
        <v>42233</v>
      </c>
      <c r="BV289" s="277">
        <v>21.836956024169922</v>
      </c>
      <c r="BW289" s="283">
        <v>42233</v>
      </c>
      <c r="BX289" s="277">
        <v>5.12774658203125</v>
      </c>
      <c r="BY289" s="283">
        <v>42233</v>
      </c>
      <c r="BZ289"/>
      <c r="CB289" s="266">
        <v>2.44</v>
      </c>
      <c r="CC289"/>
      <c r="CD289" s="277">
        <v>3.3898305084745792</v>
      </c>
      <c r="CE289" s="291" t="s">
        <v>8402</v>
      </c>
      <c r="CF289"/>
      <c r="CG289"/>
      <c r="CH289">
        <v>3</v>
      </c>
      <c r="CI289">
        <v>8</v>
      </c>
      <c r="CK289"/>
      <c r="CL289">
        <v>3</v>
      </c>
      <c r="CM289" s="259">
        <v>42161</v>
      </c>
      <c r="CO289" s="137" t="s">
        <v>8405</v>
      </c>
    </row>
    <row r="290" spans="1:93">
      <c r="A290" s="258">
        <v>474</v>
      </c>
      <c r="B290" s="235">
        <v>474</v>
      </c>
      <c r="C290" s="236" t="s">
        <v>7799</v>
      </c>
      <c r="D290" s="236" t="s">
        <v>7597</v>
      </c>
      <c r="E290" s="236" t="s">
        <v>7799</v>
      </c>
      <c r="F290" s="236" t="s">
        <v>8614</v>
      </c>
      <c r="G290" s="235" t="str">
        <f t="shared" si="150"/>
        <v>Rapsodyn</v>
      </c>
      <c r="H290" s="235" t="s">
        <v>265</v>
      </c>
      <c r="I290" s="235">
        <v>2</v>
      </c>
      <c r="J290" s="236">
        <v>9170</v>
      </c>
      <c r="K290" s="236">
        <v>36</v>
      </c>
      <c r="L290" s="235">
        <f t="shared" si="149"/>
        <v>36</v>
      </c>
      <c r="M290" s="236">
        <v>7</v>
      </c>
      <c r="N290" s="235">
        <v>7</v>
      </c>
      <c r="O290" s="248">
        <v>42048</v>
      </c>
      <c r="P290">
        <v>4.25</v>
      </c>
      <c r="Q290" s="264">
        <v>42204</v>
      </c>
      <c r="R290"/>
      <c r="S290"/>
      <c r="T290"/>
      <c r="V290" s="219">
        <f t="shared" si="151"/>
        <v>13.242852819481104</v>
      </c>
      <c r="W290" s="219"/>
      <c r="X290">
        <v>15.55</v>
      </c>
      <c r="Y290"/>
      <c r="Z290"/>
      <c r="AA290"/>
      <c r="AB290" s="220">
        <f t="shared" si="152"/>
        <v>4.2141981368428949</v>
      </c>
      <c r="AC290" s="219"/>
      <c r="AD290" s="221">
        <f t="shared" si="153"/>
        <v>50245.853455149794</v>
      </c>
      <c r="AE290" s="219"/>
      <c r="AF290" s="220">
        <f t="shared" si="154"/>
        <v>25.876614529402143</v>
      </c>
      <c r="AG290" s="219"/>
      <c r="AH290" s="220">
        <f t="shared" si="155"/>
        <v>29.016163410408332</v>
      </c>
      <c r="AI290" s="219"/>
      <c r="AJ290">
        <v>5.15</v>
      </c>
      <c r="AK290" s="284" t="s">
        <v>8402</v>
      </c>
      <c r="AL290">
        <v>165</v>
      </c>
      <c r="AM290"/>
      <c r="AN290" s="241">
        <v>61</v>
      </c>
      <c r="AO290" s="243">
        <v>42065</v>
      </c>
      <c r="AP290" s="255">
        <v>100</v>
      </c>
      <c r="AQ290" s="242">
        <v>42104</v>
      </c>
      <c r="AR290" s="223">
        <v>123</v>
      </c>
      <c r="AS290" s="297">
        <f t="shared" si="156"/>
        <v>123</v>
      </c>
      <c r="AT290" s="290">
        <v>42127</v>
      </c>
      <c r="AU290" s="298"/>
      <c r="AV290"/>
      <c r="AW290"/>
      <c r="AX290"/>
      <c r="AY290"/>
      <c r="AZ290"/>
      <c r="BA290"/>
      <c r="BB290"/>
      <c r="BC290"/>
      <c r="BD290"/>
      <c r="BE290"/>
      <c r="BF290" s="277">
        <v>-6.9479241371154785</v>
      </c>
      <c r="BG290" s="283">
        <v>42233</v>
      </c>
      <c r="BH290"/>
      <c r="BI290"/>
      <c r="BJ290"/>
      <c r="BK290"/>
      <c r="BL290" s="277">
        <v>66.879295349121094</v>
      </c>
      <c r="BM290" s="283">
        <v>42233</v>
      </c>
      <c r="BN290"/>
      <c r="BO290"/>
      <c r="BP290" s="277">
        <v>3.6349120140075684</v>
      </c>
      <c r="BQ290" s="283">
        <v>42233</v>
      </c>
      <c r="BR290" s="277">
        <v>51.176914215087891</v>
      </c>
      <c r="BS290" s="283">
        <v>42233</v>
      </c>
      <c r="BT290" s="277">
        <v>16.285739898681641</v>
      </c>
      <c r="BU290" s="283">
        <v>42233</v>
      </c>
      <c r="BV290" s="277">
        <v>10.066892623901367</v>
      </c>
      <c r="BW290" s="283">
        <v>42233</v>
      </c>
      <c r="BX290" s="277">
        <v>5.2580795288085938</v>
      </c>
      <c r="BY290" s="283">
        <v>42233</v>
      </c>
      <c r="BZ290"/>
      <c r="CB290" s="266">
        <v>1.67</v>
      </c>
      <c r="CC290"/>
      <c r="CD290" s="277">
        <v>3.3898305084745792</v>
      </c>
      <c r="CE290" s="291" t="s">
        <v>8402</v>
      </c>
      <c r="CF290"/>
      <c r="CG290"/>
      <c r="CH290">
        <v>2</v>
      </c>
      <c r="CI290">
        <v>6</v>
      </c>
      <c r="CK290"/>
      <c r="CL290"/>
      <c r="CM290" s="259">
        <v>42161</v>
      </c>
      <c r="CN290" s="137" t="s">
        <v>8406</v>
      </c>
    </row>
    <row r="291" spans="1:93">
      <c r="A291" s="258">
        <v>476</v>
      </c>
      <c r="B291" s="235">
        <v>476</v>
      </c>
      <c r="C291" s="235" t="s">
        <v>7715</v>
      </c>
      <c r="D291" s="235" t="s">
        <v>7539</v>
      </c>
      <c r="E291" s="235" t="s">
        <v>7715</v>
      </c>
      <c r="F291" s="235" t="s">
        <v>8449</v>
      </c>
      <c r="G291" s="235" t="str">
        <f t="shared" si="150"/>
        <v>Rapsodyn</v>
      </c>
      <c r="H291" s="235" t="s">
        <v>265</v>
      </c>
      <c r="I291" s="235">
        <v>2</v>
      </c>
      <c r="J291" s="235">
        <v>9097</v>
      </c>
      <c r="K291" s="235">
        <v>38</v>
      </c>
      <c r="L291" s="235">
        <f t="shared" si="149"/>
        <v>38</v>
      </c>
      <c r="M291" s="235">
        <v>7</v>
      </c>
      <c r="N291" s="235">
        <v>7</v>
      </c>
      <c r="O291" s="248">
        <v>42048</v>
      </c>
      <c r="P291">
        <v>4.9000000000000004</v>
      </c>
      <c r="Q291" s="264">
        <v>42204</v>
      </c>
      <c r="R291"/>
      <c r="S291"/>
      <c r="T291"/>
      <c r="V291" s="219">
        <f t="shared" si="151"/>
        <v>14.615440081630108</v>
      </c>
      <c r="W291" s="219"/>
      <c r="X291">
        <v>15.55</v>
      </c>
      <c r="Y291"/>
      <c r="Z291"/>
      <c r="AA291"/>
      <c r="AB291" s="220">
        <f t="shared" si="152"/>
        <v>4.5968219119712863</v>
      </c>
      <c r="AC291" s="219"/>
      <c r="AD291" s="221">
        <f t="shared" si="153"/>
        <v>61790.038272502949</v>
      </c>
      <c r="AE291" s="219"/>
      <c r="AF291" s="220">
        <f t="shared" si="154"/>
        <v>29.226688102893895</v>
      </c>
      <c r="AG291" s="219"/>
      <c r="AH291" s="220">
        <f t="shared" si="155"/>
        <v>32.772693544397725</v>
      </c>
      <c r="AI291" s="219"/>
      <c r="AJ291">
        <v>4.7300000000000004</v>
      </c>
      <c r="AK291" s="284" t="s">
        <v>8398</v>
      </c>
      <c r="AL291">
        <v>175</v>
      </c>
      <c r="AM291"/>
      <c r="AN291" s="241">
        <v>70</v>
      </c>
      <c r="AO291" s="242">
        <v>42074</v>
      </c>
      <c r="AP291" s="255">
        <v>104</v>
      </c>
      <c r="AQ291" s="242">
        <v>42108</v>
      </c>
      <c r="AR291" s="223">
        <v>127</v>
      </c>
      <c r="AS291" s="297">
        <f t="shared" si="156"/>
        <v>127</v>
      </c>
      <c r="AT291" s="290">
        <v>42131</v>
      </c>
      <c r="AU291" s="298"/>
      <c r="AV291"/>
      <c r="AW291"/>
      <c r="AX291"/>
      <c r="AY291"/>
      <c r="AZ291"/>
      <c r="BA291"/>
      <c r="BB291"/>
      <c r="BC291"/>
      <c r="BD291"/>
      <c r="BE291"/>
      <c r="BF291" s="277">
        <v>-3.4938719272613525</v>
      </c>
      <c r="BG291" s="283">
        <v>42233</v>
      </c>
      <c r="BH291"/>
      <c r="BI291"/>
      <c r="BJ291"/>
      <c r="BK291"/>
      <c r="BL291" s="277">
        <v>59.780879974365234</v>
      </c>
      <c r="BM291" s="283">
        <v>42233</v>
      </c>
      <c r="BN291"/>
      <c r="BO291"/>
      <c r="BP291" s="277">
        <v>4.0026931762695313</v>
      </c>
      <c r="BQ291" s="283">
        <v>42233</v>
      </c>
      <c r="BR291" s="277">
        <v>50.007171630859375</v>
      </c>
      <c r="BS291" s="283">
        <v>42233</v>
      </c>
      <c r="BT291" s="277">
        <v>15.728165626525879</v>
      </c>
      <c r="BU291" s="283">
        <v>42233</v>
      </c>
      <c r="BV291" s="277">
        <v>8.3492927551269531</v>
      </c>
      <c r="BW291" s="283">
        <v>42233</v>
      </c>
      <c r="BX291" s="277">
        <v>5.054840087890625</v>
      </c>
      <c r="BY291" s="283">
        <v>42233</v>
      </c>
      <c r="BZ291"/>
      <c r="CB291" s="266">
        <v>1.55</v>
      </c>
      <c r="CC291"/>
      <c r="CD291" s="277">
        <v>5.3571428571428541</v>
      </c>
      <c r="CE291" s="291" t="s">
        <v>8398</v>
      </c>
      <c r="CF291"/>
      <c r="CG291"/>
      <c r="CH291">
        <v>2</v>
      </c>
      <c r="CI291">
        <v>5</v>
      </c>
      <c r="CK291"/>
      <c r="CL291"/>
      <c r="CM291" s="259">
        <v>42161</v>
      </c>
      <c r="CN291" s="137" t="s">
        <v>8406</v>
      </c>
    </row>
    <row r="292" spans="1:93">
      <c r="A292" s="258">
        <v>480</v>
      </c>
      <c r="B292" s="236">
        <v>480</v>
      </c>
      <c r="C292" s="235" t="s">
        <v>7608</v>
      </c>
      <c r="D292" s="235" t="s">
        <v>7447</v>
      </c>
      <c r="E292" s="235" t="s">
        <v>7608</v>
      </c>
      <c r="F292" s="235" t="s">
        <v>8483</v>
      </c>
      <c r="G292" s="235" t="str">
        <f t="shared" si="150"/>
        <v>Rapsodyn</v>
      </c>
      <c r="H292" s="235" t="s">
        <v>265</v>
      </c>
      <c r="I292" s="235">
        <v>2</v>
      </c>
      <c r="J292" s="235">
        <v>9003</v>
      </c>
      <c r="K292" s="235">
        <v>42</v>
      </c>
      <c r="L292" s="235">
        <f t="shared" si="149"/>
        <v>42</v>
      </c>
      <c r="M292" s="235">
        <v>7</v>
      </c>
      <c r="N292" s="236">
        <v>9</v>
      </c>
      <c r="O292" s="248">
        <v>42048</v>
      </c>
      <c r="P292">
        <v>3.75</v>
      </c>
      <c r="Q292" s="264">
        <v>42204</v>
      </c>
      <c r="R292"/>
      <c r="S292"/>
      <c r="T292"/>
      <c r="V292" s="219">
        <f t="shared" si="151"/>
        <v>11.584564118262945</v>
      </c>
      <c r="W292" s="219"/>
      <c r="X292">
        <v>15.55</v>
      </c>
      <c r="Y292"/>
      <c r="Z292"/>
      <c r="AA292"/>
      <c r="AB292" s="220">
        <f t="shared" si="152"/>
        <v>4.0135740840101626</v>
      </c>
      <c r="AC292" s="219"/>
      <c r="AD292" s="221">
        <f t="shared" si="153"/>
        <v>47321.482739792511</v>
      </c>
      <c r="AE292" s="219"/>
      <c r="AF292" s="220">
        <f t="shared" si="154"/>
        <v>23.187526542498333</v>
      </c>
      <c r="AG292" s="219"/>
      <c r="AH292" s="220">
        <f t="shared" si="155"/>
        <v>26.000814692193689</v>
      </c>
      <c r="AI292" s="219"/>
      <c r="AJ292">
        <v>4.9000000000000004</v>
      </c>
      <c r="AK292" s="284" t="s">
        <v>8401</v>
      </c>
      <c r="AL292">
        <v>160</v>
      </c>
      <c r="AM292"/>
      <c r="AN292" s="241">
        <v>79</v>
      </c>
      <c r="AO292" s="242">
        <v>42083</v>
      </c>
      <c r="AP292" s="255">
        <v>106</v>
      </c>
      <c r="AQ292" s="242">
        <v>42110</v>
      </c>
      <c r="AR292" s="223">
        <v>136</v>
      </c>
      <c r="AS292" s="297">
        <f t="shared" si="156"/>
        <v>136</v>
      </c>
      <c r="AT292" s="290">
        <v>42140</v>
      </c>
      <c r="AU292" s="298"/>
      <c r="AV292"/>
      <c r="AW292"/>
      <c r="AX292"/>
      <c r="AY292"/>
      <c r="AZ292"/>
      <c r="BA292"/>
      <c r="BB292"/>
      <c r="BC292"/>
      <c r="BD292"/>
      <c r="BE292"/>
      <c r="BF292" s="277">
        <v>35.663169860839844</v>
      </c>
      <c r="BG292" s="283">
        <v>42233</v>
      </c>
      <c r="BH292"/>
      <c r="BI292"/>
      <c r="BJ292"/>
      <c r="BK292"/>
      <c r="BL292" s="277">
        <v>59.715927124023438</v>
      </c>
      <c r="BM292" s="283">
        <v>42233</v>
      </c>
      <c r="BN292"/>
      <c r="BO292"/>
      <c r="BP292" s="277">
        <v>3.3305048942565918</v>
      </c>
      <c r="BQ292" s="283">
        <v>42233</v>
      </c>
      <c r="BR292" s="277">
        <v>49.9603271484375</v>
      </c>
      <c r="BS292" s="283">
        <v>42233</v>
      </c>
      <c r="BT292" s="277">
        <v>17.309194564819336</v>
      </c>
      <c r="BU292" s="283">
        <v>42233</v>
      </c>
      <c r="BV292" s="277">
        <v>73.260231018066406</v>
      </c>
      <c r="BW292" s="283">
        <v>42233</v>
      </c>
      <c r="BX292" s="277">
        <v>5.2741546630859375</v>
      </c>
      <c r="BY292" s="283">
        <v>42233</v>
      </c>
      <c r="BZ292"/>
      <c r="CB292" s="266">
        <v>2.11</v>
      </c>
      <c r="CC292"/>
      <c r="CD292" s="277">
        <v>1.886792452830182</v>
      </c>
      <c r="CE292" s="291" t="s">
        <v>8401</v>
      </c>
      <c r="CF292"/>
      <c r="CG292"/>
      <c r="CH292">
        <v>2</v>
      </c>
      <c r="CI292">
        <v>3</v>
      </c>
      <c r="CK292"/>
      <c r="CL292"/>
      <c r="CM292" s="259">
        <v>42161</v>
      </c>
      <c r="CN292" s="137" t="s">
        <v>8406</v>
      </c>
    </row>
    <row r="293" spans="1:93">
      <c r="A293" s="258">
        <v>481</v>
      </c>
      <c r="B293" s="235">
        <v>481</v>
      </c>
      <c r="C293" s="235" t="s">
        <v>7697</v>
      </c>
      <c r="D293" s="235" t="s">
        <v>7523</v>
      </c>
      <c r="E293" s="235" t="s">
        <v>7697</v>
      </c>
      <c r="F293" s="235" t="s">
        <v>8533</v>
      </c>
      <c r="G293" s="235" t="str">
        <f t="shared" si="150"/>
        <v>Rapsodyn</v>
      </c>
      <c r="H293" s="235" t="s">
        <v>265</v>
      </c>
      <c r="I293" s="235">
        <v>2</v>
      </c>
      <c r="J293" s="235">
        <v>9079</v>
      </c>
      <c r="K293" s="235">
        <v>43</v>
      </c>
      <c r="L293" s="235">
        <f t="shared" si="149"/>
        <v>43</v>
      </c>
      <c r="M293" s="235">
        <v>7</v>
      </c>
      <c r="N293" s="235">
        <v>7</v>
      </c>
      <c r="O293" s="248">
        <v>42048</v>
      </c>
      <c r="P293">
        <v>4.05</v>
      </c>
      <c r="Q293" s="264">
        <v>42204</v>
      </c>
      <c r="R293"/>
      <c r="S293"/>
      <c r="T293"/>
      <c r="V293" s="219">
        <f t="shared" si="151"/>
        <v>12.083971610041672</v>
      </c>
      <c r="W293" s="219"/>
      <c r="X293">
        <v>15.55</v>
      </c>
      <c r="Y293"/>
      <c r="Z293"/>
      <c r="AA293"/>
      <c r="AB293" s="220">
        <f t="shared" si="152"/>
        <v>4.0689613313644246</v>
      </c>
      <c r="AC293" s="219"/>
      <c r="AD293" s="221">
        <f t="shared" si="153"/>
        <v>52371.295826880458</v>
      </c>
      <c r="AE293" s="219"/>
      <c r="AF293" s="220">
        <f t="shared" si="154"/>
        <v>24.247909967845651</v>
      </c>
      <c r="AG293" s="219"/>
      <c r="AH293" s="220">
        <f t="shared" si="155"/>
        <v>27.18985194869439</v>
      </c>
      <c r="AI293" s="219"/>
      <c r="AJ293">
        <v>4.63</v>
      </c>
      <c r="AK293" s="284" t="s">
        <v>8403</v>
      </c>
      <c r="AL293">
        <v>170</v>
      </c>
      <c r="AM293"/>
      <c r="AN293" s="241">
        <v>63</v>
      </c>
      <c r="AO293" s="242">
        <v>42067</v>
      </c>
      <c r="AP293" s="255">
        <v>106</v>
      </c>
      <c r="AQ293" s="242">
        <v>42110</v>
      </c>
      <c r="AR293" s="223">
        <v>131</v>
      </c>
      <c r="AS293" s="297">
        <f t="shared" si="156"/>
        <v>131</v>
      </c>
      <c r="AT293" s="290">
        <v>42135</v>
      </c>
      <c r="AU293" s="298"/>
      <c r="AV293"/>
      <c r="AW293"/>
      <c r="AX293"/>
      <c r="AY293"/>
      <c r="AZ293"/>
      <c r="BA293"/>
      <c r="BB293"/>
      <c r="BC293"/>
      <c r="BD293"/>
      <c r="BE293"/>
      <c r="BF293" s="277">
        <v>-1.0945509672164917</v>
      </c>
      <c r="BG293" s="283">
        <v>42230</v>
      </c>
      <c r="BH293"/>
      <c r="BI293"/>
      <c r="BJ293"/>
      <c r="BK293"/>
      <c r="BL293" s="277">
        <v>64.179191589355469</v>
      </c>
      <c r="BM293" s="283">
        <v>42230</v>
      </c>
      <c r="BN293"/>
      <c r="BO293"/>
      <c r="BP293" s="277">
        <v>3.5784370899200439</v>
      </c>
      <c r="BQ293" s="283">
        <v>42230</v>
      </c>
      <c r="BR293" s="277">
        <v>49.835105895996094</v>
      </c>
      <c r="BS293" s="283">
        <v>42230</v>
      </c>
      <c r="BT293" s="277">
        <v>16.780668258666992</v>
      </c>
      <c r="BU293" s="283">
        <v>42230</v>
      </c>
      <c r="BV293" s="277">
        <v>16.546297073364258</v>
      </c>
      <c r="BW293" s="283">
        <v>42230</v>
      </c>
      <c r="BX293" s="277">
        <v>5.421539306640625</v>
      </c>
      <c r="BY293" s="283">
        <v>42230</v>
      </c>
      <c r="BZ293"/>
      <c r="CB293" s="266">
        <v>1.6</v>
      </c>
      <c r="CC293"/>
      <c r="CD293" s="277">
        <v>4.9999999999999964</v>
      </c>
      <c r="CE293" s="291" t="s">
        <v>8403</v>
      </c>
      <c r="CF293"/>
      <c r="CG293"/>
      <c r="CH293">
        <v>2</v>
      </c>
      <c r="CI293">
        <v>2</v>
      </c>
      <c r="CK293"/>
      <c r="CL293"/>
      <c r="CM293" s="259">
        <v>42161</v>
      </c>
      <c r="CN293" s="137" t="s">
        <v>8406</v>
      </c>
    </row>
    <row r="294" spans="1:93">
      <c r="A294" s="258">
        <v>486</v>
      </c>
      <c r="B294" s="235">
        <v>486</v>
      </c>
      <c r="C294" s="235" t="s">
        <v>7729</v>
      </c>
      <c r="D294" s="235" t="s">
        <v>7552</v>
      </c>
      <c r="E294" s="235" t="s">
        <v>7729</v>
      </c>
      <c r="F294" s="235" t="s">
        <v>8568</v>
      </c>
      <c r="G294" s="235" t="str">
        <f t="shared" si="150"/>
        <v>Rapsodyn</v>
      </c>
      <c r="H294" s="235" t="s">
        <v>265</v>
      </c>
      <c r="I294" s="235">
        <v>2</v>
      </c>
      <c r="J294" s="235">
        <v>9111</v>
      </c>
      <c r="K294" s="235">
        <v>48</v>
      </c>
      <c r="L294" s="235">
        <f t="shared" si="149"/>
        <v>48</v>
      </c>
      <c r="M294" s="235">
        <v>7</v>
      </c>
      <c r="N294" s="235">
        <v>7</v>
      </c>
      <c r="O294" s="248">
        <v>42048</v>
      </c>
      <c r="P294" s="223">
        <v>5.05</v>
      </c>
      <c r="Q294" s="264">
        <v>42204</v>
      </c>
      <c r="R294" s="223"/>
      <c r="S294" s="223"/>
      <c r="T294" s="223"/>
      <c r="U294" s="225"/>
      <c r="V294" s="219">
        <f t="shared" si="151"/>
        <v>15.558089562267492</v>
      </c>
      <c r="W294" s="224"/>
      <c r="X294">
        <v>15.55</v>
      </c>
      <c r="Y294" s="223"/>
      <c r="Z294" s="223"/>
      <c r="AA294" s="223"/>
      <c r="AB294" s="220">
        <f t="shared" si="152"/>
        <v>4.8734731716946591</v>
      </c>
      <c r="AC294" s="224"/>
      <c r="AD294" s="221">
        <f t="shared" si="153"/>
        <v>55211.711796271804</v>
      </c>
      <c r="AE294" s="224"/>
      <c r="AF294" s="220">
        <f t="shared" si="154"/>
        <v>30.090382928968136</v>
      </c>
      <c r="AG294" s="224"/>
      <c r="AH294" s="220">
        <f t="shared" si="155"/>
        <v>33.7411784357122</v>
      </c>
      <c r="AI294" s="224"/>
      <c r="AJ294">
        <v>5.45</v>
      </c>
      <c r="AK294" s="290" t="s">
        <v>8401</v>
      </c>
      <c r="AL294" s="223">
        <v>170</v>
      </c>
      <c r="AM294" s="223"/>
      <c r="AN294" s="241">
        <v>70</v>
      </c>
      <c r="AO294" s="242">
        <v>42074</v>
      </c>
      <c r="AP294" s="255">
        <v>104</v>
      </c>
      <c r="AQ294" s="242">
        <v>42108</v>
      </c>
      <c r="AR294" s="223">
        <v>131</v>
      </c>
      <c r="AS294" s="297">
        <f t="shared" si="156"/>
        <v>131</v>
      </c>
      <c r="AT294" s="290">
        <v>42135</v>
      </c>
      <c r="AU294" s="298"/>
      <c r="AV294" s="223"/>
      <c r="AW294" s="223"/>
      <c r="AX294" s="223"/>
      <c r="AY294" s="223"/>
      <c r="AZ294" s="223"/>
      <c r="BA294" s="223"/>
      <c r="BB294" s="223"/>
      <c r="BC294" s="223"/>
      <c r="BD294" s="223"/>
      <c r="BE294" s="223"/>
      <c r="BF294" s="281">
        <v>-2.5264949798583984</v>
      </c>
      <c r="BG294" s="283">
        <v>42230</v>
      </c>
      <c r="BH294" s="223"/>
      <c r="BI294" s="223"/>
      <c r="BJ294" s="223"/>
      <c r="BK294" s="223"/>
      <c r="BL294" s="281">
        <v>62.675804138183594</v>
      </c>
      <c r="BM294" s="283">
        <v>42230</v>
      </c>
      <c r="BN294" s="223"/>
      <c r="BO294" s="223"/>
      <c r="BP294" s="281">
        <v>3.4127180576324463</v>
      </c>
      <c r="BQ294" s="283">
        <v>42230</v>
      </c>
      <c r="BR294" s="281">
        <v>51.704524993896484</v>
      </c>
      <c r="BS294" s="283">
        <v>42230</v>
      </c>
      <c r="BT294" s="281">
        <v>16.196115493774414</v>
      </c>
      <c r="BU294" s="283">
        <v>42230</v>
      </c>
      <c r="BV294" s="281">
        <v>14.864222526550293</v>
      </c>
      <c r="BW294" s="283">
        <v>42230</v>
      </c>
      <c r="BX294" s="281">
        <v>5.0145721435546875</v>
      </c>
      <c r="BY294" s="283">
        <v>42230</v>
      </c>
      <c r="BZ294" s="223"/>
      <c r="CA294" s="226"/>
      <c r="CB294" s="266">
        <v>2.13</v>
      </c>
      <c r="CC294" s="223"/>
      <c r="CD294" s="281">
        <v>5.4545454545454515</v>
      </c>
      <c r="CE294" s="291" t="s">
        <v>8401</v>
      </c>
      <c r="CF294" s="223"/>
      <c r="CG294" s="223"/>
      <c r="CH294" s="223">
        <v>2</v>
      </c>
      <c r="CI294" s="223">
        <v>2</v>
      </c>
      <c r="CK294" s="223"/>
      <c r="CL294" s="223"/>
      <c r="CM294" s="259">
        <v>42161</v>
      </c>
      <c r="CN294" s="137" t="s">
        <v>8406</v>
      </c>
    </row>
    <row r="295" spans="1:93">
      <c r="A295" s="258">
        <v>487</v>
      </c>
      <c r="B295" s="235">
        <v>487</v>
      </c>
      <c r="C295" s="235" t="s">
        <v>7576</v>
      </c>
      <c r="D295" s="235"/>
      <c r="E295" s="235"/>
      <c r="F295" s="235"/>
      <c r="G295" s="235"/>
      <c r="H295" s="235" t="s">
        <v>265</v>
      </c>
      <c r="I295" s="235">
        <v>2</v>
      </c>
      <c r="K295" s="235">
        <v>49</v>
      </c>
      <c r="L295" s="235">
        <f t="shared" si="149"/>
        <v>49</v>
      </c>
      <c r="M295" s="235">
        <v>7</v>
      </c>
      <c r="O295" s="248">
        <v>42048</v>
      </c>
      <c r="P295"/>
      <c r="Q295" s="219"/>
      <c r="R295"/>
      <c r="S295"/>
      <c r="T295"/>
      <c r="V295" s="219"/>
      <c r="W295" s="219"/>
      <c r="X295">
        <v>15.55</v>
      </c>
      <c r="Y295"/>
      <c r="Z295"/>
      <c r="AA295"/>
      <c r="AB295" s="220"/>
      <c r="AC295" s="219"/>
      <c r="AD295" s="221"/>
      <c r="AE295" s="219"/>
      <c r="AF295" s="220"/>
      <c r="AG295" s="219"/>
      <c r="AH295" s="220"/>
      <c r="AI295" s="219"/>
      <c r="AJ295" s="286"/>
      <c r="AK295" s="284"/>
      <c r="AL295"/>
      <c r="AM295"/>
      <c r="AN295" s="241">
        <v>70</v>
      </c>
      <c r="AO295" s="242">
        <v>42074</v>
      </c>
      <c r="AP295" s="255">
        <v>104</v>
      </c>
      <c r="AQ295" s="242">
        <v>42108</v>
      </c>
      <c r="AR295"/>
      <c r="AS295" s="297"/>
      <c r="AT295" s="290"/>
      <c r="AU295" s="298"/>
      <c r="AV295"/>
      <c r="AW295"/>
      <c r="AX295"/>
      <c r="AY295"/>
      <c r="AZ295"/>
      <c r="BA295"/>
      <c r="BB295"/>
      <c r="BC295"/>
      <c r="BD295"/>
      <c r="BE295"/>
      <c r="BF295" s="277"/>
      <c r="BG295" s="235"/>
      <c r="BH295"/>
      <c r="BI295"/>
      <c r="BJ295"/>
      <c r="BK295"/>
      <c r="BL295" s="277"/>
      <c r="BM295" s="235"/>
      <c r="BN295"/>
      <c r="BO295"/>
      <c r="BP295" s="277"/>
      <c r="BQ295" s="235"/>
      <c r="BR295" s="277"/>
      <c r="BS295" s="235"/>
      <c r="BT295" s="277"/>
      <c r="BU295" s="235"/>
      <c r="BV295" s="277"/>
      <c r="BW295" s="235"/>
      <c r="BX295" s="277"/>
      <c r="BY295" s="235"/>
      <c r="BZ295"/>
      <c r="CB295" s="266"/>
      <c r="CC295"/>
      <c r="CD295" s="277"/>
      <c r="CE295" s="291"/>
      <c r="CF295"/>
      <c r="CG295"/>
      <c r="CH295"/>
      <c r="CI295"/>
      <c r="CK295"/>
      <c r="CL295"/>
      <c r="CM295" s="259">
        <v>42161</v>
      </c>
    </row>
    <row r="296" spans="1:93">
      <c r="A296" s="258">
        <v>488</v>
      </c>
      <c r="B296" s="235">
        <v>488</v>
      </c>
      <c r="C296" s="235" t="s">
        <v>7576</v>
      </c>
      <c r="D296" s="235"/>
      <c r="E296" s="235"/>
      <c r="F296" s="235"/>
      <c r="G296" s="235"/>
      <c r="H296" s="235" t="s">
        <v>265</v>
      </c>
      <c r="I296" s="235">
        <v>2</v>
      </c>
      <c r="K296" s="235">
        <v>50</v>
      </c>
      <c r="L296" s="235">
        <f t="shared" si="149"/>
        <v>50</v>
      </c>
      <c r="M296" s="235">
        <v>7</v>
      </c>
      <c r="O296" s="248">
        <v>42048</v>
      </c>
      <c r="P296"/>
      <c r="Q296" s="219"/>
      <c r="R296"/>
      <c r="S296"/>
      <c r="T296"/>
      <c r="V296" s="219"/>
      <c r="W296" s="219"/>
      <c r="X296">
        <v>15.55</v>
      </c>
      <c r="Y296"/>
      <c r="Z296"/>
      <c r="AA296"/>
      <c r="AB296" s="220"/>
      <c r="AC296" s="219"/>
      <c r="AD296" s="221"/>
      <c r="AE296" s="219"/>
      <c r="AF296" s="220"/>
      <c r="AG296" s="219"/>
      <c r="AH296" s="220"/>
      <c r="AI296" s="219"/>
      <c r="AJ296" s="286"/>
      <c r="AK296" s="284"/>
      <c r="AL296"/>
      <c r="AM296"/>
      <c r="AN296" s="241">
        <v>70</v>
      </c>
      <c r="AO296" s="242">
        <v>42074</v>
      </c>
      <c r="AP296" s="255">
        <v>104</v>
      </c>
      <c r="AQ296" s="242">
        <v>42108</v>
      </c>
      <c r="AR296"/>
      <c r="AS296" s="297"/>
      <c r="AT296" s="290"/>
      <c r="AU296" s="298"/>
      <c r="AV296"/>
      <c r="AW296"/>
      <c r="AX296"/>
      <c r="AY296"/>
      <c r="AZ296"/>
      <c r="BA296"/>
      <c r="BB296"/>
      <c r="BC296"/>
      <c r="BD296"/>
      <c r="BE296"/>
      <c r="BF296" s="277"/>
      <c r="BG296" s="235"/>
      <c r="BH296"/>
      <c r="BI296"/>
      <c r="BJ296"/>
      <c r="BK296"/>
      <c r="BL296" s="277"/>
      <c r="BM296" s="235"/>
      <c r="BN296"/>
      <c r="BO296"/>
      <c r="BP296" s="277"/>
      <c r="BQ296" s="235"/>
      <c r="BR296" s="277"/>
      <c r="BS296" s="235"/>
      <c r="BT296" s="277"/>
      <c r="BU296" s="235"/>
      <c r="BV296" s="277"/>
      <c r="BW296" s="235"/>
      <c r="BX296" s="277"/>
      <c r="BY296" s="235"/>
      <c r="BZ296"/>
      <c r="CB296" s="266"/>
      <c r="CC296"/>
      <c r="CD296" s="277"/>
      <c r="CE296" s="291"/>
      <c r="CF296"/>
      <c r="CG296"/>
      <c r="CH296"/>
      <c r="CI296"/>
      <c r="CK296"/>
      <c r="CL296"/>
      <c r="CM296" s="259">
        <v>42161</v>
      </c>
    </row>
    <row r="297" spans="1:93">
      <c r="A297" s="258">
        <v>489</v>
      </c>
      <c r="B297" s="235">
        <v>489</v>
      </c>
      <c r="C297" s="235" t="s">
        <v>7687</v>
      </c>
      <c r="D297" s="235" t="s">
        <v>7513</v>
      </c>
      <c r="E297" s="235" t="s">
        <v>7687</v>
      </c>
      <c r="F297" s="235" t="s">
        <v>8514</v>
      </c>
      <c r="G297" s="235" t="str">
        <f t="shared" ref="G297:G308" si="157">IF(MID(C297,1,3)="BGA","Complement","Rapsodyn")</f>
        <v>Rapsodyn</v>
      </c>
      <c r="H297" s="235" t="s">
        <v>265</v>
      </c>
      <c r="I297" s="235">
        <v>2</v>
      </c>
      <c r="J297" s="235">
        <v>9069</v>
      </c>
      <c r="K297" s="235">
        <v>51</v>
      </c>
      <c r="L297" s="235">
        <f t="shared" si="149"/>
        <v>51</v>
      </c>
      <c r="M297" s="235">
        <v>7</v>
      </c>
      <c r="N297" s="235">
        <v>7</v>
      </c>
      <c r="O297" s="248">
        <v>42048</v>
      </c>
      <c r="P297" s="223">
        <v>4.2</v>
      </c>
      <c r="Q297" s="264">
        <v>42204</v>
      </c>
      <c r="R297" s="223"/>
      <c r="S297" s="223"/>
      <c r="T297" s="223"/>
      <c r="U297" s="225"/>
      <c r="V297" s="219">
        <f t="shared" ref="V297:V308" si="158">+BR297*AF297/100</f>
        <v>13.046694948128952</v>
      </c>
      <c r="W297" s="224"/>
      <c r="X297">
        <v>15.55</v>
      </c>
      <c r="Y297" s="223"/>
      <c r="Z297" s="223"/>
      <c r="AA297" s="223"/>
      <c r="AB297" s="220">
        <f t="shared" ref="AB297:AB308" si="159">+AF297*BT297/100</f>
        <v>4.4186054738771503</v>
      </c>
      <c r="AC297" s="224"/>
      <c r="AD297" s="221">
        <f t="shared" ref="AD297:AD308" si="160">+(AF297/AJ297)*10000</f>
        <v>56885.743032639832</v>
      </c>
      <c r="AE297" s="224"/>
      <c r="AF297" s="220">
        <f t="shared" ref="AF297:AF308" si="161">($P297/$X297)*(((100-$CD297)/100*(100-2)/100))*100</f>
        <v>25.996784565916403</v>
      </c>
      <c r="AG297" s="224"/>
      <c r="AH297" s="220">
        <f t="shared" ref="AH297:AH308" si="162">($P297/$X297)*(((100-$CD297)/(100-9)*(100-2)/(100-2))*100)</f>
        <v>29.150913395286391</v>
      </c>
      <c r="AI297" s="224"/>
      <c r="AJ297">
        <v>4.57</v>
      </c>
      <c r="AK297" s="290" t="s">
        <v>8401</v>
      </c>
      <c r="AL297" s="223">
        <v>150</v>
      </c>
      <c r="AM297" s="223"/>
      <c r="AN297" s="241">
        <v>63</v>
      </c>
      <c r="AO297" s="242">
        <v>42067</v>
      </c>
      <c r="AP297" s="255">
        <v>104</v>
      </c>
      <c r="AQ297" s="242">
        <v>42108</v>
      </c>
      <c r="AR297" s="223">
        <v>125</v>
      </c>
      <c r="AS297" s="297">
        <f t="shared" ref="AS297:AS308" si="163">IF(AR297=0,,AR297)</f>
        <v>125</v>
      </c>
      <c r="AT297" s="290">
        <v>42129</v>
      </c>
      <c r="AU297" s="298"/>
      <c r="AV297" s="223"/>
      <c r="AW297" s="223"/>
      <c r="AX297" s="223"/>
      <c r="AY297" s="223"/>
      <c r="AZ297" s="223"/>
      <c r="BA297" s="223"/>
      <c r="BB297" s="223"/>
      <c r="BC297" s="223"/>
      <c r="BD297" s="223"/>
      <c r="BE297" s="223"/>
      <c r="BF297" s="281">
        <v>-3.5608019828796387</v>
      </c>
      <c r="BG297" s="283">
        <v>42233</v>
      </c>
      <c r="BH297" s="223"/>
      <c r="BI297" s="223"/>
      <c r="BJ297" s="223"/>
      <c r="BK297" s="223"/>
      <c r="BL297" s="281">
        <v>62.343879699707031</v>
      </c>
      <c r="BM297" s="283">
        <v>42233</v>
      </c>
      <c r="BN297" s="223"/>
      <c r="BO297" s="223"/>
      <c r="BP297" s="281">
        <v>3.1978249549865723</v>
      </c>
      <c r="BQ297" s="283">
        <v>42233</v>
      </c>
      <c r="BR297" s="281">
        <v>50.185802459716797</v>
      </c>
      <c r="BS297" s="283">
        <v>42233</v>
      </c>
      <c r="BT297" s="281">
        <v>16.996738433837891</v>
      </c>
      <c r="BU297" s="283">
        <v>42233</v>
      </c>
      <c r="BV297" s="281">
        <v>14.690238952636719</v>
      </c>
      <c r="BW297" s="283">
        <v>42233</v>
      </c>
      <c r="BX297" s="281">
        <v>5.5484466552734375</v>
      </c>
      <c r="BY297" s="283">
        <v>42233</v>
      </c>
      <c r="BZ297" s="223"/>
      <c r="CA297" s="226"/>
      <c r="CB297" s="266">
        <v>1.89</v>
      </c>
      <c r="CC297" s="223"/>
      <c r="CD297" s="281">
        <v>1.7857142857142794</v>
      </c>
      <c r="CE297" s="291" t="s">
        <v>8401</v>
      </c>
      <c r="CF297" s="223"/>
      <c r="CG297" s="223"/>
      <c r="CH297" s="223">
        <v>2</v>
      </c>
      <c r="CI297" s="223">
        <v>3</v>
      </c>
      <c r="CK297" s="223"/>
      <c r="CL297" s="223"/>
      <c r="CM297" s="259">
        <v>42161</v>
      </c>
      <c r="CN297" s="137" t="s">
        <v>8406</v>
      </c>
    </row>
    <row r="298" spans="1:93">
      <c r="A298" s="258">
        <v>491</v>
      </c>
      <c r="B298" s="235">
        <v>491</v>
      </c>
      <c r="C298" s="235" t="s">
        <v>7724</v>
      </c>
      <c r="D298" s="235" t="s">
        <v>7821</v>
      </c>
      <c r="E298" s="235" t="s">
        <v>7724</v>
      </c>
      <c r="F298" s="235" t="s">
        <v>8505</v>
      </c>
      <c r="G298" s="235" t="str">
        <f t="shared" si="157"/>
        <v>Rapsodyn</v>
      </c>
      <c r="H298" s="235" t="s">
        <v>265</v>
      </c>
      <c r="I298" s="235">
        <v>2</v>
      </c>
      <c r="J298" s="235">
        <v>9106</v>
      </c>
      <c r="K298" s="235">
        <v>53</v>
      </c>
      <c r="L298" s="235">
        <f t="shared" si="149"/>
        <v>53</v>
      </c>
      <c r="M298" s="235">
        <v>7</v>
      </c>
      <c r="N298" s="235">
        <v>7</v>
      </c>
      <c r="O298" s="248">
        <v>42048</v>
      </c>
      <c r="P298">
        <v>5</v>
      </c>
      <c r="Q298" s="264">
        <v>42204</v>
      </c>
      <c r="R298"/>
      <c r="S298"/>
      <c r="T298"/>
      <c r="V298" s="219">
        <f t="shared" si="158"/>
        <v>15.009495893843606</v>
      </c>
      <c r="W298" s="219"/>
      <c r="X298">
        <v>15.55</v>
      </c>
      <c r="Y298"/>
      <c r="Z298"/>
      <c r="AA298"/>
      <c r="AB298" s="220">
        <f t="shared" si="159"/>
        <v>4.4508479774753615</v>
      </c>
      <c r="AC298" s="219"/>
      <c r="AD298" s="221">
        <f t="shared" si="160"/>
        <v>66149.847644233902</v>
      </c>
      <c r="AE298" s="219"/>
      <c r="AF298" s="220">
        <f t="shared" si="161"/>
        <v>29.039783115818679</v>
      </c>
      <c r="AG298" s="219"/>
      <c r="AH298" s="220">
        <f t="shared" si="162"/>
        <v>32.563111814104822</v>
      </c>
      <c r="AI298" s="219"/>
      <c r="AJ298">
        <v>4.3899999999999997</v>
      </c>
      <c r="AK298" s="284" t="s">
        <v>8399</v>
      </c>
      <c r="AL298">
        <v>150</v>
      </c>
      <c r="AM298"/>
      <c r="AN298" s="241">
        <v>70</v>
      </c>
      <c r="AO298" s="242">
        <v>42074</v>
      </c>
      <c r="AP298" s="255">
        <v>104</v>
      </c>
      <c r="AQ298" s="242">
        <v>42108</v>
      </c>
      <c r="AR298" s="223">
        <v>127</v>
      </c>
      <c r="AS298" s="297">
        <f t="shared" si="163"/>
        <v>127</v>
      </c>
      <c r="AT298" s="290">
        <v>42131</v>
      </c>
      <c r="AU298" s="298"/>
      <c r="AV298"/>
      <c r="AW298"/>
      <c r="AX298"/>
      <c r="AY298"/>
      <c r="AZ298"/>
      <c r="BA298"/>
      <c r="BB298"/>
      <c r="BC298"/>
      <c r="BD298"/>
      <c r="BE298"/>
      <c r="BF298" s="277">
        <v>-4.1174111366271973</v>
      </c>
      <c r="BG298" s="283">
        <v>42233</v>
      </c>
      <c r="BH298"/>
      <c r="BI298"/>
      <c r="BJ298"/>
      <c r="BK298"/>
      <c r="BL298" s="277">
        <v>65.685020446777344</v>
      </c>
      <c r="BM298" s="283">
        <v>42233</v>
      </c>
      <c r="BN298"/>
      <c r="BO298"/>
      <c r="BP298" s="277">
        <v>3.1283969879150391</v>
      </c>
      <c r="BQ298" s="283">
        <v>42233</v>
      </c>
      <c r="BR298" s="277">
        <v>51.685977935791016</v>
      </c>
      <c r="BS298" s="283">
        <v>42233</v>
      </c>
      <c r="BT298" s="277">
        <v>15.326725959777832</v>
      </c>
      <c r="BU298" s="283">
        <v>42233</v>
      </c>
      <c r="BV298" s="277">
        <v>14.208954811096191</v>
      </c>
      <c r="BW298" s="283">
        <v>42233</v>
      </c>
      <c r="BX298" s="277">
        <v>5.2146453857421875</v>
      </c>
      <c r="BY298" s="283">
        <v>42233</v>
      </c>
      <c r="BZ298"/>
      <c r="CB298" s="266">
        <v>2.6</v>
      </c>
      <c r="CC298"/>
      <c r="CD298" s="277">
        <v>7.8431372549019507</v>
      </c>
      <c r="CE298" s="291" t="s">
        <v>8399</v>
      </c>
      <c r="CF298"/>
      <c r="CG298"/>
      <c r="CH298">
        <v>2</v>
      </c>
      <c r="CI298">
        <v>2</v>
      </c>
      <c r="CK298"/>
      <c r="CL298"/>
      <c r="CM298" s="259">
        <v>42161</v>
      </c>
      <c r="CN298" s="137" t="s">
        <v>8406</v>
      </c>
    </row>
    <row r="299" spans="1:93">
      <c r="A299" s="258">
        <v>493</v>
      </c>
      <c r="B299" s="235">
        <v>493</v>
      </c>
      <c r="C299" s="235" t="s">
        <v>7642</v>
      </c>
      <c r="D299" s="235" t="s">
        <v>7474</v>
      </c>
      <c r="E299" s="235" t="s">
        <v>7642</v>
      </c>
      <c r="F299" s="235" t="s">
        <v>8476</v>
      </c>
      <c r="G299" s="235" t="str">
        <f t="shared" si="157"/>
        <v>Rapsodyn</v>
      </c>
      <c r="H299" s="235" t="s">
        <v>265</v>
      </c>
      <c r="I299" s="235">
        <v>2</v>
      </c>
      <c r="J299" s="235">
        <v>9030</v>
      </c>
      <c r="K299" s="235">
        <v>55</v>
      </c>
      <c r="L299" s="235">
        <f t="shared" si="149"/>
        <v>55</v>
      </c>
      <c r="M299" s="235">
        <v>7</v>
      </c>
      <c r="N299" s="235">
        <v>7</v>
      </c>
      <c r="O299" s="248">
        <v>42048</v>
      </c>
      <c r="P299">
        <v>4.2</v>
      </c>
      <c r="Q299" s="264">
        <v>42204</v>
      </c>
      <c r="R299"/>
      <c r="S299"/>
      <c r="T299"/>
      <c r="V299" s="219">
        <f t="shared" si="158"/>
        <v>12.215128211023909</v>
      </c>
      <c r="W299" s="219"/>
      <c r="X299">
        <v>15.55</v>
      </c>
      <c r="Y299"/>
      <c r="Z299"/>
      <c r="AA299"/>
      <c r="AB299" s="220">
        <f t="shared" si="159"/>
        <v>4.5690765952404373</v>
      </c>
      <c r="AC299" s="219"/>
      <c r="AD299" s="221">
        <f t="shared" si="160"/>
        <v>52843.581076743707</v>
      </c>
      <c r="AE299" s="219"/>
      <c r="AF299" s="220">
        <f t="shared" si="161"/>
        <v>25.470606078990471</v>
      </c>
      <c r="AG299" s="219"/>
      <c r="AH299" s="220">
        <f t="shared" si="162"/>
        <v>28.560894908040453</v>
      </c>
      <c r="AI299" s="219"/>
      <c r="AJ299">
        <v>4.82</v>
      </c>
      <c r="AK299" s="284" t="s">
        <v>8399</v>
      </c>
      <c r="AL299">
        <v>175</v>
      </c>
      <c r="AM299"/>
      <c r="AN299" s="241">
        <v>72</v>
      </c>
      <c r="AO299" s="242">
        <v>42076</v>
      </c>
      <c r="AP299" s="255">
        <v>106</v>
      </c>
      <c r="AQ299" s="242">
        <v>42110</v>
      </c>
      <c r="AR299" s="223">
        <v>141</v>
      </c>
      <c r="AS299" s="297">
        <f t="shared" si="163"/>
        <v>141</v>
      </c>
      <c r="AT299" s="290">
        <v>42145</v>
      </c>
      <c r="AU299" s="298"/>
      <c r="AV299"/>
      <c r="AW299"/>
      <c r="AX299"/>
      <c r="AY299"/>
      <c r="AZ299"/>
      <c r="BA299"/>
      <c r="BB299"/>
      <c r="BC299"/>
      <c r="BD299"/>
      <c r="BE299"/>
      <c r="BF299" s="277">
        <v>-3.370337963104248</v>
      </c>
      <c r="BG299" s="283">
        <v>42234</v>
      </c>
      <c r="BH299"/>
      <c r="BI299"/>
      <c r="BJ299"/>
      <c r="BK299"/>
      <c r="BL299" s="277">
        <v>61.954837799072266</v>
      </c>
      <c r="BM299" s="283">
        <v>42234</v>
      </c>
      <c r="BN299"/>
      <c r="BO299"/>
      <c r="BP299" s="277">
        <v>3.1316919326782227</v>
      </c>
      <c r="BQ299" s="283">
        <v>42234</v>
      </c>
      <c r="BR299" s="277">
        <v>47.957744598388672</v>
      </c>
      <c r="BS299" s="283">
        <v>42234</v>
      </c>
      <c r="BT299" s="277">
        <v>17.938625335693359</v>
      </c>
      <c r="BU299" s="283">
        <v>42234</v>
      </c>
      <c r="BV299" s="277">
        <v>49.60107421875</v>
      </c>
      <c r="BW299" s="283">
        <v>42234</v>
      </c>
      <c r="BX299" s="277">
        <v>5.514862060546875</v>
      </c>
      <c r="BY299" s="283">
        <v>42234</v>
      </c>
      <c r="BZ299"/>
      <c r="CB299" s="266">
        <v>2.2799999999999998</v>
      </c>
      <c r="CC299"/>
      <c r="CD299" s="277">
        <v>3.7735849056603805</v>
      </c>
      <c r="CE299" s="291" t="s">
        <v>8399</v>
      </c>
      <c r="CF299"/>
      <c r="CG299"/>
      <c r="CH299">
        <v>2</v>
      </c>
      <c r="CI299">
        <v>2</v>
      </c>
      <c r="CK299"/>
      <c r="CL299"/>
      <c r="CM299" s="259">
        <v>42161</v>
      </c>
      <c r="CN299" s="137" t="s">
        <v>8406</v>
      </c>
    </row>
    <row r="300" spans="1:93">
      <c r="A300" s="258">
        <v>495</v>
      </c>
      <c r="B300" s="235">
        <v>495</v>
      </c>
      <c r="C300" s="235" t="s">
        <v>7787</v>
      </c>
      <c r="D300" s="235" t="s">
        <v>7585</v>
      </c>
      <c r="E300" s="235" t="s">
        <v>7787</v>
      </c>
      <c r="F300" s="235" t="s">
        <v>8616</v>
      </c>
      <c r="G300" s="235" t="str">
        <f t="shared" si="157"/>
        <v>Rapsodyn</v>
      </c>
      <c r="H300" s="235" t="s">
        <v>265</v>
      </c>
      <c r="I300" s="235">
        <v>2</v>
      </c>
      <c r="J300" s="235">
        <v>9158</v>
      </c>
      <c r="K300" s="235">
        <v>57</v>
      </c>
      <c r="L300" s="235">
        <f t="shared" si="149"/>
        <v>57</v>
      </c>
      <c r="M300" s="235">
        <v>7</v>
      </c>
      <c r="N300" s="235">
        <v>5</v>
      </c>
      <c r="O300" s="248">
        <v>42048</v>
      </c>
      <c r="P300">
        <v>5.35</v>
      </c>
      <c r="Q300" s="264">
        <v>42204</v>
      </c>
      <c r="R300"/>
      <c r="S300"/>
      <c r="T300"/>
      <c r="V300" s="219">
        <f t="shared" si="158"/>
        <v>15.864668718046321</v>
      </c>
      <c r="W300" s="219"/>
      <c r="X300">
        <v>15.55</v>
      </c>
      <c r="Y300"/>
      <c r="Z300"/>
      <c r="AA300"/>
      <c r="AB300" s="220">
        <f t="shared" si="159"/>
        <v>4.7857668938354063</v>
      </c>
      <c r="AC300" s="219"/>
      <c r="AD300" s="221">
        <f t="shared" si="160"/>
        <v>59495.950783312648</v>
      </c>
      <c r="AE300" s="219"/>
      <c r="AF300" s="220">
        <f t="shared" si="161"/>
        <v>30.759406554972639</v>
      </c>
      <c r="AG300" s="219"/>
      <c r="AH300" s="220">
        <f t="shared" si="162"/>
        <v>34.491373127352141</v>
      </c>
      <c r="AI300" s="219"/>
      <c r="AJ300">
        <v>5.17</v>
      </c>
      <c r="AK300" s="284" t="s">
        <v>8401</v>
      </c>
      <c r="AL300">
        <v>160</v>
      </c>
      <c r="AM300"/>
      <c r="AN300" s="241">
        <v>70</v>
      </c>
      <c r="AO300" s="242">
        <v>42074</v>
      </c>
      <c r="AP300" s="255">
        <v>104</v>
      </c>
      <c r="AQ300" s="242">
        <v>42108</v>
      </c>
      <c r="AR300" s="223">
        <v>127</v>
      </c>
      <c r="AS300" s="297">
        <f t="shared" si="163"/>
        <v>127</v>
      </c>
      <c r="AT300" s="290">
        <v>42131</v>
      </c>
      <c r="AU300" s="298"/>
      <c r="AV300"/>
      <c r="AW300"/>
      <c r="AX300"/>
      <c r="AY300"/>
      <c r="AZ300"/>
      <c r="BA300"/>
      <c r="BB300"/>
      <c r="BC300"/>
      <c r="BD300"/>
      <c r="BE300"/>
      <c r="BF300" s="277">
        <v>-1.5733469724655151</v>
      </c>
      <c r="BG300" s="283">
        <v>42233</v>
      </c>
      <c r="BH300"/>
      <c r="BI300"/>
      <c r="BJ300"/>
      <c r="BK300"/>
      <c r="BL300" s="277">
        <v>64.977516174316406</v>
      </c>
      <c r="BM300" s="283">
        <v>42233</v>
      </c>
      <c r="BN300"/>
      <c r="BO300"/>
      <c r="BP300" s="277">
        <v>3.8769659996032715</v>
      </c>
      <c r="BQ300" s="283">
        <v>42233</v>
      </c>
      <c r="BR300" s="277">
        <v>51.576641082763672</v>
      </c>
      <c r="BS300" s="283">
        <v>42233</v>
      </c>
      <c r="BT300" s="277">
        <v>15.558710098266602</v>
      </c>
      <c r="BU300" s="283">
        <v>42233</v>
      </c>
      <c r="BV300" s="277">
        <v>14.330546379089355</v>
      </c>
      <c r="BW300" s="283">
        <v>42233</v>
      </c>
      <c r="BX300" s="277">
        <v>5.104705810546875</v>
      </c>
      <c r="BY300" s="283">
        <v>42233</v>
      </c>
      <c r="BZ300"/>
      <c r="CB300" s="266">
        <v>2.25</v>
      </c>
      <c r="CC300"/>
      <c r="CD300" s="277">
        <v>8.7719298245614024</v>
      </c>
      <c r="CE300" s="291" t="s">
        <v>8401</v>
      </c>
      <c r="CF300"/>
      <c r="CG300"/>
      <c r="CH300">
        <v>2</v>
      </c>
      <c r="CI300">
        <v>2</v>
      </c>
      <c r="CK300"/>
      <c r="CL300"/>
      <c r="CM300" s="259">
        <v>42161</v>
      </c>
      <c r="CN300" s="137" t="s">
        <v>8406</v>
      </c>
    </row>
    <row r="301" spans="1:93">
      <c r="A301" s="258">
        <v>498</v>
      </c>
      <c r="B301" s="235">
        <v>498</v>
      </c>
      <c r="C301" s="235" t="s">
        <v>7711</v>
      </c>
      <c r="D301" s="235" t="s">
        <v>7536</v>
      </c>
      <c r="E301" s="235" t="s">
        <v>7711</v>
      </c>
      <c r="F301" s="235" t="s">
        <v>8517</v>
      </c>
      <c r="G301" s="235" t="str">
        <f t="shared" si="157"/>
        <v>Rapsodyn</v>
      </c>
      <c r="H301" s="235" t="s">
        <v>265</v>
      </c>
      <c r="I301" s="235">
        <v>2</v>
      </c>
      <c r="J301" s="235">
        <v>9093</v>
      </c>
      <c r="K301" s="235">
        <v>60</v>
      </c>
      <c r="L301" s="235">
        <f t="shared" si="149"/>
        <v>60</v>
      </c>
      <c r="M301" s="235">
        <v>7</v>
      </c>
      <c r="N301" s="235">
        <v>5</v>
      </c>
      <c r="O301" s="248">
        <v>42048</v>
      </c>
      <c r="P301" s="223">
        <v>3.75</v>
      </c>
      <c r="Q301" s="264">
        <v>42204</v>
      </c>
      <c r="R301" s="223"/>
      <c r="S301" s="223"/>
      <c r="T301" s="223"/>
      <c r="U301" s="225"/>
      <c r="V301" s="219">
        <f t="shared" si="158"/>
        <v>11.495918127566474</v>
      </c>
      <c r="W301" s="224"/>
      <c r="X301">
        <v>15.55</v>
      </c>
      <c r="Y301" s="223"/>
      <c r="Z301" s="223"/>
      <c r="AA301" s="223"/>
      <c r="AB301" s="220">
        <f t="shared" si="159"/>
        <v>3.6531499483986982</v>
      </c>
      <c r="AC301" s="224"/>
      <c r="AD301" s="221">
        <f t="shared" si="160"/>
        <v>58394.646899508371</v>
      </c>
      <c r="AE301" s="224"/>
      <c r="AF301" s="220">
        <f t="shared" si="161"/>
        <v>22.832306937707774</v>
      </c>
      <c r="AG301" s="224"/>
      <c r="AH301" s="220">
        <f t="shared" si="162"/>
        <v>25.60249712683088</v>
      </c>
      <c r="AI301" s="224"/>
      <c r="AJ301">
        <v>3.91</v>
      </c>
      <c r="AK301" s="290" t="s">
        <v>8398</v>
      </c>
      <c r="AL301" s="223">
        <v>165</v>
      </c>
      <c r="AM301" s="223"/>
      <c r="AN301" s="241">
        <v>75</v>
      </c>
      <c r="AO301" s="242">
        <v>42079</v>
      </c>
      <c r="AP301" s="255">
        <v>110</v>
      </c>
      <c r="AQ301" s="242">
        <v>42114</v>
      </c>
      <c r="AR301" s="223">
        <v>148</v>
      </c>
      <c r="AS301" s="297">
        <f t="shared" si="163"/>
        <v>148</v>
      </c>
      <c r="AT301" s="290">
        <v>42152</v>
      </c>
      <c r="AU301" s="298"/>
      <c r="AV301" s="223"/>
      <c r="AW301" s="223"/>
      <c r="AX301" s="223"/>
      <c r="AY301" s="223"/>
      <c r="AZ301" s="223"/>
      <c r="BA301" s="223"/>
      <c r="BB301" s="223"/>
      <c r="BC301" s="223"/>
      <c r="BD301" s="223"/>
      <c r="BE301" s="223"/>
      <c r="BF301" s="281">
        <v>-0.54198300838470459</v>
      </c>
      <c r="BG301" s="283">
        <v>42230</v>
      </c>
      <c r="BH301" s="223"/>
      <c r="BI301" s="223"/>
      <c r="BJ301" s="223"/>
      <c r="BK301" s="223"/>
      <c r="BL301" s="281">
        <v>65.361282348632813</v>
      </c>
      <c r="BM301" s="283">
        <v>42230</v>
      </c>
      <c r="BN301" s="223"/>
      <c r="BO301" s="223"/>
      <c r="BP301" s="281">
        <v>3.8887360095977783</v>
      </c>
      <c r="BQ301" s="283">
        <v>42230</v>
      </c>
      <c r="BR301" s="281">
        <v>50.349349975585937</v>
      </c>
      <c r="BS301" s="283">
        <v>42230</v>
      </c>
      <c r="BT301" s="281">
        <v>15.999916076660156</v>
      </c>
      <c r="BU301" s="283">
        <v>42230</v>
      </c>
      <c r="BV301" s="281">
        <v>7.993690013885498</v>
      </c>
      <c r="BW301" s="283">
        <v>42230</v>
      </c>
      <c r="BX301" s="281">
        <v>5.0880584716796875</v>
      </c>
      <c r="BY301" s="283">
        <v>42230</v>
      </c>
      <c r="BZ301" s="223"/>
      <c r="CA301" s="226"/>
      <c r="CB301" s="266">
        <v>2.04</v>
      </c>
      <c r="CC301" s="223"/>
      <c r="CD301" s="281">
        <v>3.3898305084745792</v>
      </c>
      <c r="CE301" s="291" t="s">
        <v>8398</v>
      </c>
      <c r="CF301" s="223"/>
      <c r="CG301" s="223"/>
      <c r="CH301" s="223">
        <v>1</v>
      </c>
      <c r="CI301" s="223">
        <v>6</v>
      </c>
      <c r="CK301" s="223"/>
      <c r="CL301" s="223">
        <v>3</v>
      </c>
      <c r="CM301" s="259">
        <v>42161</v>
      </c>
      <c r="CN301" s="137" t="s">
        <v>8406</v>
      </c>
    </row>
    <row r="302" spans="1:93">
      <c r="A302" s="258">
        <v>499</v>
      </c>
      <c r="B302" s="235">
        <v>499</v>
      </c>
      <c r="C302" s="235" t="s">
        <v>7698</v>
      </c>
      <c r="D302" s="235" t="s">
        <v>7524</v>
      </c>
      <c r="E302" s="235" t="s">
        <v>7698</v>
      </c>
      <c r="F302" s="235" t="s">
        <v>8463</v>
      </c>
      <c r="G302" s="235" t="str">
        <f t="shared" si="157"/>
        <v>Rapsodyn</v>
      </c>
      <c r="H302" s="235" t="s">
        <v>265</v>
      </c>
      <c r="I302" s="235">
        <v>2</v>
      </c>
      <c r="J302" s="235">
        <v>9080</v>
      </c>
      <c r="K302" s="235">
        <v>61</v>
      </c>
      <c r="L302" s="235">
        <f t="shared" si="149"/>
        <v>61</v>
      </c>
      <c r="M302" s="235">
        <v>7</v>
      </c>
      <c r="N302" s="235">
        <v>7</v>
      </c>
      <c r="O302" s="248">
        <v>42048</v>
      </c>
      <c r="P302">
        <v>4.8</v>
      </c>
      <c r="Q302" s="264">
        <v>42204</v>
      </c>
      <c r="R302"/>
      <c r="S302"/>
      <c r="T302"/>
      <c r="V302" s="219">
        <f t="shared" si="158"/>
        <v>14.742665624313439</v>
      </c>
      <c r="W302" s="219"/>
      <c r="X302">
        <v>15.55</v>
      </c>
      <c r="Y302"/>
      <c r="Z302"/>
      <c r="AA302"/>
      <c r="AB302" s="220">
        <f t="shared" si="159"/>
        <v>4.9291645122355305</v>
      </c>
      <c r="AC302" s="219"/>
      <c r="AD302" s="221">
        <f t="shared" si="160"/>
        <v>83263.113618991309</v>
      </c>
      <c r="AE302" s="219"/>
      <c r="AF302" s="220">
        <f t="shared" si="161"/>
        <v>29.225352880265948</v>
      </c>
      <c r="AG302" s="219"/>
      <c r="AH302" s="220">
        <f t="shared" si="162"/>
        <v>32.771196322343528</v>
      </c>
      <c r="AI302" s="219"/>
      <c r="AJ302">
        <v>3.51</v>
      </c>
      <c r="AK302" s="284" t="s">
        <v>8398</v>
      </c>
      <c r="AL302">
        <v>160</v>
      </c>
      <c r="AM302"/>
      <c r="AN302" s="241">
        <v>70</v>
      </c>
      <c r="AO302" s="242">
        <v>42074</v>
      </c>
      <c r="AP302" s="255">
        <v>113</v>
      </c>
      <c r="AQ302" s="242">
        <v>42117</v>
      </c>
      <c r="AR302" s="223">
        <v>143</v>
      </c>
      <c r="AS302" s="297">
        <f t="shared" si="163"/>
        <v>143</v>
      </c>
      <c r="AT302" s="290">
        <v>42147</v>
      </c>
      <c r="AU302" s="298"/>
      <c r="AV302"/>
      <c r="AW302"/>
      <c r="AX302"/>
      <c r="AY302"/>
      <c r="AZ302"/>
      <c r="BA302"/>
      <c r="BB302"/>
      <c r="BC302"/>
      <c r="BD302"/>
      <c r="BE302"/>
      <c r="BF302" s="277">
        <v>-3.8326020240783691</v>
      </c>
      <c r="BG302" s="283">
        <v>42230</v>
      </c>
      <c r="BH302"/>
      <c r="BI302"/>
      <c r="BJ302"/>
      <c r="BK302"/>
      <c r="BL302" s="277">
        <v>63.512378692626953</v>
      </c>
      <c r="BM302" s="283">
        <v>42230</v>
      </c>
      <c r="BN302"/>
      <c r="BO302"/>
      <c r="BP302" s="277">
        <v>3.6402950286865234</v>
      </c>
      <c r="BQ302" s="283">
        <v>42230</v>
      </c>
      <c r="BR302" s="277">
        <v>50.444782257080078</v>
      </c>
      <c r="BS302" s="283">
        <v>42230</v>
      </c>
      <c r="BT302" s="277">
        <v>16.866056442260742</v>
      </c>
      <c r="BU302" s="283">
        <v>42230</v>
      </c>
      <c r="BV302" s="277">
        <v>18.583702087402344</v>
      </c>
      <c r="BW302" s="283">
        <v>42230</v>
      </c>
      <c r="BX302" s="277">
        <v>5.5782699584960938</v>
      </c>
      <c r="BY302" s="283">
        <v>42230</v>
      </c>
      <c r="BZ302"/>
      <c r="CB302" s="266">
        <v>1.97</v>
      </c>
      <c r="CC302"/>
      <c r="CD302" s="277">
        <v>3.3898305084745792</v>
      </c>
      <c r="CE302" s="291" t="s">
        <v>8398</v>
      </c>
      <c r="CF302"/>
      <c r="CG302"/>
      <c r="CH302">
        <v>2</v>
      </c>
      <c r="CI302">
        <v>2</v>
      </c>
      <c r="CK302"/>
      <c r="CL302"/>
      <c r="CM302" s="259">
        <v>42161</v>
      </c>
      <c r="CN302" s="137" t="s">
        <v>8406</v>
      </c>
    </row>
    <row r="303" spans="1:93">
      <c r="A303" s="258">
        <v>501</v>
      </c>
      <c r="B303" s="235">
        <v>501</v>
      </c>
      <c r="C303" s="235" t="s">
        <v>8238</v>
      </c>
      <c r="D303" s="235" t="s">
        <v>7562</v>
      </c>
      <c r="E303" s="235" t="s">
        <v>8461</v>
      </c>
      <c r="F303" s="235" t="s">
        <v>8469</v>
      </c>
      <c r="G303" s="235" t="str">
        <f t="shared" si="157"/>
        <v>Rapsodyn</v>
      </c>
      <c r="H303" s="235" t="s">
        <v>265</v>
      </c>
      <c r="I303" s="235">
        <v>2</v>
      </c>
      <c r="J303" s="235">
        <v>9355</v>
      </c>
      <c r="K303" s="235">
        <v>63</v>
      </c>
      <c r="L303" s="235">
        <f t="shared" si="149"/>
        <v>63</v>
      </c>
      <c r="M303" s="235">
        <v>7</v>
      </c>
      <c r="N303" s="235">
        <v>7</v>
      </c>
      <c r="O303" s="248">
        <v>42048</v>
      </c>
      <c r="P303">
        <v>4.75</v>
      </c>
      <c r="Q303" s="264">
        <v>42204</v>
      </c>
      <c r="R303"/>
      <c r="S303"/>
      <c r="T303"/>
      <c r="V303" s="219">
        <f t="shared" si="158"/>
        <v>14.824241687247225</v>
      </c>
      <c r="W303" s="219"/>
      <c r="X303">
        <v>15.55</v>
      </c>
      <c r="Y303"/>
      <c r="Z303"/>
      <c r="AA303"/>
      <c r="AB303" s="220">
        <f t="shared" si="159"/>
        <v>4.6257600784301758</v>
      </c>
      <c r="AC303" s="219"/>
      <c r="AD303" s="221">
        <f t="shared" si="160"/>
        <v>63068.375948365843</v>
      </c>
      <c r="AE303" s="219"/>
      <c r="AF303" s="220">
        <f t="shared" si="161"/>
        <v>28.885316184351556</v>
      </c>
      <c r="AG303" s="219"/>
      <c r="AH303" s="220">
        <f t="shared" si="162"/>
        <v>32.389903772540436</v>
      </c>
      <c r="AI303" s="219"/>
      <c r="AJ303">
        <v>4.58</v>
      </c>
      <c r="AK303" s="284" t="s">
        <v>8401</v>
      </c>
      <c r="AL303">
        <v>155</v>
      </c>
      <c r="AM303"/>
      <c r="AN303" s="241">
        <v>72</v>
      </c>
      <c r="AO303" s="242">
        <v>42076</v>
      </c>
      <c r="AP303" s="255">
        <v>104</v>
      </c>
      <c r="AQ303" s="242">
        <v>42108</v>
      </c>
      <c r="AR303" s="223">
        <v>132</v>
      </c>
      <c r="AS303" s="297">
        <f t="shared" si="163"/>
        <v>132</v>
      </c>
      <c r="AT303" s="290">
        <v>42136</v>
      </c>
      <c r="AU303" s="298"/>
      <c r="AV303"/>
      <c r="AW303"/>
      <c r="AX303"/>
      <c r="AY303"/>
      <c r="AZ303"/>
      <c r="BA303"/>
      <c r="BB303"/>
      <c r="BC303"/>
      <c r="BD303"/>
      <c r="BE303"/>
      <c r="BF303" s="277">
        <v>3.7495079040527344</v>
      </c>
      <c r="BG303" s="283">
        <v>42233</v>
      </c>
      <c r="BH303"/>
      <c r="BI303"/>
      <c r="BJ303"/>
      <c r="BK303"/>
      <c r="BL303" s="277">
        <v>63.483848571777344</v>
      </c>
      <c r="BM303" s="283">
        <v>42233</v>
      </c>
      <c r="BN303"/>
      <c r="BO303"/>
      <c r="BP303" s="277">
        <v>3.8167960643768311</v>
      </c>
      <c r="BQ303" s="283">
        <v>42233</v>
      </c>
      <c r="BR303" s="277">
        <v>51.321029663085938</v>
      </c>
      <c r="BS303" s="283">
        <v>42233</v>
      </c>
      <c r="BT303" s="277">
        <v>16.014226913452148</v>
      </c>
      <c r="BU303" s="283">
        <v>42233</v>
      </c>
      <c r="BV303" s="277">
        <v>14.781474113464355</v>
      </c>
      <c r="BW303" s="283">
        <v>42233</v>
      </c>
      <c r="BX303" s="277">
        <v>5.1606826782226563</v>
      </c>
      <c r="BY303" s="283">
        <v>42233</v>
      </c>
      <c r="BZ303"/>
      <c r="CB303" s="266">
        <v>1.56</v>
      </c>
      <c r="CC303"/>
      <c r="CD303" s="277">
        <v>3.5087719298245648</v>
      </c>
      <c r="CE303" s="291" t="s">
        <v>8401</v>
      </c>
      <c r="CF303"/>
      <c r="CG303"/>
      <c r="CH303">
        <v>2</v>
      </c>
      <c r="CI303">
        <v>2</v>
      </c>
      <c r="CK303"/>
      <c r="CL303"/>
      <c r="CM303" s="259">
        <v>42161</v>
      </c>
      <c r="CN303" s="137" t="s">
        <v>8406</v>
      </c>
    </row>
    <row r="304" spans="1:93">
      <c r="A304" s="258">
        <v>503</v>
      </c>
      <c r="B304" s="235">
        <v>503</v>
      </c>
      <c r="C304" s="235" t="s">
        <v>7691</v>
      </c>
      <c r="D304" s="235" t="s">
        <v>7517</v>
      </c>
      <c r="E304" s="235" t="s">
        <v>7691</v>
      </c>
      <c r="F304" s="235" t="s">
        <v>8459</v>
      </c>
      <c r="G304" s="235" t="str">
        <f t="shared" si="157"/>
        <v>Rapsodyn</v>
      </c>
      <c r="H304" s="235" t="s">
        <v>265</v>
      </c>
      <c r="I304" s="235">
        <v>2</v>
      </c>
      <c r="J304" s="235">
        <v>9073</v>
      </c>
      <c r="K304" s="235">
        <v>65</v>
      </c>
      <c r="L304" s="235">
        <f t="shared" si="149"/>
        <v>65</v>
      </c>
      <c r="M304" s="235">
        <v>7</v>
      </c>
      <c r="N304" s="235">
        <v>7</v>
      </c>
      <c r="O304" s="248">
        <v>42048</v>
      </c>
      <c r="P304">
        <v>4.45</v>
      </c>
      <c r="Q304" s="264">
        <v>42204</v>
      </c>
      <c r="R304"/>
      <c r="S304"/>
      <c r="T304"/>
      <c r="V304" s="219">
        <f t="shared" si="158"/>
        <v>14.04484816117472</v>
      </c>
      <c r="W304" s="219"/>
      <c r="X304">
        <v>15.55</v>
      </c>
      <c r="Y304"/>
      <c r="Z304"/>
      <c r="AA304"/>
      <c r="AB304" s="220">
        <f t="shared" si="159"/>
        <v>4.3473042069081096</v>
      </c>
      <c r="AC304" s="219"/>
      <c r="AD304" s="221">
        <f t="shared" si="160"/>
        <v>56838.969159739747</v>
      </c>
      <c r="AE304" s="219"/>
      <c r="AF304" s="220">
        <f t="shared" si="161"/>
        <v>26.486959628438722</v>
      </c>
      <c r="AG304" s="219"/>
      <c r="AH304" s="220">
        <f t="shared" si="162"/>
        <v>29.700560247184036</v>
      </c>
      <c r="AI304" s="219"/>
      <c r="AJ304">
        <v>4.66</v>
      </c>
      <c r="AK304" s="284" t="s">
        <v>8399</v>
      </c>
      <c r="AL304">
        <v>160</v>
      </c>
      <c r="AM304"/>
      <c r="AN304" s="241">
        <v>75</v>
      </c>
      <c r="AO304" s="242">
        <v>42079</v>
      </c>
      <c r="AP304" s="255">
        <v>106</v>
      </c>
      <c r="AQ304" s="242">
        <v>42110</v>
      </c>
      <c r="AR304" s="223">
        <v>132</v>
      </c>
      <c r="AS304" s="297">
        <f t="shared" si="163"/>
        <v>132</v>
      </c>
      <c r="AT304" s="290">
        <v>42136</v>
      </c>
      <c r="AU304" s="298"/>
      <c r="AV304"/>
      <c r="AW304"/>
      <c r="AX304"/>
      <c r="AY304"/>
      <c r="AZ304"/>
      <c r="BA304"/>
      <c r="BB304"/>
      <c r="BC304"/>
      <c r="BD304"/>
      <c r="BE304"/>
      <c r="BF304" s="277">
        <v>21.843284606933594</v>
      </c>
      <c r="BG304" s="283">
        <v>42233</v>
      </c>
      <c r="BH304"/>
      <c r="BI304"/>
      <c r="BJ304"/>
      <c r="BK304"/>
      <c r="BL304" s="277">
        <v>67.184249877929688</v>
      </c>
      <c r="BM304" s="283">
        <v>42233</v>
      </c>
      <c r="BN304"/>
      <c r="BO304"/>
      <c r="BP304" s="277">
        <v>3.4421029090881348</v>
      </c>
      <c r="BQ304" s="283">
        <v>42233</v>
      </c>
      <c r="BR304" s="277">
        <v>53.025520324707031</v>
      </c>
      <c r="BS304" s="283">
        <v>42233</v>
      </c>
      <c r="BT304" s="277">
        <v>16.412998199462891</v>
      </c>
      <c r="BU304" s="283">
        <v>42233</v>
      </c>
      <c r="BV304" s="277">
        <v>15.693611145019531</v>
      </c>
      <c r="BW304" s="283">
        <v>42233</v>
      </c>
      <c r="BX304" s="277">
        <v>5.0351638793945312</v>
      </c>
      <c r="BY304" s="283">
        <v>42233</v>
      </c>
      <c r="BZ304"/>
      <c r="CB304" s="266">
        <v>2.66</v>
      </c>
      <c r="CC304"/>
      <c r="CD304" s="277">
        <v>5.5555555555555687</v>
      </c>
      <c r="CE304" s="291" t="s">
        <v>8399</v>
      </c>
      <c r="CF304"/>
      <c r="CG304"/>
      <c r="CH304">
        <v>2</v>
      </c>
      <c r="CI304">
        <v>2</v>
      </c>
      <c r="CK304"/>
      <c r="CL304"/>
      <c r="CM304" s="259">
        <v>42161</v>
      </c>
      <c r="CN304" s="137" t="s">
        <v>8406</v>
      </c>
    </row>
    <row r="305" spans="1:92">
      <c r="A305" s="258">
        <v>504</v>
      </c>
      <c r="B305" s="235">
        <v>504</v>
      </c>
      <c r="C305" s="235" t="s">
        <v>7770</v>
      </c>
      <c r="D305" s="235" t="s">
        <v>7568</v>
      </c>
      <c r="E305" s="235" t="s">
        <v>7770</v>
      </c>
      <c r="F305" s="235" t="s">
        <v>8492</v>
      </c>
      <c r="G305" s="235" t="str">
        <f t="shared" si="157"/>
        <v>Rapsodyn</v>
      </c>
      <c r="H305" s="235" t="s">
        <v>265</v>
      </c>
      <c r="I305" s="235">
        <v>2</v>
      </c>
      <c r="J305" s="235">
        <v>9141</v>
      </c>
      <c r="K305" s="235">
        <v>66</v>
      </c>
      <c r="L305" s="235">
        <f t="shared" si="149"/>
        <v>66</v>
      </c>
      <c r="M305" s="235">
        <v>7</v>
      </c>
      <c r="N305" s="235">
        <v>7</v>
      </c>
      <c r="O305" s="248">
        <v>42048</v>
      </c>
      <c r="P305">
        <v>5.3</v>
      </c>
      <c r="Q305" s="264">
        <v>42204</v>
      </c>
      <c r="R305"/>
      <c r="S305"/>
      <c r="T305"/>
      <c r="V305" s="219">
        <f t="shared" si="158"/>
        <v>16.776346820804477</v>
      </c>
      <c r="W305" s="219"/>
      <c r="X305">
        <v>15.55</v>
      </c>
      <c r="Y305"/>
      <c r="Z305"/>
      <c r="AA305"/>
      <c r="AB305" s="220">
        <f t="shared" si="159"/>
        <v>4.593648562524109</v>
      </c>
      <c r="AC305" s="219"/>
      <c r="AD305" s="221">
        <f t="shared" si="160"/>
        <v>63280.491173084643</v>
      </c>
      <c r="AE305" s="219"/>
      <c r="AF305" s="220">
        <f t="shared" si="161"/>
        <v>31.703526077715406</v>
      </c>
      <c r="AG305" s="219"/>
      <c r="AH305" s="220">
        <f t="shared" si="162"/>
        <v>35.550040454939897</v>
      </c>
      <c r="AI305" s="219"/>
      <c r="AJ305">
        <v>5.01</v>
      </c>
      <c r="AK305" s="284" t="s">
        <v>8399</v>
      </c>
      <c r="AL305">
        <v>170</v>
      </c>
      <c r="AM305"/>
      <c r="AN305" s="241">
        <v>65</v>
      </c>
      <c r="AO305" s="242">
        <v>42069</v>
      </c>
      <c r="AP305" s="255">
        <v>104</v>
      </c>
      <c r="AQ305" s="242">
        <v>42108</v>
      </c>
      <c r="AR305" s="223">
        <v>123</v>
      </c>
      <c r="AS305" s="297">
        <f t="shared" si="163"/>
        <v>123</v>
      </c>
      <c r="AT305" s="290">
        <v>42127</v>
      </c>
      <c r="AU305" s="298"/>
      <c r="AV305"/>
      <c r="AW305"/>
      <c r="AX305"/>
      <c r="AY305"/>
      <c r="AZ305"/>
      <c r="BA305"/>
      <c r="BB305"/>
      <c r="BC305"/>
      <c r="BD305"/>
      <c r="BE305"/>
      <c r="BF305" s="277">
        <v>-3.8675251007080078</v>
      </c>
      <c r="BG305" s="283">
        <v>42233</v>
      </c>
      <c r="BH305"/>
      <c r="BI305"/>
      <c r="BJ305"/>
      <c r="BK305"/>
      <c r="BL305" s="277">
        <v>66.633956909179688</v>
      </c>
      <c r="BM305" s="283">
        <v>42233</v>
      </c>
      <c r="BN305"/>
      <c r="BO305"/>
      <c r="BP305" s="277">
        <v>3.4825050830841064</v>
      </c>
      <c r="BQ305" s="283">
        <v>42233</v>
      </c>
      <c r="BR305" s="277">
        <v>52.916343688964844</v>
      </c>
      <c r="BS305" s="283">
        <v>42233</v>
      </c>
      <c r="BT305" s="277">
        <v>14.48939323425293</v>
      </c>
      <c r="BU305" s="283">
        <v>42233</v>
      </c>
      <c r="BV305" s="277">
        <v>12.380379676818848</v>
      </c>
      <c r="BW305" s="283">
        <v>42233</v>
      </c>
      <c r="BX305" s="277">
        <v>5.2373275756835938</v>
      </c>
      <c r="BY305" s="283">
        <v>42233</v>
      </c>
      <c r="BZ305"/>
      <c r="CB305" s="266">
        <v>2.7</v>
      </c>
      <c r="CC305"/>
      <c r="CD305" s="277">
        <v>5.0847457627118757</v>
      </c>
      <c r="CE305" s="291" t="s">
        <v>8399</v>
      </c>
      <c r="CF305"/>
      <c r="CG305"/>
      <c r="CH305">
        <v>2</v>
      </c>
      <c r="CI305">
        <v>2</v>
      </c>
      <c r="CK305"/>
      <c r="CL305">
        <v>2</v>
      </c>
      <c r="CM305" s="259">
        <v>42161</v>
      </c>
      <c r="CN305" s="137" t="s">
        <v>8406</v>
      </c>
    </row>
    <row r="306" spans="1:92">
      <c r="A306" s="258">
        <v>505</v>
      </c>
      <c r="B306" s="235">
        <v>505</v>
      </c>
      <c r="C306" s="235" t="s">
        <v>8238</v>
      </c>
      <c r="D306" s="235" t="s">
        <v>7562</v>
      </c>
      <c r="E306" s="235" t="s">
        <v>8461</v>
      </c>
      <c r="F306" s="235" t="s">
        <v>8469</v>
      </c>
      <c r="G306" s="235" t="str">
        <f t="shared" si="157"/>
        <v>Rapsodyn</v>
      </c>
      <c r="H306" s="235" t="s">
        <v>265</v>
      </c>
      <c r="I306" s="235">
        <v>2</v>
      </c>
      <c r="J306" s="235">
        <v>9360</v>
      </c>
      <c r="K306" s="235">
        <v>67</v>
      </c>
      <c r="L306" s="235">
        <f t="shared" si="149"/>
        <v>67</v>
      </c>
      <c r="M306" s="235">
        <v>7</v>
      </c>
      <c r="N306" s="235">
        <v>7</v>
      </c>
      <c r="O306" s="248">
        <v>42048</v>
      </c>
      <c r="P306">
        <v>4.7</v>
      </c>
      <c r="Q306" s="264">
        <v>42204</v>
      </c>
      <c r="R306"/>
      <c r="S306"/>
      <c r="T306"/>
      <c r="V306" s="219">
        <f t="shared" si="158"/>
        <v>14.336672997820322</v>
      </c>
      <c r="W306" s="219"/>
      <c r="X306">
        <v>15.55</v>
      </c>
      <c r="Y306"/>
      <c r="Z306"/>
      <c r="AA306"/>
      <c r="AB306" s="220">
        <f t="shared" si="159"/>
        <v>4.6998436255161007</v>
      </c>
      <c r="AC306" s="219"/>
      <c r="AD306" s="221">
        <f t="shared" si="160"/>
        <v>61998.395280946366</v>
      </c>
      <c r="AE306" s="219"/>
      <c r="AF306" s="220">
        <f t="shared" si="161"/>
        <v>28.581260224516274</v>
      </c>
      <c r="AG306" s="219"/>
      <c r="AH306" s="220">
        <f t="shared" si="162"/>
        <v>32.048957417040008</v>
      </c>
      <c r="AI306" s="219"/>
      <c r="AJ306">
        <v>4.6100000000000003</v>
      </c>
      <c r="AK306" s="284" t="s">
        <v>8399</v>
      </c>
      <c r="AL306">
        <v>155</v>
      </c>
      <c r="AM306"/>
      <c r="AN306" s="241">
        <v>75</v>
      </c>
      <c r="AO306" s="242">
        <v>42079</v>
      </c>
      <c r="AP306" s="255">
        <v>104</v>
      </c>
      <c r="AQ306" s="242">
        <v>42108</v>
      </c>
      <c r="AR306" s="223">
        <v>131</v>
      </c>
      <c r="AS306" s="297">
        <f t="shared" si="163"/>
        <v>131</v>
      </c>
      <c r="AT306" s="290">
        <v>42135</v>
      </c>
      <c r="AU306" s="298"/>
      <c r="AV306"/>
      <c r="AW306"/>
      <c r="AX306"/>
      <c r="AY306"/>
      <c r="AZ306"/>
      <c r="BA306"/>
      <c r="BB306"/>
      <c r="BC306"/>
      <c r="BD306"/>
      <c r="BE306"/>
      <c r="BF306" s="277">
        <v>0.5913199782371521</v>
      </c>
      <c r="BG306" s="283">
        <v>42233</v>
      </c>
      <c r="BH306"/>
      <c r="BI306"/>
      <c r="BJ306"/>
      <c r="BK306"/>
      <c r="BL306" s="277">
        <v>64.051651000976562</v>
      </c>
      <c r="BM306" s="283">
        <v>42233</v>
      </c>
      <c r="BN306"/>
      <c r="BO306"/>
      <c r="BP306" s="277">
        <v>3.163891077041626</v>
      </c>
      <c r="BQ306" s="283">
        <v>42233</v>
      </c>
      <c r="BR306" s="277">
        <v>50.161094665527344</v>
      </c>
      <c r="BS306" s="283">
        <v>42233</v>
      </c>
      <c r="BT306" s="277">
        <v>16.443794250488281</v>
      </c>
      <c r="BU306" s="283">
        <v>42233</v>
      </c>
      <c r="BV306" s="277">
        <v>14.867670059204102</v>
      </c>
      <c r="BW306" s="283">
        <v>42233</v>
      </c>
      <c r="BX306" s="277">
        <v>5.0964889526367187</v>
      </c>
      <c r="BY306" s="283">
        <v>42233</v>
      </c>
      <c r="BZ306"/>
      <c r="CB306" s="266">
        <v>1.5</v>
      </c>
      <c r="CC306"/>
      <c r="CD306" s="277">
        <v>3.5087719298245648</v>
      </c>
      <c r="CE306" s="291" t="s">
        <v>8399</v>
      </c>
      <c r="CF306"/>
      <c r="CG306"/>
      <c r="CH306">
        <v>2</v>
      </c>
      <c r="CI306">
        <v>3</v>
      </c>
      <c r="CK306"/>
      <c r="CL306"/>
      <c r="CM306" s="259">
        <v>42161</v>
      </c>
      <c r="CN306" s="137" t="s">
        <v>8406</v>
      </c>
    </row>
    <row r="307" spans="1:92">
      <c r="A307" s="258">
        <v>506</v>
      </c>
      <c r="B307" s="235">
        <v>506</v>
      </c>
      <c r="C307" s="235" t="s">
        <v>7793</v>
      </c>
      <c r="D307" s="235" t="s">
        <v>7591</v>
      </c>
      <c r="E307" s="235" t="s">
        <v>7793</v>
      </c>
      <c r="F307" s="235" t="s">
        <v>8450</v>
      </c>
      <c r="G307" s="235" t="str">
        <f t="shared" si="157"/>
        <v>Rapsodyn</v>
      </c>
      <c r="H307" s="235" t="s">
        <v>265</v>
      </c>
      <c r="I307" s="235">
        <v>2</v>
      </c>
      <c r="J307" s="235">
        <v>9164</v>
      </c>
      <c r="K307" s="235">
        <v>68</v>
      </c>
      <c r="L307" s="235">
        <f t="shared" si="149"/>
        <v>68</v>
      </c>
      <c r="M307" s="235">
        <v>7</v>
      </c>
      <c r="N307" s="235">
        <v>5</v>
      </c>
      <c r="O307" s="248">
        <v>42048</v>
      </c>
      <c r="P307">
        <v>5.15</v>
      </c>
      <c r="Q307" s="264">
        <v>42204</v>
      </c>
      <c r="R307"/>
      <c r="S307"/>
      <c r="T307"/>
      <c r="V307" s="219">
        <f t="shared" si="158"/>
        <v>16.085095795205174</v>
      </c>
      <c r="W307" s="219"/>
      <c r="X307">
        <v>15.55</v>
      </c>
      <c r="Y307"/>
      <c r="Z307"/>
      <c r="AA307"/>
      <c r="AB307" s="220">
        <f t="shared" si="159"/>
        <v>4.5996840058415662</v>
      </c>
      <c r="AC307" s="219"/>
      <c r="AD307" s="221">
        <f t="shared" si="160"/>
        <v>66308.109433756632</v>
      </c>
      <c r="AE307" s="219"/>
      <c r="AF307" s="220">
        <f t="shared" si="161"/>
        <v>31.297427652733127</v>
      </c>
      <c r="AG307" s="219"/>
      <c r="AH307" s="220">
        <f t="shared" si="162"/>
        <v>35.094671061598035</v>
      </c>
      <c r="AI307" s="219"/>
      <c r="AJ307">
        <v>4.72</v>
      </c>
      <c r="AK307" s="284" t="s">
        <v>8399</v>
      </c>
      <c r="AL307">
        <v>155</v>
      </c>
      <c r="AM307"/>
      <c r="AN307" s="241">
        <v>65</v>
      </c>
      <c r="AO307" s="242">
        <v>42069</v>
      </c>
      <c r="AP307" s="255">
        <v>104</v>
      </c>
      <c r="AQ307" s="242">
        <v>42108</v>
      </c>
      <c r="AR307" s="223">
        <v>131</v>
      </c>
      <c r="AS307" s="297">
        <f t="shared" si="163"/>
        <v>131</v>
      </c>
      <c r="AT307" s="290">
        <v>42135</v>
      </c>
      <c r="AU307" s="298"/>
      <c r="AV307"/>
      <c r="AW307"/>
      <c r="AX307"/>
      <c r="AY307"/>
      <c r="AZ307"/>
      <c r="BA307"/>
      <c r="BB307"/>
      <c r="BC307"/>
      <c r="BD307"/>
      <c r="BE307"/>
      <c r="BF307" s="277">
        <v>-3.948232889175415</v>
      </c>
      <c r="BG307" s="283">
        <v>42233</v>
      </c>
      <c r="BH307"/>
      <c r="BI307"/>
      <c r="BJ307"/>
      <c r="BK307"/>
      <c r="BL307" s="277">
        <v>66.034896850585937</v>
      </c>
      <c r="BM307" s="283">
        <v>42233</v>
      </c>
      <c r="BN307"/>
      <c r="BO307"/>
      <c r="BP307" s="277">
        <v>2.8519740104675293</v>
      </c>
      <c r="BQ307" s="283">
        <v>42233</v>
      </c>
      <c r="BR307" s="277">
        <v>51.394306182861328</v>
      </c>
      <c r="BS307" s="283">
        <v>42233</v>
      </c>
      <c r="BT307" s="277">
        <v>14.696683883666992</v>
      </c>
      <c r="BU307" s="283">
        <v>42233</v>
      </c>
      <c r="BV307" s="277">
        <v>10.074874877929687</v>
      </c>
      <c r="BW307" s="283">
        <v>42233</v>
      </c>
      <c r="BX307" s="277">
        <v>4.9686203002929687</v>
      </c>
      <c r="BY307" s="283">
        <v>42233</v>
      </c>
      <c r="BZ307"/>
      <c r="CB307" s="266">
        <v>2.35</v>
      </c>
      <c r="CC307"/>
      <c r="CD307" s="277">
        <v>3.5714285714285587</v>
      </c>
      <c r="CE307" s="291" t="s">
        <v>8399</v>
      </c>
      <c r="CF307"/>
      <c r="CG307"/>
      <c r="CH307">
        <v>2</v>
      </c>
      <c r="CI307">
        <v>2</v>
      </c>
      <c r="CK307"/>
      <c r="CL307"/>
      <c r="CM307" s="259">
        <v>42161</v>
      </c>
      <c r="CN307" s="137" t="s">
        <v>8406</v>
      </c>
    </row>
    <row r="308" spans="1:92">
      <c r="A308" s="258">
        <v>507</v>
      </c>
      <c r="B308" s="235">
        <v>507</v>
      </c>
      <c r="C308" s="235" t="s">
        <v>8300</v>
      </c>
      <c r="D308" s="235" t="s">
        <v>7533</v>
      </c>
      <c r="E308" s="235" t="s">
        <v>8461</v>
      </c>
      <c r="F308" s="235" t="s">
        <v>8460</v>
      </c>
      <c r="G308" s="235" t="str">
        <f t="shared" si="157"/>
        <v>Rapsodyn</v>
      </c>
      <c r="H308" s="235" t="s">
        <v>265</v>
      </c>
      <c r="I308" s="235">
        <v>2</v>
      </c>
      <c r="J308" s="235">
        <v>9356</v>
      </c>
      <c r="K308" s="235">
        <v>69</v>
      </c>
      <c r="L308" s="235">
        <f t="shared" si="149"/>
        <v>69</v>
      </c>
      <c r="M308" s="235">
        <v>7</v>
      </c>
      <c r="N308" s="235">
        <v>7</v>
      </c>
      <c r="O308" s="248">
        <v>42048</v>
      </c>
      <c r="P308">
        <v>5.05</v>
      </c>
      <c r="Q308" s="264">
        <v>42204</v>
      </c>
      <c r="R308"/>
      <c r="S308"/>
      <c r="T308"/>
      <c r="V308" s="219">
        <f t="shared" si="158"/>
        <v>15.61846666614953</v>
      </c>
      <c r="W308" s="219"/>
      <c r="X308">
        <v>15.55</v>
      </c>
      <c r="Y308"/>
      <c r="Z308"/>
      <c r="AA308"/>
      <c r="AB308" s="220">
        <f t="shared" si="159"/>
        <v>4.87554652546737</v>
      </c>
      <c r="AC308" s="219"/>
      <c r="AD308" s="221">
        <f t="shared" si="160"/>
        <v>69764.611395905173</v>
      </c>
      <c r="AE308" s="219"/>
      <c r="AF308" s="220">
        <f t="shared" si="161"/>
        <v>30.208076734426943</v>
      </c>
      <c r="AG308" s="219"/>
      <c r="AH308" s="220">
        <f t="shared" si="162"/>
        <v>33.873151754235188</v>
      </c>
      <c r="AI308" s="219"/>
      <c r="AJ308">
        <v>4.33</v>
      </c>
      <c r="AK308" s="284" t="s">
        <v>8403</v>
      </c>
      <c r="AL308">
        <v>140</v>
      </c>
      <c r="AM308"/>
      <c r="AN308" s="241">
        <v>70</v>
      </c>
      <c r="AO308" s="242">
        <v>42074</v>
      </c>
      <c r="AP308" s="255">
        <v>104</v>
      </c>
      <c r="AQ308" s="242">
        <v>42108</v>
      </c>
      <c r="AR308" s="223">
        <v>125</v>
      </c>
      <c r="AS308" s="297">
        <f t="shared" si="163"/>
        <v>125</v>
      </c>
      <c r="AT308" s="290">
        <v>42129</v>
      </c>
      <c r="AU308" s="298"/>
      <c r="AV308"/>
      <c r="AW308"/>
      <c r="AX308"/>
      <c r="AY308"/>
      <c r="AZ308"/>
      <c r="BA308"/>
      <c r="BB308"/>
      <c r="BC308"/>
      <c r="BD308"/>
      <c r="BE308"/>
      <c r="BF308" s="277">
        <v>-5.7019920349121094</v>
      </c>
      <c r="BG308" s="283">
        <v>42233</v>
      </c>
      <c r="BH308"/>
      <c r="BI308"/>
      <c r="BJ308"/>
      <c r="BK308"/>
      <c r="BL308" s="277">
        <v>66.170486450195313</v>
      </c>
      <c r="BM308" s="283">
        <v>42233</v>
      </c>
      <c r="BN308"/>
      <c r="BO308"/>
      <c r="BP308" s="277">
        <v>3.7042338848114014</v>
      </c>
      <c r="BQ308" s="283">
        <v>42233</v>
      </c>
      <c r="BR308" s="277">
        <v>51.702949523925781</v>
      </c>
      <c r="BS308" s="283">
        <v>42233</v>
      </c>
      <c r="BT308" s="277">
        <v>16.139877319335938</v>
      </c>
      <c r="BU308" s="283">
        <v>42233</v>
      </c>
      <c r="BV308" s="277">
        <v>12.457359313964844</v>
      </c>
      <c r="BW308" s="283">
        <v>42233</v>
      </c>
      <c r="BX308" s="277">
        <v>5.263671875</v>
      </c>
      <c r="BY308" s="283">
        <v>42233</v>
      </c>
      <c r="BZ308"/>
      <c r="CB308" s="266">
        <v>1.6</v>
      </c>
      <c r="CC308"/>
      <c r="CD308" s="277">
        <v>5.0847457627118757</v>
      </c>
      <c r="CE308" s="291" t="s">
        <v>8403</v>
      </c>
      <c r="CF308"/>
      <c r="CG308"/>
      <c r="CH308">
        <v>2</v>
      </c>
      <c r="CI308">
        <v>2</v>
      </c>
      <c r="CK308"/>
      <c r="CL308"/>
      <c r="CM308" s="259">
        <v>42161</v>
      </c>
      <c r="CN308" s="137" t="s">
        <v>8406</v>
      </c>
    </row>
    <row r="309" spans="1:92">
      <c r="A309" s="258">
        <v>509</v>
      </c>
      <c r="B309" s="235">
        <v>509</v>
      </c>
      <c r="C309" s="235" t="s">
        <v>7576</v>
      </c>
      <c r="D309" s="235"/>
      <c r="E309" s="235"/>
      <c r="F309" s="235"/>
      <c r="G309" s="235"/>
      <c r="H309" s="235" t="s">
        <v>265</v>
      </c>
      <c r="I309" s="235">
        <v>2</v>
      </c>
      <c r="K309" s="235">
        <v>71</v>
      </c>
      <c r="L309" s="235">
        <f t="shared" si="149"/>
        <v>71</v>
      </c>
      <c r="M309" s="235">
        <v>7</v>
      </c>
      <c r="O309" s="248">
        <v>42048</v>
      </c>
      <c r="P309"/>
      <c r="Q309" s="219"/>
      <c r="R309"/>
      <c r="S309"/>
      <c r="T309"/>
      <c r="V309" s="219"/>
      <c r="W309" s="219"/>
      <c r="X309">
        <v>15.55</v>
      </c>
      <c r="Y309"/>
      <c r="Z309"/>
      <c r="AA309"/>
      <c r="AB309" s="220"/>
      <c r="AC309" s="219"/>
      <c r="AD309" s="221"/>
      <c r="AE309" s="219"/>
      <c r="AF309" s="220"/>
      <c r="AG309" s="219"/>
      <c r="AH309" s="220"/>
      <c r="AI309" s="219"/>
      <c r="AJ309" s="286"/>
      <c r="AK309" s="284"/>
      <c r="AL309"/>
      <c r="AM309"/>
      <c r="AN309" s="241">
        <v>70</v>
      </c>
      <c r="AO309" s="242">
        <v>42074</v>
      </c>
      <c r="AP309" s="255">
        <v>104</v>
      </c>
      <c r="AQ309" s="242">
        <v>42108</v>
      </c>
      <c r="AR309"/>
      <c r="AS309" s="297"/>
      <c r="AT309" s="290"/>
      <c r="AU309" s="298"/>
      <c r="AV309"/>
      <c r="AW309"/>
      <c r="AX309"/>
      <c r="AY309"/>
      <c r="AZ309"/>
      <c r="BA309"/>
      <c r="BB309"/>
      <c r="BC309"/>
      <c r="BD309"/>
      <c r="BE309"/>
      <c r="BF309" s="277"/>
      <c r="BG309" s="235"/>
      <c r="BH309"/>
      <c r="BI309"/>
      <c r="BJ309"/>
      <c r="BK309"/>
      <c r="BL309" s="277"/>
      <c r="BM309" s="235"/>
      <c r="BN309"/>
      <c r="BO309"/>
      <c r="BP309" s="277"/>
      <c r="BQ309" s="235"/>
      <c r="BR309" s="277"/>
      <c r="BS309" s="235"/>
      <c r="BT309" s="277"/>
      <c r="BU309" s="235"/>
      <c r="BV309" s="277"/>
      <c r="BW309" s="235"/>
      <c r="BX309" s="277"/>
      <c r="BY309" s="235"/>
      <c r="BZ309"/>
      <c r="CB309" s="266"/>
      <c r="CC309"/>
      <c r="CD309" s="277"/>
      <c r="CE309" s="291"/>
      <c r="CF309"/>
      <c r="CG309"/>
      <c r="CH309"/>
      <c r="CI309"/>
      <c r="CK309"/>
      <c r="CL309"/>
      <c r="CM309" s="259">
        <v>42161</v>
      </c>
    </row>
    <row r="310" spans="1:92">
      <c r="A310" s="258">
        <v>510</v>
      </c>
      <c r="B310" s="235">
        <v>510</v>
      </c>
      <c r="C310" s="235" t="s">
        <v>7576</v>
      </c>
      <c r="D310" s="235"/>
      <c r="E310" s="235"/>
      <c r="F310" s="235"/>
      <c r="G310" s="235"/>
      <c r="H310" s="235" t="s">
        <v>265</v>
      </c>
      <c r="I310" s="235">
        <v>2</v>
      </c>
      <c r="K310" s="235">
        <v>72</v>
      </c>
      <c r="L310" s="235">
        <f t="shared" si="149"/>
        <v>72</v>
      </c>
      <c r="M310" s="235">
        <v>7</v>
      </c>
      <c r="O310" s="248">
        <v>42048</v>
      </c>
      <c r="P310" s="223"/>
      <c r="Q310" s="224"/>
      <c r="R310" s="223"/>
      <c r="S310" s="223"/>
      <c r="T310" s="223"/>
      <c r="U310" s="225"/>
      <c r="V310" s="219"/>
      <c r="W310" s="224"/>
      <c r="X310">
        <v>15.55</v>
      </c>
      <c r="Y310" s="223"/>
      <c r="Z310" s="223"/>
      <c r="AA310" s="223"/>
      <c r="AB310" s="220"/>
      <c r="AC310" s="224"/>
      <c r="AD310" s="221"/>
      <c r="AE310" s="224"/>
      <c r="AF310" s="220"/>
      <c r="AG310" s="224"/>
      <c r="AH310" s="220"/>
      <c r="AI310" s="224"/>
      <c r="AJ310" s="286"/>
      <c r="AK310" s="290"/>
      <c r="AL310" s="223"/>
      <c r="AM310" s="223"/>
      <c r="AN310" s="241">
        <v>70</v>
      </c>
      <c r="AO310" s="242">
        <v>42074</v>
      </c>
      <c r="AP310" s="255">
        <v>104</v>
      </c>
      <c r="AQ310" s="242">
        <v>42108</v>
      </c>
      <c r="AR310" s="223"/>
      <c r="AS310" s="297"/>
      <c r="AT310" s="290"/>
      <c r="AU310" s="298"/>
      <c r="AV310" s="223"/>
      <c r="AW310" s="223"/>
      <c r="AX310" s="223"/>
      <c r="AY310" s="223"/>
      <c r="AZ310" s="223"/>
      <c r="BA310" s="223"/>
      <c r="BB310" s="223"/>
      <c r="BC310" s="223"/>
      <c r="BD310" s="223"/>
      <c r="BE310" s="223"/>
      <c r="BF310" s="281"/>
      <c r="BG310" s="235"/>
      <c r="BH310" s="223"/>
      <c r="BI310" s="223"/>
      <c r="BJ310" s="223"/>
      <c r="BK310" s="223"/>
      <c r="BL310" s="281"/>
      <c r="BM310" s="235"/>
      <c r="BN310" s="223"/>
      <c r="BO310" s="223"/>
      <c r="BP310" s="281"/>
      <c r="BQ310" s="235"/>
      <c r="BR310" s="281"/>
      <c r="BS310" s="235"/>
      <c r="BT310" s="281"/>
      <c r="BU310" s="235"/>
      <c r="BV310" s="281"/>
      <c r="BW310" s="235"/>
      <c r="BX310" s="281"/>
      <c r="BY310" s="235"/>
      <c r="BZ310" s="223"/>
      <c r="CA310" s="226"/>
      <c r="CB310" s="266"/>
      <c r="CC310" s="223"/>
      <c r="CD310" s="281"/>
      <c r="CE310" s="291"/>
      <c r="CF310" s="223"/>
      <c r="CG310" s="223"/>
      <c r="CH310" s="223"/>
      <c r="CI310" s="223"/>
      <c r="CK310" s="223"/>
      <c r="CL310" s="223"/>
      <c r="CM310" s="259">
        <v>42161</v>
      </c>
    </row>
    <row r="311" spans="1:92">
      <c r="A311" s="258">
        <v>511</v>
      </c>
      <c r="B311" s="235">
        <v>511</v>
      </c>
      <c r="C311" s="235" t="s">
        <v>7576</v>
      </c>
      <c r="D311" s="235"/>
      <c r="E311" s="235"/>
      <c r="F311" s="235"/>
      <c r="G311" s="235"/>
      <c r="H311" s="235" t="s">
        <v>265</v>
      </c>
      <c r="I311" s="235">
        <v>2</v>
      </c>
      <c r="K311" s="235">
        <v>73</v>
      </c>
      <c r="L311" s="235">
        <f t="shared" si="149"/>
        <v>73</v>
      </c>
      <c r="M311" s="235">
        <v>7</v>
      </c>
      <c r="O311" s="248">
        <v>42048</v>
      </c>
      <c r="P311"/>
      <c r="Q311" s="219"/>
      <c r="R311"/>
      <c r="S311"/>
      <c r="T311"/>
      <c r="V311" s="219"/>
      <c r="W311" s="219"/>
      <c r="X311">
        <v>15.55</v>
      </c>
      <c r="Y311"/>
      <c r="Z311"/>
      <c r="AA311"/>
      <c r="AB311" s="220"/>
      <c r="AC311" s="219"/>
      <c r="AD311" s="221"/>
      <c r="AE311" s="219"/>
      <c r="AF311" s="220"/>
      <c r="AG311" s="219"/>
      <c r="AH311" s="220"/>
      <c r="AI311" s="219"/>
      <c r="AJ311" s="286"/>
      <c r="AK311" s="284"/>
      <c r="AL311"/>
      <c r="AM311"/>
      <c r="AN311" s="241">
        <v>70</v>
      </c>
      <c r="AO311" s="242">
        <v>42074</v>
      </c>
      <c r="AP311" s="255">
        <v>104</v>
      </c>
      <c r="AQ311" s="242">
        <v>42108</v>
      </c>
      <c r="AR311"/>
      <c r="AS311" s="297"/>
      <c r="AT311" s="290"/>
      <c r="AU311" s="298"/>
      <c r="AV311"/>
      <c r="AW311"/>
      <c r="AX311"/>
      <c r="AY311"/>
      <c r="AZ311"/>
      <c r="BA311"/>
      <c r="BB311"/>
      <c r="BC311"/>
      <c r="BD311"/>
      <c r="BE311"/>
      <c r="BF311" s="277"/>
      <c r="BG311" s="235"/>
      <c r="BH311"/>
      <c r="BI311"/>
      <c r="BJ311"/>
      <c r="BK311"/>
      <c r="BL311" s="277"/>
      <c r="BM311" s="235"/>
      <c r="BN311"/>
      <c r="BO311"/>
      <c r="BP311" s="277"/>
      <c r="BQ311" s="235"/>
      <c r="BR311" s="277"/>
      <c r="BS311" s="235"/>
      <c r="BT311" s="277"/>
      <c r="BU311" s="235"/>
      <c r="BV311" s="277"/>
      <c r="BW311" s="235"/>
      <c r="BX311" s="277"/>
      <c r="BY311" s="235"/>
      <c r="BZ311"/>
      <c r="CB311" s="266"/>
      <c r="CC311"/>
      <c r="CD311" s="277"/>
      <c r="CE311" s="291"/>
      <c r="CF311"/>
      <c r="CG311"/>
      <c r="CH311"/>
      <c r="CI311"/>
      <c r="CK311"/>
      <c r="CL311"/>
      <c r="CM311" s="259">
        <v>42161</v>
      </c>
    </row>
    <row r="312" spans="1:92">
      <c r="A312" s="258">
        <v>512</v>
      </c>
      <c r="B312" s="235">
        <v>512</v>
      </c>
      <c r="C312" s="235" t="s">
        <v>7576</v>
      </c>
      <c r="D312" s="235"/>
      <c r="E312" s="235"/>
      <c r="F312" s="235"/>
      <c r="G312" s="235"/>
      <c r="H312" s="235" t="s">
        <v>265</v>
      </c>
      <c r="I312" s="235">
        <v>2</v>
      </c>
      <c r="K312" s="235">
        <v>73</v>
      </c>
      <c r="L312" s="235">
        <f t="shared" si="149"/>
        <v>73</v>
      </c>
      <c r="M312" s="235">
        <v>8</v>
      </c>
      <c r="O312" s="248">
        <v>42048</v>
      </c>
      <c r="P312"/>
      <c r="Q312" s="219"/>
      <c r="R312"/>
      <c r="S312"/>
      <c r="T312"/>
      <c r="V312" s="219"/>
      <c r="W312" s="219"/>
      <c r="X312">
        <v>15.55</v>
      </c>
      <c r="Y312"/>
      <c r="Z312"/>
      <c r="AA312"/>
      <c r="AB312" s="220"/>
      <c r="AC312" s="219"/>
      <c r="AD312" s="221"/>
      <c r="AE312" s="219"/>
      <c r="AF312" s="220"/>
      <c r="AG312" s="219"/>
      <c r="AH312" s="220"/>
      <c r="AI312" s="219"/>
      <c r="AJ312" s="286"/>
      <c r="AK312" s="284"/>
      <c r="AL312"/>
      <c r="AM312"/>
      <c r="AN312" s="241">
        <v>70</v>
      </c>
      <c r="AO312" s="242">
        <v>42074</v>
      </c>
      <c r="AP312" s="255">
        <v>104</v>
      </c>
      <c r="AQ312" s="242">
        <v>42108</v>
      </c>
      <c r="AR312"/>
      <c r="AS312" s="297"/>
      <c r="AT312" s="290"/>
      <c r="AU312" s="298"/>
      <c r="AV312"/>
      <c r="AW312"/>
      <c r="AX312"/>
      <c r="AY312"/>
      <c r="AZ312"/>
      <c r="BA312"/>
      <c r="BB312"/>
      <c r="BC312"/>
      <c r="BD312"/>
      <c r="BE312"/>
      <c r="BF312" s="277"/>
      <c r="BG312" s="235"/>
      <c r="BH312"/>
      <c r="BI312"/>
      <c r="BJ312"/>
      <c r="BK312"/>
      <c r="BL312" s="277"/>
      <c r="BM312" s="235"/>
      <c r="BN312"/>
      <c r="BO312"/>
      <c r="BP312" s="277"/>
      <c r="BQ312" s="235"/>
      <c r="BR312" s="277"/>
      <c r="BS312" s="235"/>
      <c r="BT312" s="277"/>
      <c r="BU312" s="235"/>
      <c r="BV312" s="277"/>
      <c r="BW312" s="235"/>
      <c r="BX312" s="277"/>
      <c r="BY312" s="235"/>
      <c r="BZ312"/>
      <c r="CB312" s="266"/>
      <c r="CC312"/>
      <c r="CD312" s="277"/>
      <c r="CE312" s="291"/>
      <c r="CF312"/>
      <c r="CG312"/>
      <c r="CH312"/>
      <c r="CI312"/>
      <c r="CK312"/>
      <c r="CL312"/>
      <c r="CM312" s="259">
        <v>42161</v>
      </c>
    </row>
    <row r="313" spans="1:92">
      <c r="A313" s="258">
        <v>513</v>
      </c>
      <c r="B313" s="235">
        <v>513</v>
      </c>
      <c r="C313" s="235" t="s">
        <v>7576</v>
      </c>
      <c r="D313" s="235"/>
      <c r="E313" s="235"/>
      <c r="F313" s="235"/>
      <c r="G313" s="235"/>
      <c r="H313" s="235" t="s">
        <v>265</v>
      </c>
      <c r="I313" s="235">
        <v>2</v>
      </c>
      <c r="K313" s="235">
        <v>72</v>
      </c>
      <c r="L313" s="235">
        <f t="shared" si="149"/>
        <v>72</v>
      </c>
      <c r="M313" s="235">
        <v>8</v>
      </c>
      <c r="O313" s="248">
        <v>42048</v>
      </c>
      <c r="P313"/>
      <c r="Q313" s="219"/>
      <c r="R313"/>
      <c r="S313"/>
      <c r="T313"/>
      <c r="V313" s="219"/>
      <c r="W313" s="219"/>
      <c r="X313">
        <v>15.55</v>
      </c>
      <c r="Y313"/>
      <c r="Z313"/>
      <c r="AA313"/>
      <c r="AB313" s="220"/>
      <c r="AC313" s="219"/>
      <c r="AD313" s="221"/>
      <c r="AE313" s="219"/>
      <c r="AF313" s="220"/>
      <c r="AG313" s="219"/>
      <c r="AH313" s="220"/>
      <c r="AI313" s="219"/>
      <c r="AJ313" s="286"/>
      <c r="AK313" s="284"/>
      <c r="AL313"/>
      <c r="AM313"/>
      <c r="AN313" s="241">
        <v>70</v>
      </c>
      <c r="AO313" s="242">
        <v>42074</v>
      </c>
      <c r="AP313" s="255">
        <v>104</v>
      </c>
      <c r="AQ313" s="242">
        <v>42108</v>
      </c>
      <c r="AR313"/>
      <c r="AS313" s="297"/>
      <c r="AT313" s="290"/>
      <c r="AU313" s="298"/>
      <c r="AV313"/>
      <c r="AW313"/>
      <c r="AX313"/>
      <c r="AY313"/>
      <c r="AZ313"/>
      <c r="BA313"/>
      <c r="BB313"/>
      <c r="BC313"/>
      <c r="BD313"/>
      <c r="BE313"/>
      <c r="BF313" s="277"/>
      <c r="BG313" s="235"/>
      <c r="BH313"/>
      <c r="BI313"/>
      <c r="BJ313"/>
      <c r="BK313"/>
      <c r="BL313" s="277"/>
      <c r="BM313" s="235"/>
      <c r="BN313"/>
      <c r="BO313"/>
      <c r="BP313" s="277"/>
      <c r="BQ313" s="235"/>
      <c r="BR313" s="277"/>
      <c r="BS313" s="235"/>
      <c r="BT313" s="277"/>
      <c r="BU313" s="235"/>
      <c r="BV313" s="277"/>
      <c r="BW313" s="235"/>
      <c r="BX313" s="277"/>
      <c r="BY313" s="235"/>
      <c r="BZ313"/>
      <c r="CB313" s="266"/>
      <c r="CC313"/>
      <c r="CD313" s="277"/>
      <c r="CE313" s="291"/>
      <c r="CF313"/>
      <c r="CG313"/>
      <c r="CH313"/>
      <c r="CI313"/>
      <c r="CK313"/>
      <c r="CL313"/>
      <c r="CM313" s="259">
        <v>42161</v>
      </c>
    </row>
    <row r="314" spans="1:92">
      <c r="A314" s="258">
        <v>514</v>
      </c>
      <c r="B314" s="235">
        <v>514</v>
      </c>
      <c r="C314" s="235" t="s">
        <v>7576</v>
      </c>
      <c r="D314" s="235"/>
      <c r="E314" s="235"/>
      <c r="F314" s="235"/>
      <c r="G314" s="235"/>
      <c r="H314" s="235" t="s">
        <v>265</v>
      </c>
      <c r="I314" s="235">
        <v>2</v>
      </c>
      <c r="K314" s="235">
        <v>71</v>
      </c>
      <c r="L314" s="235">
        <f t="shared" ref="L314:L349" si="164">K314</f>
        <v>71</v>
      </c>
      <c r="M314" s="235">
        <v>8</v>
      </c>
      <c r="O314" s="248">
        <v>42048</v>
      </c>
      <c r="P314" s="223"/>
      <c r="Q314" s="224"/>
      <c r="R314" s="223"/>
      <c r="S314" s="223"/>
      <c r="T314" s="223"/>
      <c r="U314" s="225"/>
      <c r="V314" s="219"/>
      <c r="W314" s="224"/>
      <c r="X314">
        <v>15.55</v>
      </c>
      <c r="Y314" s="223"/>
      <c r="Z314" s="223"/>
      <c r="AA314" s="223"/>
      <c r="AB314" s="220"/>
      <c r="AC314" s="224"/>
      <c r="AD314" s="221"/>
      <c r="AE314" s="224"/>
      <c r="AF314" s="220"/>
      <c r="AG314" s="224"/>
      <c r="AH314" s="220"/>
      <c r="AI314" s="224"/>
      <c r="AJ314" s="286"/>
      <c r="AK314" s="290"/>
      <c r="AL314" s="223"/>
      <c r="AM314" s="223"/>
      <c r="AN314" s="241">
        <v>70</v>
      </c>
      <c r="AO314" s="242">
        <v>42074</v>
      </c>
      <c r="AP314" s="255">
        <v>104</v>
      </c>
      <c r="AQ314" s="242">
        <v>42108</v>
      </c>
      <c r="AR314" s="223"/>
      <c r="AS314" s="297"/>
      <c r="AT314" s="290"/>
      <c r="AU314" s="298"/>
      <c r="AV314" s="223"/>
      <c r="AW314" s="223"/>
      <c r="AX314" s="223"/>
      <c r="AY314" s="223"/>
      <c r="AZ314" s="223"/>
      <c r="BA314" s="223"/>
      <c r="BB314" s="223"/>
      <c r="BC314" s="223"/>
      <c r="BD314" s="223"/>
      <c r="BE314" s="223"/>
      <c r="BF314" s="281"/>
      <c r="BG314" s="235"/>
      <c r="BH314" s="223"/>
      <c r="BI314" s="223"/>
      <c r="BJ314" s="223"/>
      <c r="BK314" s="223"/>
      <c r="BL314" s="281"/>
      <c r="BM314" s="235"/>
      <c r="BN314" s="223"/>
      <c r="BO314" s="223"/>
      <c r="BP314" s="281"/>
      <c r="BQ314" s="235"/>
      <c r="BR314" s="281"/>
      <c r="BS314" s="235"/>
      <c r="BT314" s="281"/>
      <c r="BU314" s="235"/>
      <c r="BV314" s="281"/>
      <c r="BW314" s="235"/>
      <c r="BX314" s="281"/>
      <c r="BY314" s="235"/>
      <c r="BZ314" s="223"/>
      <c r="CA314" s="226"/>
      <c r="CB314" s="266"/>
      <c r="CC314" s="223"/>
      <c r="CD314" s="281"/>
      <c r="CE314" s="291"/>
      <c r="CF314" s="223"/>
      <c r="CG314" s="223"/>
      <c r="CH314" s="223"/>
      <c r="CI314" s="223"/>
      <c r="CK314" s="223"/>
      <c r="CL314" s="223"/>
      <c r="CM314" s="259">
        <v>42161</v>
      </c>
    </row>
    <row r="315" spans="1:92">
      <c r="A315" s="258">
        <v>518</v>
      </c>
      <c r="B315" s="235">
        <v>518</v>
      </c>
      <c r="C315" s="235" t="s">
        <v>7609</v>
      </c>
      <c r="D315" s="235" t="s">
        <v>7448</v>
      </c>
      <c r="E315" s="235" t="s">
        <v>7609</v>
      </c>
      <c r="F315" s="235" t="s">
        <v>8513</v>
      </c>
      <c r="G315" s="235" t="str">
        <f t="shared" ref="G315:G324" si="165">IF(MID(C315,1,3)="BGA","Complement","Rapsodyn")</f>
        <v>Rapsodyn</v>
      </c>
      <c r="H315" s="235" t="s">
        <v>265</v>
      </c>
      <c r="I315" s="235">
        <v>2</v>
      </c>
      <c r="J315" s="235">
        <v>9004</v>
      </c>
      <c r="K315" s="235">
        <v>67</v>
      </c>
      <c r="L315" s="235">
        <f t="shared" si="164"/>
        <v>67</v>
      </c>
      <c r="M315" s="235">
        <v>8</v>
      </c>
      <c r="N315" s="235">
        <v>9</v>
      </c>
      <c r="O315" s="248">
        <v>42048</v>
      </c>
      <c r="P315">
        <v>2.35</v>
      </c>
      <c r="Q315" s="264">
        <v>42204</v>
      </c>
      <c r="R315"/>
      <c r="S315"/>
      <c r="T315"/>
      <c r="V315" s="219">
        <f t="shared" ref="V315:V324" si="166">+BR315*AF315/100</f>
        <v>6.9244137656956992</v>
      </c>
      <c r="W315" s="219"/>
      <c r="X315">
        <v>15.55</v>
      </c>
      <c r="Y315"/>
      <c r="Z315"/>
      <c r="AA315"/>
      <c r="AB315" s="220">
        <f t="shared" ref="AB315:AB324" si="167">+AF315*BT315/100</f>
        <v>2.7992525872233589</v>
      </c>
      <c r="AC315" s="219"/>
      <c r="AD315" s="221">
        <f t="shared" ref="AD315:AD324" si="168">+(AF315/AJ315)*10000</f>
        <v>28723.116862579722</v>
      </c>
      <c r="AE315" s="219"/>
      <c r="AF315" s="220">
        <f t="shared" ref="AF315:AF324" si="169">($P315/$X315)*(((100-$CD315)/100*(100-2)/100))*100</f>
        <v>14.016881028938904</v>
      </c>
      <c r="AG315" s="219"/>
      <c r="AH315" s="220">
        <f t="shared" ref="AH315:AH324" si="170">($P315/$X315)*(((100-$CD315)/(100-9)*(100-2)/(100-2))*100)</f>
        <v>15.717516291700948</v>
      </c>
      <c r="AI315" s="219"/>
      <c r="AJ315">
        <v>4.88</v>
      </c>
      <c r="AK315" s="284" t="s">
        <v>8399</v>
      </c>
      <c r="AL315">
        <v>170</v>
      </c>
      <c r="AM315"/>
      <c r="AN315" s="241">
        <v>70</v>
      </c>
      <c r="AO315" s="242">
        <v>42074</v>
      </c>
      <c r="AP315" s="255">
        <v>106</v>
      </c>
      <c r="AQ315" s="242">
        <v>42110</v>
      </c>
      <c r="AR315">
        <v>146</v>
      </c>
      <c r="AS315" s="297">
        <f t="shared" ref="AS315:AS324" si="171">IF(AR315=0,,AR315)</f>
        <v>146</v>
      </c>
      <c r="AT315" s="290">
        <v>42150</v>
      </c>
      <c r="AU315" s="298"/>
      <c r="AV315"/>
      <c r="AW315"/>
      <c r="AX315"/>
      <c r="AY315"/>
      <c r="AZ315"/>
      <c r="BA315"/>
      <c r="BB315"/>
      <c r="BC315"/>
      <c r="BD315"/>
      <c r="BE315"/>
      <c r="BF315" s="277">
        <v>41.221645355224609</v>
      </c>
      <c r="BG315" s="283">
        <v>42233</v>
      </c>
      <c r="BH315"/>
      <c r="BI315"/>
      <c r="BJ315"/>
      <c r="BK315"/>
      <c r="BL315" s="277">
        <v>60.886249542236328</v>
      </c>
      <c r="BM315" s="283">
        <v>42233</v>
      </c>
      <c r="BN315"/>
      <c r="BO315"/>
      <c r="BP315" s="277">
        <v>2.7450499534606934</v>
      </c>
      <c r="BQ315" s="283">
        <v>42233</v>
      </c>
      <c r="BR315" s="277">
        <v>49.400531768798828</v>
      </c>
      <c r="BS315" s="283">
        <v>42233</v>
      </c>
      <c r="BT315" s="277">
        <v>19.9705810546875</v>
      </c>
      <c r="BU315" s="283">
        <v>42233</v>
      </c>
      <c r="BV315" s="277">
        <v>72.322547912597656</v>
      </c>
      <c r="BW315" s="283">
        <v>42233</v>
      </c>
      <c r="BX315" s="277">
        <v>5.3564529418945313</v>
      </c>
      <c r="BY315" s="283">
        <v>42233</v>
      </c>
      <c r="BZ315"/>
      <c r="CB315" s="266">
        <v>1.7</v>
      </c>
      <c r="CC315"/>
      <c r="CD315" s="277">
        <v>5.3571428571428541</v>
      </c>
      <c r="CE315" s="291" t="s">
        <v>8399</v>
      </c>
      <c r="CF315"/>
      <c r="CG315"/>
      <c r="CH315">
        <v>3</v>
      </c>
      <c r="CI315">
        <v>2</v>
      </c>
      <c r="CK315"/>
      <c r="CL315"/>
      <c r="CM315" s="259">
        <v>42161</v>
      </c>
      <c r="CN315" s="137" t="s">
        <v>8406</v>
      </c>
    </row>
    <row r="316" spans="1:92">
      <c r="A316" s="258">
        <v>520</v>
      </c>
      <c r="B316" s="235">
        <v>520</v>
      </c>
      <c r="C316" s="235" t="s">
        <v>7767</v>
      </c>
      <c r="D316" s="235" t="s">
        <v>7843</v>
      </c>
      <c r="E316" s="235" t="s">
        <v>7767</v>
      </c>
      <c r="F316" s="235" t="s">
        <v>8624</v>
      </c>
      <c r="G316" s="235" t="str">
        <f t="shared" si="165"/>
        <v>Rapsodyn</v>
      </c>
      <c r="H316" s="235" t="s">
        <v>265</v>
      </c>
      <c r="I316" s="235">
        <v>2</v>
      </c>
      <c r="J316" s="235">
        <v>9138</v>
      </c>
      <c r="K316" s="235">
        <v>65</v>
      </c>
      <c r="L316" s="235">
        <f t="shared" si="164"/>
        <v>65</v>
      </c>
      <c r="M316" s="235">
        <v>8</v>
      </c>
      <c r="N316" s="235">
        <v>7</v>
      </c>
      <c r="O316" s="248">
        <v>42048</v>
      </c>
      <c r="P316">
        <v>4.55</v>
      </c>
      <c r="Q316" s="264">
        <v>42204</v>
      </c>
      <c r="R316"/>
      <c r="S316"/>
      <c r="T316"/>
      <c r="V316" s="219">
        <f t="shared" si="166"/>
        <v>13.207152737334736</v>
      </c>
      <c r="W316" s="219"/>
      <c r="X316">
        <v>15.55</v>
      </c>
      <c r="Y316"/>
      <c r="Z316"/>
      <c r="AA316"/>
      <c r="AB316" s="220">
        <f t="shared" si="167"/>
        <v>4.5374373940669921</v>
      </c>
      <c r="AC316" s="219"/>
      <c r="AD316" s="221">
        <f t="shared" si="168"/>
        <v>71189.774472582576</v>
      </c>
      <c r="AE316" s="219"/>
      <c r="AF316" s="220">
        <f t="shared" si="169"/>
        <v>27.05211429958138</v>
      </c>
      <c r="AG316" s="219"/>
      <c r="AH316" s="220">
        <f t="shared" si="170"/>
        <v>30.334283807559299</v>
      </c>
      <c r="AI316" s="219"/>
      <c r="AJ316">
        <v>3.8</v>
      </c>
      <c r="AK316" s="284" t="s">
        <v>8399</v>
      </c>
      <c r="AL316">
        <v>150</v>
      </c>
      <c r="AM316"/>
      <c r="AN316" s="241">
        <v>70</v>
      </c>
      <c r="AO316" s="242">
        <v>42074</v>
      </c>
      <c r="AP316" s="255">
        <v>100</v>
      </c>
      <c r="AQ316" s="242">
        <v>42104</v>
      </c>
      <c r="AR316">
        <v>130</v>
      </c>
      <c r="AS316" s="297">
        <f t="shared" si="171"/>
        <v>130</v>
      </c>
      <c r="AT316" s="290">
        <v>42134</v>
      </c>
      <c r="AU316" s="298"/>
      <c r="AV316"/>
      <c r="AW316"/>
      <c r="AX316"/>
      <c r="AY316"/>
      <c r="AZ316"/>
      <c r="BA316"/>
      <c r="BB316"/>
      <c r="BC316"/>
      <c r="BD316"/>
      <c r="BE316"/>
      <c r="BF316" s="277">
        <v>-1.2576500177383423</v>
      </c>
      <c r="BG316" s="283">
        <v>42233</v>
      </c>
      <c r="BH316"/>
      <c r="BI316"/>
      <c r="BJ316"/>
      <c r="BK316"/>
      <c r="BL316" s="277">
        <v>67.244125366210938</v>
      </c>
      <c r="BM316" s="283">
        <v>42233</v>
      </c>
      <c r="BN316"/>
      <c r="BO316"/>
      <c r="BP316" s="277">
        <v>2.113624095916748</v>
      </c>
      <c r="BQ316" s="283">
        <v>42233</v>
      </c>
      <c r="BR316" s="277">
        <v>48.821147918701172</v>
      </c>
      <c r="BS316" s="283">
        <v>42233</v>
      </c>
      <c r="BT316" s="277">
        <v>16.77294921875</v>
      </c>
      <c r="BU316" s="283">
        <v>42233</v>
      </c>
      <c r="BV316" s="277">
        <v>11.955496788024902</v>
      </c>
      <c r="BW316" s="283">
        <v>42233</v>
      </c>
      <c r="BX316" s="277">
        <v>5.3877182006835937</v>
      </c>
      <c r="BY316" s="283">
        <v>42233</v>
      </c>
      <c r="BZ316"/>
      <c r="CB316" s="266">
        <v>2.38</v>
      </c>
      <c r="CC316"/>
      <c r="CD316" s="277">
        <v>5.660377358490563</v>
      </c>
      <c r="CE316" s="291" t="s">
        <v>8399</v>
      </c>
      <c r="CF316"/>
      <c r="CG316"/>
      <c r="CH316">
        <v>2</v>
      </c>
      <c r="CI316">
        <v>2</v>
      </c>
      <c r="CK316"/>
      <c r="CL316"/>
      <c r="CM316" s="259">
        <v>42161</v>
      </c>
      <c r="CN316" s="137" t="s">
        <v>8406</v>
      </c>
    </row>
    <row r="317" spans="1:92">
      <c r="A317" s="258">
        <v>521</v>
      </c>
      <c r="B317" s="235">
        <v>521</v>
      </c>
      <c r="C317" s="235" t="s">
        <v>7778</v>
      </c>
      <c r="D317" s="235" t="s">
        <v>7576</v>
      </c>
      <c r="E317" s="235" t="s">
        <v>7778</v>
      </c>
      <c r="F317" s="235" t="s">
        <v>8447</v>
      </c>
      <c r="G317" s="235" t="str">
        <f t="shared" si="165"/>
        <v>Rapsodyn</v>
      </c>
      <c r="H317" s="235" t="s">
        <v>265</v>
      </c>
      <c r="I317" s="235">
        <v>2</v>
      </c>
      <c r="J317" s="235">
        <v>9149</v>
      </c>
      <c r="K317" s="235">
        <v>64</v>
      </c>
      <c r="L317" s="235">
        <f t="shared" si="164"/>
        <v>64</v>
      </c>
      <c r="M317" s="235">
        <v>8</v>
      </c>
      <c r="N317" s="236">
        <v>5</v>
      </c>
      <c r="O317" s="248">
        <v>42048</v>
      </c>
      <c r="P317" s="223">
        <v>5.4</v>
      </c>
      <c r="Q317" s="264">
        <v>42204</v>
      </c>
      <c r="R317" s="223"/>
      <c r="S317" s="223"/>
      <c r="T317" s="223"/>
      <c r="U317" s="225"/>
      <c r="V317" s="219">
        <f t="shared" si="166"/>
        <v>16.598591383762614</v>
      </c>
      <c r="W317" s="224"/>
      <c r="X317">
        <v>15.55</v>
      </c>
      <c r="Y317" s="223"/>
      <c r="Z317" s="223"/>
      <c r="AA317" s="223"/>
      <c r="AB317" s="220">
        <f t="shared" si="167"/>
        <v>4.8072531928639677</v>
      </c>
      <c r="AC317" s="224"/>
      <c r="AD317" s="221">
        <f t="shared" si="168"/>
        <v>64802.952802450513</v>
      </c>
      <c r="AE317" s="224"/>
      <c r="AF317" s="220">
        <f t="shared" si="169"/>
        <v>32.271870495620355</v>
      </c>
      <c r="AG317" s="224"/>
      <c r="AH317" s="220">
        <f t="shared" si="170"/>
        <v>36.187340766562421</v>
      </c>
      <c r="AI317" s="224"/>
      <c r="AJ317">
        <v>4.9800000000000004</v>
      </c>
      <c r="AK317" s="290" t="s">
        <v>8401</v>
      </c>
      <c r="AL317" s="223">
        <v>160</v>
      </c>
      <c r="AM317" s="223"/>
      <c r="AN317" s="241">
        <v>65</v>
      </c>
      <c r="AO317" s="242">
        <v>42069</v>
      </c>
      <c r="AP317" s="255">
        <v>104</v>
      </c>
      <c r="AQ317" s="242">
        <v>42108</v>
      </c>
      <c r="AR317" s="223">
        <v>127</v>
      </c>
      <c r="AS317" s="297">
        <f t="shared" si="171"/>
        <v>127</v>
      </c>
      <c r="AT317" s="290">
        <v>42131</v>
      </c>
      <c r="AU317" s="298"/>
      <c r="AV317" s="223"/>
      <c r="AW317" s="223"/>
      <c r="AX317" s="223"/>
      <c r="AY317" s="223"/>
      <c r="AZ317" s="223"/>
      <c r="BA317" s="223"/>
      <c r="BB317" s="223"/>
      <c r="BC317" s="223"/>
      <c r="BD317" s="223"/>
      <c r="BE317" s="223"/>
      <c r="BF317" s="281">
        <v>-0.17183099687099457</v>
      </c>
      <c r="BG317" s="283">
        <v>42233</v>
      </c>
      <c r="BH317" s="223"/>
      <c r="BI317" s="223"/>
      <c r="BJ317" s="223"/>
      <c r="BK317" s="223"/>
      <c r="BL317" s="281">
        <v>65.944801330566406</v>
      </c>
      <c r="BM317" s="283">
        <v>42233</v>
      </c>
      <c r="BN317" s="223"/>
      <c r="BO317" s="223"/>
      <c r="BP317" s="281">
        <v>3.2001039981842041</v>
      </c>
      <c r="BQ317" s="283">
        <v>42233</v>
      </c>
      <c r="BR317" s="281">
        <v>51.433620452880859</v>
      </c>
      <c r="BS317" s="283">
        <v>42233</v>
      </c>
      <c r="BT317" s="281">
        <v>14.896109580993652</v>
      </c>
      <c r="BU317" s="283">
        <v>42233</v>
      </c>
      <c r="BV317" s="281">
        <v>15.658161163330078</v>
      </c>
      <c r="BW317" s="283">
        <v>42233</v>
      </c>
      <c r="BX317" s="281">
        <v>5.3383255004882813</v>
      </c>
      <c r="BY317" s="283">
        <v>42233</v>
      </c>
      <c r="BZ317" s="223"/>
      <c r="CA317" s="226"/>
      <c r="CB317" s="266">
        <v>2.59</v>
      </c>
      <c r="CC317" s="223"/>
      <c r="CD317" s="281">
        <v>5.1724137931034457</v>
      </c>
      <c r="CE317" s="291" t="s">
        <v>8401</v>
      </c>
      <c r="CF317" s="223"/>
      <c r="CG317" s="223"/>
      <c r="CH317" s="223">
        <v>2</v>
      </c>
      <c r="CI317" s="223">
        <v>2</v>
      </c>
      <c r="CK317" s="223"/>
      <c r="CL317" s="223"/>
      <c r="CM317" s="259">
        <v>42161</v>
      </c>
      <c r="CN317" s="137" t="s">
        <v>8406</v>
      </c>
    </row>
    <row r="318" spans="1:92">
      <c r="A318" s="258">
        <v>522</v>
      </c>
      <c r="B318" s="235">
        <v>522</v>
      </c>
      <c r="C318" s="235" t="s">
        <v>7736</v>
      </c>
      <c r="D318" s="235" t="s">
        <v>7884</v>
      </c>
      <c r="E318" s="235" t="s">
        <v>7736</v>
      </c>
      <c r="F318" s="235" t="s">
        <v>8570</v>
      </c>
      <c r="G318" s="235" t="str">
        <f t="shared" si="165"/>
        <v>Rapsodyn</v>
      </c>
      <c r="H318" s="235" t="s">
        <v>265</v>
      </c>
      <c r="I318" s="235">
        <v>2</v>
      </c>
      <c r="J318" s="235">
        <v>9116</v>
      </c>
      <c r="K318" s="235">
        <v>63</v>
      </c>
      <c r="L318" s="235">
        <f t="shared" si="164"/>
        <v>63</v>
      </c>
      <c r="M318" s="235">
        <v>8</v>
      </c>
      <c r="N318" s="235">
        <v>5</v>
      </c>
      <c r="O318" s="248">
        <v>42048</v>
      </c>
      <c r="P318">
        <v>3.65</v>
      </c>
      <c r="Q318" s="264">
        <v>42204</v>
      </c>
      <c r="R318"/>
      <c r="S318"/>
      <c r="T318"/>
      <c r="V318" s="219">
        <f t="shared" si="166"/>
        <v>10.790359435219473</v>
      </c>
      <c r="W318" s="219"/>
      <c r="X318">
        <v>15.55</v>
      </c>
      <c r="Y318"/>
      <c r="Z318"/>
      <c r="AA318"/>
      <c r="AB318" s="220">
        <f t="shared" si="167"/>
        <v>3.5807223725548893</v>
      </c>
      <c r="AC318" s="219"/>
      <c r="AD318" s="221">
        <f t="shared" si="168"/>
        <v>54022.085165120116</v>
      </c>
      <c r="AE318" s="219"/>
      <c r="AF318" s="220">
        <f t="shared" si="169"/>
        <v>21.770900321543408</v>
      </c>
      <c r="AG318" s="219"/>
      <c r="AH318" s="220">
        <f t="shared" si="170"/>
        <v>24.412312538173811</v>
      </c>
      <c r="AI318" s="219"/>
      <c r="AJ318">
        <v>4.03</v>
      </c>
      <c r="AK318" s="284" t="s">
        <v>8401</v>
      </c>
      <c r="AL318">
        <v>160</v>
      </c>
      <c r="AM318"/>
      <c r="AN318" s="241">
        <v>75</v>
      </c>
      <c r="AO318" s="242">
        <v>42079</v>
      </c>
      <c r="AP318" s="255">
        <v>110</v>
      </c>
      <c r="AQ318" s="242">
        <v>42114</v>
      </c>
      <c r="AR318">
        <v>138</v>
      </c>
      <c r="AS318" s="297">
        <f t="shared" si="171"/>
        <v>138</v>
      </c>
      <c r="AT318" s="290">
        <v>42142</v>
      </c>
      <c r="AU318" s="298"/>
      <c r="AV318"/>
      <c r="AW318"/>
      <c r="AX318"/>
      <c r="AY318"/>
      <c r="AZ318"/>
      <c r="BA318"/>
      <c r="BB318"/>
      <c r="BC318"/>
      <c r="BD318"/>
      <c r="BE318"/>
      <c r="BF318" s="277">
        <v>42.934677124023438</v>
      </c>
      <c r="BG318" s="283">
        <v>42233</v>
      </c>
      <c r="BH318"/>
      <c r="BI318"/>
      <c r="BJ318"/>
      <c r="BK318"/>
      <c r="BL318" s="277">
        <v>59.391124725341797</v>
      </c>
      <c r="BM318" s="283">
        <v>42233</v>
      </c>
      <c r="BN318"/>
      <c r="BO318"/>
      <c r="BP318" s="277">
        <v>3.0775890350341797</v>
      </c>
      <c r="BQ318" s="283">
        <v>42233</v>
      </c>
      <c r="BR318" s="277">
        <v>49.563220977783203</v>
      </c>
      <c r="BS318" s="283">
        <v>42233</v>
      </c>
      <c r="BT318" s="277">
        <v>16.447286605834961</v>
      </c>
      <c r="BU318" s="283">
        <v>42233</v>
      </c>
      <c r="BV318" s="277">
        <v>61.154373168945312</v>
      </c>
      <c r="BW318" s="283">
        <v>42233</v>
      </c>
      <c r="BX318" s="277">
        <v>5.3174209594726563</v>
      </c>
      <c r="BY318" s="283">
        <v>42233</v>
      </c>
      <c r="BZ318"/>
      <c r="CB318" s="266">
        <v>3.36</v>
      </c>
      <c r="CC318"/>
      <c r="CD318" s="277">
        <v>5.3571428571428541</v>
      </c>
      <c r="CE318" s="291" t="s">
        <v>8401</v>
      </c>
      <c r="CF318"/>
      <c r="CG318"/>
      <c r="CH318">
        <v>2</v>
      </c>
      <c r="CI318">
        <v>3</v>
      </c>
      <c r="CK318"/>
      <c r="CL318">
        <v>5</v>
      </c>
      <c r="CM318" s="259">
        <v>42161</v>
      </c>
      <c r="CN318" s="137" t="s">
        <v>8406</v>
      </c>
    </row>
    <row r="319" spans="1:92">
      <c r="A319" s="258">
        <v>523</v>
      </c>
      <c r="B319" s="235">
        <v>523</v>
      </c>
      <c r="C319" s="235" t="s">
        <v>7759</v>
      </c>
      <c r="D319" s="235" t="s">
        <v>7566</v>
      </c>
      <c r="E319" s="235" t="s">
        <v>7759</v>
      </c>
      <c r="F319" s="235" t="s">
        <v>8532</v>
      </c>
      <c r="G319" s="235" t="str">
        <f t="shared" si="165"/>
        <v>Rapsodyn</v>
      </c>
      <c r="H319" s="235" t="s">
        <v>265</v>
      </c>
      <c r="I319" s="235">
        <v>2</v>
      </c>
      <c r="J319" s="235">
        <v>9130</v>
      </c>
      <c r="K319" s="235">
        <v>62</v>
      </c>
      <c r="L319" s="235">
        <f t="shared" si="164"/>
        <v>62</v>
      </c>
      <c r="M319" s="235">
        <v>8</v>
      </c>
      <c r="N319" s="235">
        <v>7</v>
      </c>
      <c r="O319" s="248">
        <v>42048</v>
      </c>
      <c r="P319">
        <v>4.95</v>
      </c>
      <c r="Q319" s="264">
        <v>42204</v>
      </c>
      <c r="R319"/>
      <c r="S319"/>
      <c r="T319"/>
      <c r="V319" s="219">
        <f t="shared" si="166"/>
        <v>15.960623197156899</v>
      </c>
      <c r="W319" s="219"/>
      <c r="X319">
        <v>15.55</v>
      </c>
      <c r="Y319"/>
      <c r="Z319"/>
      <c r="AA319"/>
      <c r="AB319" s="220">
        <f t="shared" si="167"/>
        <v>4.6829171082904484</v>
      </c>
      <c r="AC319" s="219"/>
      <c r="AD319" s="221">
        <f t="shared" si="168"/>
        <v>63000.895381507493</v>
      </c>
      <c r="AE319" s="219"/>
      <c r="AF319" s="220">
        <f t="shared" si="169"/>
        <v>30.618435155412644</v>
      </c>
      <c r="AG319" s="219"/>
      <c r="AH319" s="220">
        <f t="shared" si="170"/>
        <v>34.333297998892846</v>
      </c>
      <c r="AI319" s="219"/>
      <c r="AJ319">
        <v>4.8600000000000003</v>
      </c>
      <c r="AK319" s="284" t="s">
        <v>8398</v>
      </c>
      <c r="AL319">
        <v>150</v>
      </c>
      <c r="AM319"/>
      <c r="AN319" s="241">
        <v>79</v>
      </c>
      <c r="AO319" s="242">
        <v>42083</v>
      </c>
      <c r="AP319" s="255">
        <v>106</v>
      </c>
      <c r="AQ319" s="242">
        <v>42110</v>
      </c>
      <c r="AR319">
        <v>127</v>
      </c>
      <c r="AS319" s="297">
        <f t="shared" si="171"/>
        <v>127</v>
      </c>
      <c r="AT319" s="290">
        <v>42131</v>
      </c>
      <c r="AU319" s="298"/>
      <c r="AV319"/>
      <c r="AW319"/>
      <c r="AX319"/>
      <c r="AY319"/>
      <c r="AZ319"/>
      <c r="BA319"/>
      <c r="BB319"/>
      <c r="BC319"/>
      <c r="BD319"/>
      <c r="BE319"/>
      <c r="BF319" s="277">
        <v>-3.8612039089202881</v>
      </c>
      <c r="BG319" s="283">
        <v>42230</v>
      </c>
      <c r="BH319"/>
      <c r="BI319"/>
      <c r="BJ319"/>
      <c r="BK319"/>
      <c r="BL319" s="277">
        <v>65.916213989257813</v>
      </c>
      <c r="BM319" s="283">
        <v>42230</v>
      </c>
      <c r="BN319"/>
      <c r="BO319"/>
      <c r="BP319" s="277">
        <v>3.701977014541626</v>
      </c>
      <c r="BQ319" s="283">
        <v>42230</v>
      </c>
      <c r="BR319" s="277">
        <v>52.127494812011719</v>
      </c>
      <c r="BS319" s="283">
        <v>42230</v>
      </c>
      <c r="BT319" s="277">
        <v>15.294436454772949</v>
      </c>
      <c r="BU319" s="283">
        <v>42230</v>
      </c>
      <c r="BV319" s="277">
        <v>12.495994567871094</v>
      </c>
      <c r="BW319" s="283">
        <v>42230</v>
      </c>
      <c r="BX319" s="277">
        <v>5.4852828979492187</v>
      </c>
      <c r="BY319" s="283">
        <v>42230</v>
      </c>
      <c r="BZ319"/>
      <c r="CB319" s="266">
        <v>2.2799999999999998</v>
      </c>
      <c r="CC319"/>
      <c r="CD319" s="277">
        <v>1.8518518518518614</v>
      </c>
      <c r="CE319" s="291" t="s">
        <v>8398</v>
      </c>
      <c r="CF319"/>
      <c r="CG319"/>
      <c r="CH319">
        <v>1</v>
      </c>
      <c r="CI319">
        <v>2</v>
      </c>
      <c r="CK319"/>
      <c r="CL319"/>
      <c r="CM319" s="259">
        <v>42161</v>
      </c>
      <c r="CN319" s="137" t="s">
        <v>8406</v>
      </c>
    </row>
    <row r="320" spans="1:92">
      <c r="A320" s="258">
        <v>525</v>
      </c>
      <c r="B320" s="235">
        <v>525</v>
      </c>
      <c r="C320" s="235" t="s">
        <v>7704</v>
      </c>
      <c r="D320" s="235" t="s">
        <v>7530</v>
      </c>
      <c r="E320" s="235" t="s">
        <v>7704</v>
      </c>
      <c r="F320" s="235" t="s">
        <v>8576</v>
      </c>
      <c r="G320" s="235" t="str">
        <f t="shared" si="165"/>
        <v>Rapsodyn</v>
      </c>
      <c r="H320" s="235" t="s">
        <v>265</v>
      </c>
      <c r="I320" s="235">
        <v>2</v>
      </c>
      <c r="J320" s="235">
        <v>9086</v>
      </c>
      <c r="K320" s="235">
        <v>60</v>
      </c>
      <c r="L320" s="235">
        <f t="shared" si="164"/>
        <v>60</v>
      </c>
      <c r="M320" s="235">
        <v>8</v>
      </c>
      <c r="N320" s="235">
        <v>7</v>
      </c>
      <c r="O320" s="248">
        <v>42048</v>
      </c>
      <c r="P320">
        <v>5.3</v>
      </c>
      <c r="Q320" s="264">
        <v>42204</v>
      </c>
      <c r="R320"/>
      <c r="S320"/>
      <c r="T320"/>
      <c r="V320" s="219">
        <f t="shared" si="166"/>
        <v>16.596229853675023</v>
      </c>
      <c r="W320" s="219"/>
      <c r="X320">
        <v>15.55</v>
      </c>
      <c r="Y320"/>
      <c r="Z320"/>
      <c r="AA320"/>
      <c r="AB320" s="220">
        <f t="shared" si="167"/>
        <v>5.0396306153774075</v>
      </c>
      <c r="AC320" s="219"/>
      <c r="AD320" s="221">
        <f t="shared" si="168"/>
        <v>82531.100951305169</v>
      </c>
      <c r="AE320" s="219"/>
      <c r="AF320" s="220">
        <f t="shared" si="169"/>
        <v>32.269660471960322</v>
      </c>
      <c r="AG320" s="219"/>
      <c r="AH320" s="220">
        <f t="shared" si="170"/>
        <v>36.184862605920976</v>
      </c>
      <c r="AI320" s="219"/>
      <c r="AJ320">
        <v>3.91</v>
      </c>
      <c r="AK320" s="284" t="s">
        <v>8398</v>
      </c>
      <c r="AL320">
        <v>145</v>
      </c>
      <c r="AM320"/>
      <c r="AN320" s="241">
        <v>79</v>
      </c>
      <c r="AO320" s="242">
        <v>42083</v>
      </c>
      <c r="AP320" s="255">
        <v>104</v>
      </c>
      <c r="AQ320" s="242">
        <v>42108</v>
      </c>
      <c r="AR320">
        <v>131</v>
      </c>
      <c r="AS320" s="297">
        <f t="shared" si="171"/>
        <v>131</v>
      </c>
      <c r="AT320" s="290">
        <v>42135</v>
      </c>
      <c r="AU320" s="298"/>
      <c r="AV320"/>
      <c r="AW320"/>
      <c r="AX320"/>
      <c r="AY320"/>
      <c r="AZ320"/>
      <c r="BA320"/>
      <c r="BB320"/>
      <c r="BC320"/>
      <c r="BD320"/>
      <c r="BE320"/>
      <c r="BF320" s="277">
        <v>-4.6010589599609375</v>
      </c>
      <c r="BG320" s="283">
        <v>42230</v>
      </c>
      <c r="BH320"/>
      <c r="BI320"/>
      <c r="BJ320"/>
      <c r="BK320"/>
      <c r="BL320" s="277">
        <v>65.664588928222656</v>
      </c>
      <c r="BM320" s="283">
        <v>42230</v>
      </c>
      <c r="BN320"/>
      <c r="BO320"/>
      <c r="BP320" s="277">
        <v>3.3179841041564941</v>
      </c>
      <c r="BQ320" s="283">
        <v>42230</v>
      </c>
      <c r="BR320" s="277">
        <v>51.429824829101563</v>
      </c>
      <c r="BS320" s="283">
        <v>42230</v>
      </c>
      <c r="BT320" s="277">
        <v>15.617240905761719</v>
      </c>
      <c r="BU320" s="283">
        <v>42230</v>
      </c>
      <c r="BV320" s="277">
        <v>17.62110710144043</v>
      </c>
      <c r="BW320" s="283">
        <v>42230</v>
      </c>
      <c r="BX320" s="277">
        <v>5.3496322631835938</v>
      </c>
      <c r="BY320" s="283">
        <v>42230</v>
      </c>
      <c r="BZ320"/>
      <c r="CB320" s="266">
        <v>1.92</v>
      </c>
      <c r="CC320"/>
      <c r="CD320" s="277">
        <v>3.3898305084745792</v>
      </c>
      <c r="CE320" s="291" t="s">
        <v>8398</v>
      </c>
      <c r="CF320"/>
      <c r="CG320"/>
      <c r="CH320">
        <v>2</v>
      </c>
      <c r="CI320">
        <v>2</v>
      </c>
      <c r="CK320"/>
      <c r="CL320"/>
      <c r="CM320" s="259">
        <v>42161</v>
      </c>
      <c r="CN320" s="137" t="s">
        <v>8406</v>
      </c>
    </row>
    <row r="321" spans="1:92">
      <c r="A321" s="258">
        <v>526</v>
      </c>
      <c r="B321" s="235">
        <v>526</v>
      </c>
      <c r="C321" s="235" t="s">
        <v>7625</v>
      </c>
      <c r="D321" s="235" t="s">
        <v>7816</v>
      </c>
      <c r="E321" s="235" t="s">
        <v>7625</v>
      </c>
      <c r="F321" s="235" t="s">
        <v>8428</v>
      </c>
      <c r="G321" s="235" t="str">
        <f t="shared" si="165"/>
        <v>Rapsodyn</v>
      </c>
      <c r="H321" s="235" t="s">
        <v>265</v>
      </c>
      <c r="I321" s="235">
        <v>2</v>
      </c>
      <c r="J321" s="235">
        <v>9017</v>
      </c>
      <c r="K321" s="235">
        <v>59</v>
      </c>
      <c r="L321" s="235">
        <f t="shared" si="164"/>
        <v>59</v>
      </c>
      <c r="M321" s="235">
        <v>8</v>
      </c>
      <c r="N321" s="235">
        <v>7</v>
      </c>
      <c r="O321" s="248">
        <v>42048</v>
      </c>
      <c r="P321">
        <v>3.9</v>
      </c>
      <c r="Q321" s="264">
        <v>42204</v>
      </c>
      <c r="R321"/>
      <c r="S321"/>
      <c r="T321"/>
      <c r="V321" s="219">
        <f t="shared" si="166"/>
        <v>11.410084657171183</v>
      </c>
      <c r="W321" s="219"/>
      <c r="X321">
        <v>15.55</v>
      </c>
      <c r="Y321"/>
      <c r="Z321"/>
      <c r="AA321"/>
      <c r="AB321" s="220">
        <f t="shared" si="167"/>
        <v>4.0984848646728729</v>
      </c>
      <c r="AC321" s="219"/>
      <c r="AD321" s="221">
        <f t="shared" si="168"/>
        <v>53176.470273455714</v>
      </c>
      <c r="AE321" s="219"/>
      <c r="AF321" s="220">
        <f t="shared" si="169"/>
        <v>23.238117509500146</v>
      </c>
      <c r="AG321" s="219"/>
      <c r="AH321" s="220">
        <f t="shared" si="170"/>
        <v>26.057543742431204</v>
      </c>
      <c r="AI321" s="219"/>
      <c r="AJ321">
        <v>4.37</v>
      </c>
      <c r="AK321" s="284" t="s">
        <v>8398</v>
      </c>
      <c r="AL321">
        <v>165</v>
      </c>
      <c r="AM321"/>
      <c r="AN321" s="241">
        <v>79</v>
      </c>
      <c r="AO321" s="242">
        <v>42083</v>
      </c>
      <c r="AP321" s="255">
        <v>106</v>
      </c>
      <c r="AQ321" s="242">
        <v>42110</v>
      </c>
      <c r="AR321">
        <v>148</v>
      </c>
      <c r="AS321" s="297">
        <f t="shared" si="171"/>
        <v>148</v>
      </c>
      <c r="AT321" s="290">
        <v>42152</v>
      </c>
      <c r="AU321" s="298"/>
      <c r="AV321"/>
      <c r="AW321"/>
      <c r="AX321"/>
      <c r="AY321"/>
      <c r="AZ321"/>
      <c r="BA321"/>
      <c r="BB321"/>
      <c r="BC321"/>
      <c r="BD321"/>
      <c r="BE321"/>
      <c r="BF321" s="277">
        <v>36.723358154296875</v>
      </c>
      <c r="BG321" s="283">
        <v>42230</v>
      </c>
      <c r="BH321"/>
      <c r="BI321"/>
      <c r="BJ321"/>
      <c r="BK321"/>
      <c r="BL321" s="277">
        <v>62.1954345703125</v>
      </c>
      <c r="BM321" s="283">
        <v>42230</v>
      </c>
      <c r="BN321"/>
      <c r="BO321"/>
      <c r="BP321" s="277">
        <v>2.6400799751281738</v>
      </c>
      <c r="BQ321" s="283">
        <v>42230</v>
      </c>
      <c r="BR321" s="277">
        <v>49.100727081298828</v>
      </c>
      <c r="BS321" s="283">
        <v>42230</v>
      </c>
      <c r="BT321" s="277">
        <v>17.636905670166016</v>
      </c>
      <c r="BU321" s="283">
        <v>42230</v>
      </c>
      <c r="BV321" s="277">
        <v>58.8892822265625</v>
      </c>
      <c r="BW321" s="283">
        <v>42230</v>
      </c>
      <c r="BX321" s="277">
        <v>5.3414993286132812</v>
      </c>
      <c r="BY321" s="283">
        <v>42230</v>
      </c>
      <c r="BZ321"/>
      <c r="CB321" s="266">
        <v>2.99</v>
      </c>
      <c r="CC321"/>
      <c r="CD321" s="277">
        <v>5.4545454545454515</v>
      </c>
      <c r="CE321" s="291" t="s">
        <v>8398</v>
      </c>
      <c r="CF321"/>
      <c r="CG321"/>
      <c r="CH321">
        <v>2</v>
      </c>
      <c r="CI321">
        <v>2</v>
      </c>
      <c r="CK321"/>
      <c r="CL321">
        <v>3</v>
      </c>
      <c r="CM321" s="259">
        <v>42161</v>
      </c>
      <c r="CN321" s="137" t="s">
        <v>8406</v>
      </c>
    </row>
    <row r="322" spans="1:92">
      <c r="A322" s="258">
        <v>528</v>
      </c>
      <c r="B322" s="235">
        <v>528</v>
      </c>
      <c r="C322" s="235" t="s">
        <v>7727</v>
      </c>
      <c r="D322" s="235" t="s">
        <v>7550</v>
      </c>
      <c r="E322" s="235" t="s">
        <v>7727</v>
      </c>
      <c r="F322" s="235" t="s">
        <v>8525</v>
      </c>
      <c r="G322" s="235" t="str">
        <f t="shared" si="165"/>
        <v>Rapsodyn</v>
      </c>
      <c r="H322" s="235" t="s">
        <v>265</v>
      </c>
      <c r="I322" s="235">
        <v>2</v>
      </c>
      <c r="J322" s="235">
        <v>9109</v>
      </c>
      <c r="K322" s="235">
        <v>57</v>
      </c>
      <c r="L322" s="235">
        <f t="shared" si="164"/>
        <v>57</v>
      </c>
      <c r="M322" s="235">
        <v>8</v>
      </c>
      <c r="N322" s="235">
        <v>7</v>
      </c>
      <c r="O322" s="248">
        <v>42048</v>
      </c>
      <c r="P322">
        <v>4.2</v>
      </c>
      <c r="Q322" s="264">
        <v>42204</v>
      </c>
      <c r="R322"/>
      <c r="S322"/>
      <c r="T322"/>
      <c r="V322" s="219">
        <f t="shared" si="166"/>
        <v>12.389573500870915</v>
      </c>
      <c r="W322" s="219"/>
      <c r="X322">
        <v>15.55</v>
      </c>
      <c r="Y322"/>
      <c r="Z322"/>
      <c r="AA322"/>
      <c r="AB322" s="220">
        <f t="shared" si="167"/>
        <v>4.1230461526835693</v>
      </c>
      <c r="AC322" s="219"/>
      <c r="AD322" s="221">
        <f t="shared" si="168"/>
        <v>62468.137124707922</v>
      </c>
      <c r="AE322" s="219"/>
      <c r="AF322" s="220">
        <f t="shared" si="169"/>
        <v>24.674914164259629</v>
      </c>
      <c r="AG322" s="219"/>
      <c r="AH322" s="220">
        <f t="shared" si="170"/>
        <v>27.668663561627756</v>
      </c>
      <c r="AI322" s="219"/>
      <c r="AJ322">
        <v>3.95</v>
      </c>
      <c r="AK322" s="284" t="s">
        <v>8401</v>
      </c>
      <c r="AL322">
        <v>175</v>
      </c>
      <c r="AM322"/>
      <c r="AN322" s="241">
        <v>70</v>
      </c>
      <c r="AO322" s="242">
        <v>42074</v>
      </c>
      <c r="AP322" s="255">
        <v>110</v>
      </c>
      <c r="AQ322" s="242">
        <v>42114</v>
      </c>
      <c r="AR322">
        <v>127</v>
      </c>
      <c r="AS322" s="297">
        <f t="shared" si="171"/>
        <v>127</v>
      </c>
      <c r="AT322" s="290">
        <v>42131</v>
      </c>
      <c r="AU322" s="298"/>
      <c r="AV322"/>
      <c r="AW322"/>
      <c r="AX322"/>
      <c r="AY322"/>
      <c r="AZ322"/>
      <c r="BA322"/>
      <c r="BB322"/>
      <c r="BC322"/>
      <c r="BD322"/>
      <c r="BE322"/>
      <c r="BF322" s="277">
        <v>-1.9749130010604858</v>
      </c>
      <c r="BG322" s="283">
        <v>42233</v>
      </c>
      <c r="BH322"/>
      <c r="BI322"/>
      <c r="BJ322"/>
      <c r="BK322"/>
      <c r="BL322" s="277">
        <v>62.057163238525391</v>
      </c>
      <c r="BM322" s="283">
        <v>42233</v>
      </c>
      <c r="BN322"/>
      <c r="BO322"/>
      <c r="BP322" s="277">
        <v>4.0631451606750488</v>
      </c>
      <c r="BQ322" s="283">
        <v>42233</v>
      </c>
      <c r="BR322" s="277">
        <v>50.211212158203125</v>
      </c>
      <c r="BS322" s="283">
        <v>42233</v>
      </c>
      <c r="BT322" s="277">
        <v>16.709465026855469</v>
      </c>
      <c r="BU322" s="283">
        <v>42233</v>
      </c>
      <c r="BV322" s="277">
        <v>10.785116195678711</v>
      </c>
      <c r="BW322" s="283">
        <v>42233</v>
      </c>
      <c r="BX322" s="277">
        <v>5.297210693359375</v>
      </c>
      <c r="BY322" s="283">
        <v>42233</v>
      </c>
      <c r="BZ322"/>
      <c r="CB322" s="266">
        <v>1.86</v>
      </c>
      <c r="CC322"/>
      <c r="CD322" s="277">
        <v>6.7796610169491585</v>
      </c>
      <c r="CE322" s="291" t="s">
        <v>8401</v>
      </c>
      <c r="CF322"/>
      <c r="CG322"/>
      <c r="CH322">
        <v>2</v>
      </c>
      <c r="CI322">
        <v>4</v>
      </c>
      <c r="CK322"/>
      <c r="CL322">
        <v>4</v>
      </c>
      <c r="CM322" s="259">
        <v>42161</v>
      </c>
      <c r="CN322" s="137" t="s">
        <v>8406</v>
      </c>
    </row>
    <row r="323" spans="1:92">
      <c r="A323" s="258">
        <v>530</v>
      </c>
      <c r="B323" s="235">
        <v>530</v>
      </c>
      <c r="C323" s="235" t="s">
        <v>7626</v>
      </c>
      <c r="D323" s="235" t="s">
        <v>7460</v>
      </c>
      <c r="E323" s="235" t="s">
        <v>7626</v>
      </c>
      <c r="F323" s="235" t="s">
        <v>8484</v>
      </c>
      <c r="G323" s="235" t="str">
        <f t="shared" si="165"/>
        <v>Rapsodyn</v>
      </c>
      <c r="H323" s="235" t="s">
        <v>265</v>
      </c>
      <c r="I323" s="235">
        <v>2</v>
      </c>
      <c r="J323" s="235">
        <v>9018</v>
      </c>
      <c r="K323" s="235">
        <v>55</v>
      </c>
      <c r="L323" s="235">
        <f t="shared" si="164"/>
        <v>55</v>
      </c>
      <c r="M323" s="235">
        <v>8</v>
      </c>
      <c r="N323" s="235">
        <v>7</v>
      </c>
      <c r="O323" s="248">
        <v>42048</v>
      </c>
      <c r="P323" s="223">
        <v>3.8</v>
      </c>
      <c r="Q323" s="264">
        <v>42204</v>
      </c>
      <c r="R323" s="223"/>
      <c r="S323" s="223"/>
      <c r="T323" s="223"/>
      <c r="U323" s="225"/>
      <c r="V323" s="219">
        <f t="shared" si="166"/>
        <v>11.500289208173692</v>
      </c>
      <c r="W323" s="224"/>
      <c r="X323">
        <v>15.55</v>
      </c>
      <c r="Y323" s="223"/>
      <c r="Z323" s="223"/>
      <c r="AA323" s="223"/>
      <c r="AB323" s="220">
        <f t="shared" si="167"/>
        <v>4.223461978694397</v>
      </c>
      <c r="AC323" s="224"/>
      <c r="AD323" s="221">
        <f t="shared" si="168"/>
        <v>47259.565306755198</v>
      </c>
      <c r="AE323" s="224"/>
      <c r="AF323" s="220">
        <f t="shared" si="169"/>
        <v>23.48800395745733</v>
      </c>
      <c r="AG323" s="224"/>
      <c r="AH323" s="220">
        <f t="shared" si="170"/>
        <v>26.33774832637063</v>
      </c>
      <c r="AI323" s="224"/>
      <c r="AJ323">
        <v>4.97</v>
      </c>
      <c r="AK323" s="290" t="s">
        <v>8399</v>
      </c>
      <c r="AL323" s="223">
        <v>170</v>
      </c>
      <c r="AM323" s="223"/>
      <c r="AN323" s="241">
        <v>75</v>
      </c>
      <c r="AO323" s="242">
        <v>42079</v>
      </c>
      <c r="AP323" s="255">
        <v>104</v>
      </c>
      <c r="AQ323" s="242">
        <v>42108</v>
      </c>
      <c r="AR323" s="223">
        <v>127</v>
      </c>
      <c r="AS323" s="297">
        <f t="shared" si="171"/>
        <v>127</v>
      </c>
      <c r="AT323" s="290">
        <v>42131</v>
      </c>
      <c r="AU323" s="298"/>
      <c r="AV323" s="223"/>
      <c r="AW323" s="223"/>
      <c r="AX323" s="223"/>
      <c r="AY323" s="223"/>
      <c r="AZ323" s="223"/>
      <c r="BA323" s="223"/>
      <c r="BB323" s="223"/>
      <c r="BC323" s="223"/>
      <c r="BD323" s="223"/>
      <c r="BE323" s="223"/>
      <c r="BF323" s="281">
        <v>-1.0672589540481567</v>
      </c>
      <c r="BG323" s="283">
        <v>42234</v>
      </c>
      <c r="BH323" s="223"/>
      <c r="BI323" s="223"/>
      <c r="BJ323" s="223"/>
      <c r="BK323" s="223"/>
      <c r="BL323" s="281">
        <v>64.165573120117188</v>
      </c>
      <c r="BM323" s="283">
        <v>42234</v>
      </c>
      <c r="BN323" s="223"/>
      <c r="BO323" s="223"/>
      <c r="BP323" s="281">
        <v>2.5268270969390869</v>
      </c>
      <c r="BQ323" s="283">
        <v>42234</v>
      </c>
      <c r="BR323" s="281">
        <v>48.962394714355469</v>
      </c>
      <c r="BS323" s="283">
        <v>42234</v>
      </c>
      <c r="BT323" s="281">
        <v>17.981357574462891</v>
      </c>
      <c r="BU323" s="283">
        <v>42234</v>
      </c>
      <c r="BV323" s="281">
        <v>45.281963348388672</v>
      </c>
      <c r="BW323" s="283">
        <v>42234</v>
      </c>
      <c r="BX323" s="281">
        <v>5.4479827880859375</v>
      </c>
      <c r="BY323" s="283">
        <v>42234</v>
      </c>
      <c r="BZ323" s="223"/>
      <c r="CA323" s="226"/>
      <c r="CB323" s="266">
        <v>2.46</v>
      </c>
      <c r="CC323" s="223"/>
      <c r="CD323" s="281">
        <v>1.9230769230769333</v>
      </c>
      <c r="CE323" s="291" t="s">
        <v>8399</v>
      </c>
      <c r="CF323" s="223"/>
      <c r="CG323" s="223"/>
      <c r="CH323" s="223">
        <v>3</v>
      </c>
      <c r="CI323" s="223">
        <v>3</v>
      </c>
      <c r="CK323" s="223"/>
      <c r="CL323" s="223"/>
      <c r="CM323" s="259">
        <v>42161</v>
      </c>
      <c r="CN323" s="137" t="s">
        <v>8406</v>
      </c>
    </row>
    <row r="324" spans="1:92">
      <c r="A324" s="258">
        <v>534</v>
      </c>
      <c r="B324" s="235">
        <v>534</v>
      </c>
      <c r="C324" s="235" t="s">
        <v>7676</v>
      </c>
      <c r="D324" s="235" t="s">
        <v>7505</v>
      </c>
      <c r="E324" s="235" t="s">
        <v>7676</v>
      </c>
      <c r="F324" s="235" t="s">
        <v>8604</v>
      </c>
      <c r="G324" s="235" t="str">
        <f t="shared" si="165"/>
        <v>Rapsodyn</v>
      </c>
      <c r="H324" s="235" t="s">
        <v>265</v>
      </c>
      <c r="I324" s="235">
        <v>2</v>
      </c>
      <c r="J324" s="235">
        <v>9058</v>
      </c>
      <c r="K324" s="235">
        <v>51</v>
      </c>
      <c r="L324" s="235">
        <f t="shared" si="164"/>
        <v>51</v>
      </c>
      <c r="M324" s="235">
        <v>8</v>
      </c>
      <c r="N324" s="235">
        <v>7</v>
      </c>
      <c r="O324" s="248">
        <v>42048</v>
      </c>
      <c r="P324">
        <v>4.6500000000000004</v>
      </c>
      <c r="Q324" s="264">
        <v>42204</v>
      </c>
      <c r="R324"/>
      <c r="S324"/>
      <c r="T324"/>
      <c r="V324" s="219">
        <f t="shared" si="166"/>
        <v>14.022412969641204</v>
      </c>
      <c r="W324" s="219"/>
      <c r="X324">
        <v>15.55</v>
      </c>
      <c r="Y324"/>
      <c r="Z324"/>
      <c r="AA324"/>
      <c r="AB324" s="220">
        <f t="shared" si="167"/>
        <v>4.6499091475069241</v>
      </c>
      <c r="AC324" s="219"/>
      <c r="AD324" s="221">
        <f t="shared" si="168"/>
        <v>64715.788526924101</v>
      </c>
      <c r="AE324" s="219"/>
      <c r="AF324" s="220">
        <f t="shared" si="169"/>
        <v>27.763073278050438</v>
      </c>
      <c r="AG324" s="219"/>
      <c r="AH324" s="220">
        <f t="shared" si="170"/>
        <v>31.131501769511591</v>
      </c>
      <c r="AI324" s="219"/>
      <c r="AJ324">
        <v>4.29</v>
      </c>
      <c r="AK324" s="284" t="s">
        <v>8401</v>
      </c>
      <c r="AL324">
        <v>145</v>
      </c>
      <c r="AM324"/>
      <c r="AN324" s="241">
        <v>72</v>
      </c>
      <c r="AO324" s="242">
        <v>42076</v>
      </c>
      <c r="AP324" s="255">
        <v>104</v>
      </c>
      <c r="AQ324" s="242">
        <v>42108</v>
      </c>
      <c r="AR324">
        <v>135</v>
      </c>
      <c r="AS324" s="297">
        <f t="shared" si="171"/>
        <v>135</v>
      </c>
      <c r="AT324" s="290">
        <v>42139</v>
      </c>
      <c r="AU324" s="298"/>
      <c r="AV324"/>
      <c r="AW324"/>
      <c r="AX324"/>
      <c r="AY324"/>
      <c r="AZ324"/>
      <c r="BA324"/>
      <c r="BB324"/>
      <c r="BC324"/>
      <c r="BD324"/>
      <c r="BE324"/>
      <c r="BF324" s="277">
        <v>-3.0011880397796631</v>
      </c>
      <c r="BG324" s="283">
        <v>42233</v>
      </c>
      <c r="BH324"/>
      <c r="BI324"/>
      <c r="BJ324"/>
      <c r="BK324"/>
      <c r="BL324" s="277">
        <v>64.612838745117188</v>
      </c>
      <c r="BM324" s="283">
        <v>42233</v>
      </c>
      <c r="BN324"/>
      <c r="BO324"/>
      <c r="BP324" s="277">
        <v>3.8221039772033691</v>
      </c>
      <c r="BQ324" s="283">
        <v>42233</v>
      </c>
      <c r="BR324" s="277">
        <v>50.507423400878906</v>
      </c>
      <c r="BS324" s="283">
        <v>42233</v>
      </c>
      <c r="BT324" s="277">
        <v>16.748538970947266</v>
      </c>
      <c r="BU324" s="283">
        <v>42233</v>
      </c>
      <c r="BV324" s="277">
        <v>19.972301483154297</v>
      </c>
      <c r="BW324" s="283">
        <v>42233</v>
      </c>
      <c r="BX324" s="277">
        <v>5.1838455200195313</v>
      </c>
      <c r="BY324" s="283">
        <v>42233</v>
      </c>
      <c r="BZ324"/>
      <c r="CB324" s="266">
        <v>1.69</v>
      </c>
      <c r="CC324"/>
      <c r="CD324" s="277">
        <v>5.2631578947368389</v>
      </c>
      <c r="CE324" s="291" t="s">
        <v>8401</v>
      </c>
      <c r="CF324"/>
      <c r="CG324"/>
      <c r="CH324">
        <v>2</v>
      </c>
      <c r="CI324">
        <v>3</v>
      </c>
      <c r="CK324"/>
      <c r="CL324"/>
      <c r="CM324" s="259">
        <v>42161</v>
      </c>
      <c r="CN324" s="137" t="s">
        <v>8406</v>
      </c>
    </row>
    <row r="325" spans="1:92">
      <c r="A325" s="258">
        <v>535</v>
      </c>
      <c r="B325" s="235">
        <v>535</v>
      </c>
      <c r="C325" s="235" t="s">
        <v>7576</v>
      </c>
      <c r="D325" s="235"/>
      <c r="E325" s="235"/>
      <c r="F325" s="235"/>
      <c r="G325" s="235"/>
      <c r="H325" s="235" t="s">
        <v>265</v>
      </c>
      <c r="I325" s="235">
        <v>2</v>
      </c>
      <c r="K325" s="235">
        <v>50</v>
      </c>
      <c r="L325" s="235">
        <f t="shared" si="164"/>
        <v>50</v>
      </c>
      <c r="M325" s="235">
        <v>8</v>
      </c>
      <c r="O325" s="248">
        <v>42048</v>
      </c>
      <c r="P325"/>
      <c r="Q325" s="219"/>
      <c r="R325"/>
      <c r="S325"/>
      <c r="T325"/>
      <c r="V325" s="219"/>
      <c r="W325" s="219"/>
      <c r="X325">
        <v>15.55</v>
      </c>
      <c r="Y325"/>
      <c r="Z325"/>
      <c r="AA325"/>
      <c r="AB325" s="220"/>
      <c r="AC325" s="219"/>
      <c r="AD325" s="221"/>
      <c r="AE325" s="219"/>
      <c r="AF325" s="220"/>
      <c r="AG325" s="219"/>
      <c r="AH325" s="220"/>
      <c r="AI325" s="219"/>
      <c r="AJ325" s="286"/>
      <c r="AK325" s="284"/>
      <c r="AL325"/>
      <c r="AM325"/>
      <c r="AN325" s="241">
        <v>70</v>
      </c>
      <c r="AO325" s="242">
        <v>42074</v>
      </c>
      <c r="AP325" s="255">
        <v>104</v>
      </c>
      <c r="AQ325" s="242">
        <v>42108</v>
      </c>
      <c r="AR325"/>
      <c r="AS325" s="297"/>
      <c r="AT325" s="290"/>
      <c r="AU325" s="298"/>
      <c r="AV325"/>
      <c r="AW325"/>
      <c r="AX325"/>
      <c r="AY325"/>
      <c r="AZ325"/>
      <c r="BA325"/>
      <c r="BB325"/>
      <c r="BC325"/>
      <c r="BD325"/>
      <c r="BE325"/>
      <c r="BF325" s="277"/>
      <c r="BG325" s="235"/>
      <c r="BH325"/>
      <c r="BI325"/>
      <c r="BJ325"/>
      <c r="BK325"/>
      <c r="BL325" s="277"/>
      <c r="BM325" s="235"/>
      <c r="BN325"/>
      <c r="BO325"/>
      <c r="BP325" s="277"/>
      <c r="BQ325" s="235"/>
      <c r="BR325" s="277"/>
      <c r="BS325" s="235"/>
      <c r="BT325" s="277"/>
      <c r="BU325" s="235"/>
      <c r="BV325" s="277"/>
      <c r="BW325" s="235"/>
      <c r="BX325" s="277"/>
      <c r="BY325" s="235"/>
      <c r="BZ325"/>
      <c r="CB325" s="266"/>
      <c r="CC325"/>
      <c r="CD325" s="277"/>
      <c r="CE325" s="291"/>
      <c r="CF325"/>
      <c r="CG325"/>
      <c r="CH325"/>
      <c r="CI325"/>
      <c r="CK325"/>
      <c r="CL325"/>
      <c r="CM325" s="259">
        <v>42161</v>
      </c>
    </row>
    <row r="326" spans="1:92">
      <c r="A326" s="258">
        <v>536</v>
      </c>
      <c r="B326" s="235">
        <v>536</v>
      </c>
      <c r="C326" s="235" t="s">
        <v>7576</v>
      </c>
      <c r="D326" s="235"/>
      <c r="E326" s="235"/>
      <c r="F326" s="235"/>
      <c r="G326" s="235"/>
      <c r="H326" s="235" t="s">
        <v>265</v>
      </c>
      <c r="I326" s="235">
        <v>2</v>
      </c>
      <c r="K326" s="235">
        <v>49</v>
      </c>
      <c r="L326" s="235">
        <f t="shared" si="164"/>
        <v>49</v>
      </c>
      <c r="M326" s="235">
        <v>8</v>
      </c>
      <c r="O326" s="248">
        <v>42048</v>
      </c>
      <c r="P326"/>
      <c r="Q326" s="219"/>
      <c r="R326"/>
      <c r="S326"/>
      <c r="T326"/>
      <c r="V326" s="219"/>
      <c r="W326" s="219"/>
      <c r="X326">
        <v>15.55</v>
      </c>
      <c r="Y326"/>
      <c r="Z326"/>
      <c r="AA326"/>
      <c r="AB326" s="220"/>
      <c r="AC326" s="219"/>
      <c r="AD326" s="221"/>
      <c r="AE326" s="219"/>
      <c r="AF326" s="220"/>
      <c r="AG326" s="219"/>
      <c r="AH326" s="220"/>
      <c r="AI326" s="219"/>
      <c r="AJ326" s="286"/>
      <c r="AK326" s="284"/>
      <c r="AL326"/>
      <c r="AM326"/>
      <c r="AN326" s="241">
        <v>70</v>
      </c>
      <c r="AO326" s="242">
        <v>42074</v>
      </c>
      <c r="AP326" s="255">
        <v>104</v>
      </c>
      <c r="AQ326" s="242">
        <v>42108</v>
      </c>
      <c r="AR326"/>
      <c r="AS326" s="297"/>
      <c r="AT326" s="290"/>
      <c r="AU326" s="298"/>
      <c r="AV326"/>
      <c r="AW326"/>
      <c r="AX326"/>
      <c r="AY326"/>
      <c r="AZ326"/>
      <c r="BA326"/>
      <c r="BB326"/>
      <c r="BC326"/>
      <c r="BD326"/>
      <c r="BE326"/>
      <c r="BF326" s="277"/>
      <c r="BG326" s="235"/>
      <c r="BH326"/>
      <c r="BI326"/>
      <c r="BJ326"/>
      <c r="BK326"/>
      <c r="BL326" s="277"/>
      <c r="BM326" s="235"/>
      <c r="BN326"/>
      <c r="BO326"/>
      <c r="BP326" s="277"/>
      <c r="BQ326" s="235"/>
      <c r="BR326" s="277"/>
      <c r="BS326" s="235"/>
      <c r="BT326" s="277"/>
      <c r="BU326" s="235"/>
      <c r="BV326" s="277"/>
      <c r="BW326" s="235"/>
      <c r="BX326" s="277"/>
      <c r="BY326" s="235"/>
      <c r="BZ326"/>
      <c r="CB326" s="266"/>
      <c r="CC326"/>
      <c r="CD326" s="277"/>
      <c r="CE326" s="291"/>
      <c r="CF326"/>
      <c r="CG326"/>
      <c r="CH326"/>
      <c r="CI326"/>
      <c r="CK326"/>
      <c r="CL326"/>
      <c r="CM326" s="259">
        <v>42161</v>
      </c>
    </row>
    <row r="327" spans="1:92">
      <c r="A327" s="258">
        <v>537</v>
      </c>
      <c r="B327" s="235">
        <v>537</v>
      </c>
      <c r="C327" s="235" t="s">
        <v>7695</v>
      </c>
      <c r="D327" s="235" t="s">
        <v>7521</v>
      </c>
      <c r="E327" s="235" t="s">
        <v>7695</v>
      </c>
      <c r="F327" s="235" t="s">
        <v>8594</v>
      </c>
      <c r="G327" s="235" t="str">
        <f t="shared" ref="G327:G338" si="172">IF(MID(C327,1,3)="BGA","Complement","Rapsodyn")</f>
        <v>Rapsodyn</v>
      </c>
      <c r="H327" s="235" t="s">
        <v>265</v>
      </c>
      <c r="I327" s="235">
        <v>2</v>
      </c>
      <c r="J327" s="235">
        <v>9077</v>
      </c>
      <c r="K327" s="235">
        <v>48</v>
      </c>
      <c r="L327" s="235">
        <f t="shared" si="164"/>
        <v>48</v>
      </c>
      <c r="M327" s="235">
        <v>8</v>
      </c>
      <c r="N327" s="236">
        <v>9</v>
      </c>
      <c r="O327" s="248">
        <v>42048</v>
      </c>
      <c r="P327">
        <v>5</v>
      </c>
      <c r="Q327" s="264">
        <v>42204</v>
      </c>
      <c r="R327"/>
      <c r="S327"/>
      <c r="T327"/>
      <c r="V327" s="219">
        <f t="shared" ref="V327:V338" si="173">+BR327*AF327/100</f>
        <v>16.071940472292578</v>
      </c>
      <c r="W327" s="219"/>
      <c r="X327">
        <v>15.55</v>
      </c>
      <c r="Y327"/>
      <c r="Z327"/>
      <c r="AA327"/>
      <c r="AB327" s="220">
        <f t="shared" ref="AB327:AB338" si="174">+AF327*BT327/100</f>
        <v>4.6471338093123995</v>
      </c>
      <c r="AC327" s="219"/>
      <c r="AD327" s="221">
        <f t="shared" ref="AD327:AD338" si="175">+(AF327/AJ327)*10000</f>
        <v>69058.754750073087</v>
      </c>
      <c r="AE327" s="219"/>
      <c r="AF327" s="220">
        <f t="shared" ref="AF327:AF338" si="176">($P327/$X327)*(((100-$CD327)/100*(100-2)/100))*100</f>
        <v>30.938322128032748</v>
      </c>
      <c r="AG327" s="219"/>
      <c r="AH327" s="220">
        <f t="shared" ref="AH327:AH338" si="177">($P327/$X327)*(((100-$CD327)/(100-9)*(100-2)/(100-2))*100)</f>
        <v>34.691996106787109</v>
      </c>
      <c r="AI327" s="219"/>
      <c r="AJ327">
        <v>4.4800000000000004</v>
      </c>
      <c r="AK327" s="284" t="s">
        <v>8401</v>
      </c>
      <c r="AL327">
        <v>155</v>
      </c>
      <c r="AM327"/>
      <c r="AN327" s="241">
        <v>79</v>
      </c>
      <c r="AO327" s="242">
        <v>42083</v>
      </c>
      <c r="AP327" s="255">
        <v>106</v>
      </c>
      <c r="AQ327" s="242">
        <v>42110</v>
      </c>
      <c r="AR327">
        <v>131</v>
      </c>
      <c r="AS327" s="297">
        <f t="shared" ref="AS327:AS338" si="178">IF(AR327=0,,AR327)</f>
        <v>131</v>
      </c>
      <c r="AT327" s="290">
        <v>42135</v>
      </c>
      <c r="AU327" s="298"/>
      <c r="AV327"/>
      <c r="AW327"/>
      <c r="AX327"/>
      <c r="AY327"/>
      <c r="AZ327"/>
      <c r="BA327"/>
      <c r="BB327"/>
      <c r="BC327"/>
      <c r="BD327"/>
      <c r="BE327"/>
      <c r="BF327" s="277">
        <v>0.68212097883224487</v>
      </c>
      <c r="BG327" s="283">
        <v>42230</v>
      </c>
      <c r="BH327"/>
      <c r="BI327"/>
      <c r="BJ327"/>
      <c r="BK327"/>
      <c r="BL327" s="277">
        <v>64.492607116699219</v>
      </c>
      <c r="BM327" s="283">
        <v>42230</v>
      </c>
      <c r="BN327"/>
      <c r="BO327"/>
      <c r="BP327" s="277">
        <v>3.94461989402771</v>
      </c>
      <c r="BQ327" s="283">
        <v>42230</v>
      </c>
      <c r="BR327" s="277">
        <v>51.948326110839844</v>
      </c>
      <c r="BS327" s="283">
        <v>42230</v>
      </c>
      <c r="BT327" s="277">
        <v>15.020639419555664</v>
      </c>
      <c r="BU327" s="283">
        <v>42230</v>
      </c>
      <c r="BV327" s="277">
        <v>13.374561309814453</v>
      </c>
      <c r="BW327" s="283">
        <v>42230</v>
      </c>
      <c r="BX327" s="277">
        <v>5.5382919311523438</v>
      </c>
      <c r="BY327" s="283">
        <v>42230</v>
      </c>
      <c r="BZ327"/>
      <c r="CB327" s="266">
        <v>1.92</v>
      </c>
      <c r="CC327"/>
      <c r="CD327" s="277">
        <v>1.8181818181818119</v>
      </c>
      <c r="CE327" s="291" t="s">
        <v>8401</v>
      </c>
      <c r="CF327"/>
      <c r="CG327"/>
      <c r="CH327">
        <v>3</v>
      </c>
      <c r="CI327">
        <v>4</v>
      </c>
      <c r="CK327"/>
      <c r="CL327"/>
      <c r="CM327" s="259">
        <v>42161</v>
      </c>
      <c r="CN327" s="137" t="s">
        <v>8406</v>
      </c>
    </row>
    <row r="328" spans="1:92">
      <c r="A328" s="258">
        <v>538</v>
      </c>
      <c r="B328" s="235">
        <v>538</v>
      </c>
      <c r="C328" s="235" t="s">
        <v>7631</v>
      </c>
      <c r="D328" s="235" t="s">
        <v>7465</v>
      </c>
      <c r="E328" s="235" t="s">
        <v>7631</v>
      </c>
      <c r="F328" s="235" t="s">
        <v>8611</v>
      </c>
      <c r="G328" s="235" t="str">
        <f t="shared" si="172"/>
        <v>Rapsodyn</v>
      </c>
      <c r="H328" s="235" t="s">
        <v>265</v>
      </c>
      <c r="I328" s="235">
        <v>2</v>
      </c>
      <c r="J328" s="235">
        <v>9021</v>
      </c>
      <c r="K328" s="235">
        <v>47</v>
      </c>
      <c r="L328" s="235">
        <f t="shared" si="164"/>
        <v>47</v>
      </c>
      <c r="M328" s="235">
        <v>8</v>
      </c>
      <c r="N328" s="235">
        <v>7</v>
      </c>
      <c r="O328" s="248">
        <v>42048</v>
      </c>
      <c r="P328">
        <v>4.05</v>
      </c>
      <c r="Q328" s="264">
        <v>42204</v>
      </c>
      <c r="R328"/>
      <c r="S328"/>
      <c r="T328"/>
      <c r="V328" s="219">
        <f t="shared" si="173"/>
        <v>12.156999840288577</v>
      </c>
      <c r="W328" s="219"/>
      <c r="X328">
        <v>15.55</v>
      </c>
      <c r="Y328"/>
      <c r="Z328"/>
      <c r="AA328"/>
      <c r="AB328" s="220">
        <f t="shared" si="174"/>
        <v>4.2048529045586305</v>
      </c>
      <c r="AC328" s="219"/>
      <c r="AD328" s="221">
        <f t="shared" si="175"/>
        <v>52503.043105673023</v>
      </c>
      <c r="AE328" s="219"/>
      <c r="AF328" s="220">
        <f t="shared" si="176"/>
        <v>24.203902871715265</v>
      </c>
      <c r="AG328" s="219"/>
      <c r="AH328" s="220">
        <f t="shared" si="177"/>
        <v>27.140505574921807</v>
      </c>
      <c r="AI328" s="219"/>
      <c r="AJ328">
        <v>4.6100000000000003</v>
      </c>
      <c r="AK328" s="284" t="s">
        <v>8401</v>
      </c>
      <c r="AL328">
        <v>180</v>
      </c>
      <c r="AM328"/>
      <c r="AN328" s="241">
        <v>72</v>
      </c>
      <c r="AO328" s="242">
        <v>42076</v>
      </c>
      <c r="AP328" s="255">
        <v>110</v>
      </c>
      <c r="AQ328" s="242">
        <v>42114</v>
      </c>
      <c r="AR328">
        <v>134</v>
      </c>
      <c r="AS328" s="297">
        <f t="shared" si="178"/>
        <v>134</v>
      </c>
      <c r="AT328" s="290">
        <v>42138</v>
      </c>
      <c r="AU328" s="298"/>
      <c r="AV328"/>
      <c r="AW328"/>
      <c r="AX328"/>
      <c r="AY328"/>
      <c r="AZ328"/>
      <c r="BA328"/>
      <c r="BB328"/>
      <c r="BC328"/>
      <c r="BD328"/>
      <c r="BE328"/>
      <c r="BF328" s="277">
        <v>42.314384460449219</v>
      </c>
      <c r="BG328" s="283">
        <v>42230</v>
      </c>
      <c r="BH328"/>
      <c r="BI328"/>
      <c r="BJ328"/>
      <c r="BK328"/>
      <c r="BL328" s="277">
        <v>59.228137969970703</v>
      </c>
      <c r="BM328" s="283">
        <v>42230</v>
      </c>
      <c r="BN328"/>
      <c r="BO328"/>
      <c r="BP328" s="277">
        <v>4.3285598754882812</v>
      </c>
      <c r="BQ328" s="283">
        <v>42230</v>
      </c>
      <c r="BR328" s="277">
        <v>50.227436065673828</v>
      </c>
      <c r="BS328" s="283">
        <v>42230</v>
      </c>
      <c r="BT328" s="277">
        <v>17.372623443603516</v>
      </c>
      <c r="BU328" s="283">
        <v>42230</v>
      </c>
      <c r="BV328" s="277">
        <v>65.455680847167969</v>
      </c>
      <c r="BW328" s="283">
        <v>42230</v>
      </c>
      <c r="BX328" s="277">
        <v>5.8221054077148438</v>
      </c>
      <c r="BY328" s="283">
        <v>42230</v>
      </c>
      <c r="BZ328"/>
      <c r="CB328" s="266">
        <v>1.1299999999999999</v>
      </c>
      <c r="CC328"/>
      <c r="CD328" s="277">
        <v>5.1724137931034457</v>
      </c>
      <c r="CE328" s="291" t="s">
        <v>8401</v>
      </c>
      <c r="CF328"/>
      <c r="CG328"/>
      <c r="CH328">
        <v>2</v>
      </c>
      <c r="CI328">
        <v>3</v>
      </c>
      <c r="CK328"/>
      <c r="CL328">
        <v>4</v>
      </c>
      <c r="CM328" s="259">
        <v>42161</v>
      </c>
      <c r="CN328" s="137" t="s">
        <v>8406</v>
      </c>
    </row>
    <row r="329" spans="1:92">
      <c r="A329" s="258">
        <v>541</v>
      </c>
      <c r="B329" s="235">
        <v>541</v>
      </c>
      <c r="C329" s="235" t="s">
        <v>7757</v>
      </c>
      <c r="D329" s="235" t="s">
        <v>7814</v>
      </c>
      <c r="E329" s="235" t="s">
        <v>7757</v>
      </c>
      <c r="F329" s="235" t="s">
        <v>8593</v>
      </c>
      <c r="G329" s="235" t="str">
        <f t="shared" si="172"/>
        <v>Rapsodyn</v>
      </c>
      <c r="H329" s="235" t="s">
        <v>265</v>
      </c>
      <c r="I329" s="235">
        <v>2</v>
      </c>
      <c r="J329" s="235">
        <v>9128</v>
      </c>
      <c r="K329" s="235">
        <v>44</v>
      </c>
      <c r="L329" s="235">
        <f t="shared" si="164"/>
        <v>44</v>
      </c>
      <c r="M329" s="235">
        <v>8</v>
      </c>
      <c r="N329" s="235">
        <v>5</v>
      </c>
      <c r="O329" s="248">
        <v>42048</v>
      </c>
      <c r="P329">
        <v>3.3</v>
      </c>
      <c r="Q329" s="264">
        <v>42204</v>
      </c>
      <c r="R329"/>
      <c r="S329"/>
      <c r="T329"/>
      <c r="V329" s="219">
        <f t="shared" si="173"/>
        <v>10.333587038013583</v>
      </c>
      <c r="W329" s="219"/>
      <c r="X329">
        <v>15.55</v>
      </c>
      <c r="Y329"/>
      <c r="Z329"/>
      <c r="AA329"/>
      <c r="AB329" s="220">
        <f t="shared" si="174"/>
        <v>3.2374572994318034</v>
      </c>
      <c r="AC329" s="219"/>
      <c r="AD329" s="221">
        <f t="shared" si="175"/>
        <v>46108.016444504821</v>
      </c>
      <c r="AE329" s="219"/>
      <c r="AF329" s="220">
        <f t="shared" si="176"/>
        <v>19.642015005359053</v>
      </c>
      <c r="AG329" s="219"/>
      <c r="AH329" s="220">
        <f t="shared" si="177"/>
        <v>22.025134565327487</v>
      </c>
      <c r="AI329" s="219"/>
      <c r="AJ329">
        <v>4.26</v>
      </c>
      <c r="AK329" s="284" t="s">
        <v>8403</v>
      </c>
      <c r="AL329">
        <v>200</v>
      </c>
      <c r="AM329"/>
      <c r="AN329" s="241">
        <v>70</v>
      </c>
      <c r="AO329" s="242">
        <v>42074</v>
      </c>
      <c r="AP329" s="255">
        <v>113</v>
      </c>
      <c r="AQ329" s="242">
        <v>42117</v>
      </c>
      <c r="AR329">
        <v>141</v>
      </c>
      <c r="AS329" s="297">
        <f t="shared" si="178"/>
        <v>141</v>
      </c>
      <c r="AT329" s="290">
        <v>42145</v>
      </c>
      <c r="AU329" s="298"/>
      <c r="AV329"/>
      <c r="AW329"/>
      <c r="AX329"/>
      <c r="AY329"/>
      <c r="AZ329"/>
      <c r="BA329"/>
      <c r="BB329"/>
      <c r="BC329"/>
      <c r="BD329"/>
      <c r="BE329"/>
      <c r="BF329" s="277">
        <v>27.407756805419922</v>
      </c>
      <c r="BG329" s="283">
        <v>42230</v>
      </c>
      <c r="BH329"/>
      <c r="BI329"/>
      <c r="BJ329"/>
      <c r="BK329"/>
      <c r="BL329" s="277">
        <v>62.177093505859375</v>
      </c>
      <c r="BM329" s="283">
        <v>42230</v>
      </c>
      <c r="BN329"/>
      <c r="BO329"/>
      <c r="BP329" s="277">
        <v>3.3033010959625244</v>
      </c>
      <c r="BQ329" s="283">
        <v>42230</v>
      </c>
      <c r="BR329" s="277">
        <v>52.609607696533203</v>
      </c>
      <c r="BS329" s="283">
        <v>42230</v>
      </c>
      <c r="BT329" s="277">
        <v>16.482307434082031</v>
      </c>
      <c r="BU329" s="283">
        <v>42230</v>
      </c>
      <c r="BV329" s="277">
        <v>49.186302185058594</v>
      </c>
      <c r="BW329" s="283">
        <v>42230</v>
      </c>
      <c r="BX329" s="277">
        <v>5.1966705322265625</v>
      </c>
      <c r="BY329" s="283">
        <v>42230</v>
      </c>
      <c r="BZ329"/>
      <c r="CB329" s="266">
        <v>2.61</v>
      </c>
      <c r="CC329"/>
      <c r="CD329" s="277">
        <v>5.5555555555555687</v>
      </c>
      <c r="CE329" s="291" t="s">
        <v>8403</v>
      </c>
      <c r="CF329"/>
      <c r="CG329"/>
      <c r="CH329">
        <v>2</v>
      </c>
      <c r="CI329">
        <v>4</v>
      </c>
      <c r="CK329"/>
      <c r="CL329">
        <v>3</v>
      </c>
      <c r="CM329" s="259">
        <v>42161</v>
      </c>
      <c r="CN329" s="137" t="s">
        <v>8406</v>
      </c>
    </row>
    <row r="330" spans="1:92">
      <c r="A330" s="258">
        <v>543</v>
      </c>
      <c r="B330" s="235">
        <v>543</v>
      </c>
      <c r="C330" s="235" t="s">
        <v>7620</v>
      </c>
      <c r="D330" s="235" t="s">
        <v>7815</v>
      </c>
      <c r="E330" s="235" t="s">
        <v>7620</v>
      </c>
      <c r="F330" s="235" t="s">
        <v>8583</v>
      </c>
      <c r="G330" s="235" t="str">
        <f t="shared" si="172"/>
        <v>Rapsodyn</v>
      </c>
      <c r="H330" s="235" t="s">
        <v>265</v>
      </c>
      <c r="I330" s="235">
        <v>2</v>
      </c>
      <c r="J330" s="235">
        <v>9013</v>
      </c>
      <c r="K330" s="235">
        <v>42</v>
      </c>
      <c r="L330" s="235">
        <f t="shared" si="164"/>
        <v>42</v>
      </c>
      <c r="M330" s="235">
        <v>8</v>
      </c>
      <c r="N330" s="235">
        <v>7</v>
      </c>
      <c r="O330" s="248">
        <v>42048</v>
      </c>
      <c r="P330">
        <v>3.35</v>
      </c>
      <c r="Q330" s="264">
        <v>42204</v>
      </c>
      <c r="R330"/>
      <c r="S330"/>
      <c r="T330"/>
      <c r="V330" s="219">
        <f t="shared" si="173"/>
        <v>9.5665862629423835</v>
      </c>
      <c r="W330" s="219"/>
      <c r="X330">
        <v>15.55</v>
      </c>
      <c r="Y330"/>
      <c r="Z330"/>
      <c r="AA330"/>
      <c r="AB330" s="220">
        <f t="shared" si="174"/>
        <v>3.8018043414325922</v>
      </c>
      <c r="AC330" s="219"/>
      <c r="AD330" s="221">
        <f t="shared" si="175"/>
        <v>36046.120028898375</v>
      </c>
      <c r="AE330" s="219"/>
      <c r="AF330" s="220">
        <f t="shared" si="176"/>
        <v>19.68118153577851</v>
      </c>
      <c r="AG330" s="219"/>
      <c r="AH330" s="220">
        <f t="shared" si="177"/>
        <v>22.069053078917374</v>
      </c>
      <c r="AI330" s="219"/>
      <c r="AJ330">
        <v>5.46</v>
      </c>
      <c r="AK330" s="284" t="s">
        <v>8401</v>
      </c>
      <c r="AL330">
        <v>165</v>
      </c>
      <c r="AM330"/>
      <c r="AN330" s="241">
        <v>65</v>
      </c>
      <c r="AO330" s="242">
        <v>42069</v>
      </c>
      <c r="AP330" s="255">
        <v>104</v>
      </c>
      <c r="AQ330" s="242">
        <v>42108</v>
      </c>
      <c r="AR330">
        <v>127</v>
      </c>
      <c r="AS330" s="297">
        <f t="shared" si="178"/>
        <v>127</v>
      </c>
      <c r="AT330" s="290">
        <v>42131</v>
      </c>
      <c r="AU330" s="298"/>
      <c r="AV330"/>
      <c r="AW330"/>
      <c r="AX330"/>
      <c r="AY330"/>
      <c r="AZ330"/>
      <c r="BA330"/>
      <c r="BB330"/>
      <c r="BC330"/>
      <c r="BD330"/>
      <c r="BE330"/>
      <c r="BF330" s="277">
        <v>13.190339088439941</v>
      </c>
      <c r="BG330" s="283">
        <v>42233</v>
      </c>
      <c r="BH330"/>
      <c r="BI330"/>
      <c r="BJ330"/>
      <c r="BK330"/>
      <c r="BL330" s="277">
        <v>62.965316772460937</v>
      </c>
      <c r="BM330" s="283">
        <v>42233</v>
      </c>
      <c r="BN330"/>
      <c r="BO330"/>
      <c r="BP330" s="277">
        <v>3.4458990097045898</v>
      </c>
      <c r="BQ330" s="283">
        <v>42233</v>
      </c>
      <c r="BR330" s="277">
        <v>48.607784271240234</v>
      </c>
      <c r="BS330" s="283">
        <v>42233</v>
      </c>
      <c r="BT330" s="277">
        <v>19.316951751708984</v>
      </c>
      <c r="BU330" s="283">
        <v>42233</v>
      </c>
      <c r="BV330" s="277">
        <v>43.573066711425781</v>
      </c>
      <c r="BW330" s="283">
        <v>42233</v>
      </c>
      <c r="BX330" s="277">
        <v>5.4699478149414062</v>
      </c>
      <c r="BY330" s="283">
        <v>42233</v>
      </c>
      <c r="BZ330"/>
      <c r="CB330" s="266">
        <v>1.71</v>
      </c>
      <c r="CC330"/>
      <c r="CD330" s="277">
        <v>6.7796610169491585</v>
      </c>
      <c r="CE330" s="291" t="s">
        <v>8401</v>
      </c>
      <c r="CF330"/>
      <c r="CG330"/>
      <c r="CH330">
        <v>2</v>
      </c>
      <c r="CI330">
        <v>2</v>
      </c>
      <c r="CK330"/>
      <c r="CL330"/>
      <c r="CM330" s="259">
        <v>42161</v>
      </c>
      <c r="CN330" s="137" t="s">
        <v>8406</v>
      </c>
    </row>
    <row r="331" spans="1:92">
      <c r="A331" s="258">
        <v>544</v>
      </c>
      <c r="B331" s="235">
        <v>544</v>
      </c>
      <c r="C331" s="235" t="s">
        <v>7699</v>
      </c>
      <c r="D331" s="235" t="s">
        <v>7525</v>
      </c>
      <c r="E331" s="235" t="s">
        <v>7699</v>
      </c>
      <c r="F331" s="235" t="s">
        <v>8434</v>
      </c>
      <c r="G331" s="235" t="str">
        <f t="shared" si="172"/>
        <v>Rapsodyn</v>
      </c>
      <c r="H331" s="235" t="s">
        <v>265</v>
      </c>
      <c r="I331" s="235">
        <v>2</v>
      </c>
      <c r="J331" s="235">
        <v>9081</v>
      </c>
      <c r="K331" s="235">
        <v>41</v>
      </c>
      <c r="L331" s="235">
        <f t="shared" si="164"/>
        <v>41</v>
      </c>
      <c r="M331" s="235">
        <v>8</v>
      </c>
      <c r="N331" s="235">
        <v>5</v>
      </c>
      <c r="O331" s="248">
        <v>42048</v>
      </c>
      <c r="P331">
        <v>4.55</v>
      </c>
      <c r="Q331" s="264">
        <v>42204</v>
      </c>
      <c r="R331"/>
      <c r="S331"/>
      <c r="T331"/>
      <c r="V331" s="219">
        <f t="shared" si="173"/>
        <v>14.258979997338459</v>
      </c>
      <c r="W331" s="219"/>
      <c r="X331">
        <v>15.55</v>
      </c>
      <c r="Y331"/>
      <c r="Z331"/>
      <c r="AA331"/>
      <c r="AB331" s="220">
        <f t="shared" si="174"/>
        <v>4.4010585706819159</v>
      </c>
      <c r="AC331" s="219"/>
      <c r="AD331" s="221">
        <f t="shared" si="175"/>
        <v>65209.622484220556</v>
      </c>
      <c r="AE331" s="219"/>
      <c r="AF331" s="220">
        <f t="shared" si="176"/>
        <v>27.082172204358695</v>
      </c>
      <c r="AG331" s="219"/>
      <c r="AH331" s="220">
        <f t="shared" si="177"/>
        <v>30.367988567345474</v>
      </c>
      <c r="AI331" s="219"/>
      <c r="AJ331" s="288">
        <v>4.1530944625407162</v>
      </c>
      <c r="AK331" s="284" t="s">
        <v>8403</v>
      </c>
      <c r="AL331">
        <v>150</v>
      </c>
      <c r="AM331"/>
      <c r="AN331" s="241">
        <v>70</v>
      </c>
      <c r="AO331" s="242">
        <v>42074</v>
      </c>
      <c r="AP331" s="255">
        <v>104</v>
      </c>
      <c r="AQ331" s="242">
        <v>42108</v>
      </c>
      <c r="AR331">
        <v>125</v>
      </c>
      <c r="AS331" s="297">
        <f t="shared" si="178"/>
        <v>125</v>
      </c>
      <c r="AT331" s="290">
        <v>42129</v>
      </c>
      <c r="AU331" s="298"/>
      <c r="AV331"/>
      <c r="AW331"/>
      <c r="AX331"/>
      <c r="AY331"/>
      <c r="AZ331"/>
      <c r="BA331"/>
      <c r="BB331"/>
      <c r="BC331"/>
      <c r="BD331"/>
      <c r="BE331"/>
      <c r="BF331" s="277">
        <v>-6.7511768341064453</v>
      </c>
      <c r="BG331" s="283">
        <v>42233</v>
      </c>
      <c r="BH331"/>
      <c r="BI331"/>
      <c r="BJ331"/>
      <c r="BK331"/>
      <c r="BL331" s="277">
        <v>67.687881469726563</v>
      </c>
      <c r="BM331" s="283">
        <v>42233</v>
      </c>
      <c r="BN331"/>
      <c r="BO331"/>
      <c r="BP331" s="277">
        <v>3.222585916519165</v>
      </c>
      <c r="BQ331" s="283">
        <v>42233</v>
      </c>
      <c r="BR331" s="277">
        <v>52.650798797607422</v>
      </c>
      <c r="BS331" s="283">
        <v>42233</v>
      </c>
      <c r="BT331" s="277">
        <v>16.250759124755859</v>
      </c>
      <c r="BU331" s="283">
        <v>42233</v>
      </c>
      <c r="BV331" s="277">
        <v>8.1209259033203125</v>
      </c>
      <c r="BW331" s="283">
        <v>42233</v>
      </c>
      <c r="BX331" s="277">
        <v>5.0601119995117187</v>
      </c>
      <c r="BY331" s="283">
        <v>42233</v>
      </c>
      <c r="BZ331"/>
      <c r="CB331" s="266">
        <v>1.73</v>
      </c>
      <c r="CC331"/>
      <c r="CD331" s="277">
        <v>5.5555555555555687</v>
      </c>
      <c r="CE331" s="291" t="s">
        <v>8403</v>
      </c>
      <c r="CF331"/>
      <c r="CG331"/>
      <c r="CH331">
        <v>2</v>
      </c>
      <c r="CI331">
        <v>3</v>
      </c>
      <c r="CK331"/>
      <c r="CL331"/>
      <c r="CM331" s="259">
        <v>42161</v>
      </c>
      <c r="CN331" s="137" t="s">
        <v>8406</v>
      </c>
    </row>
    <row r="332" spans="1:92">
      <c r="A332" s="258">
        <v>545</v>
      </c>
      <c r="B332" s="235">
        <v>545</v>
      </c>
      <c r="C332" s="239" t="s">
        <v>7714</v>
      </c>
      <c r="D332" s="239" t="s">
        <v>7538</v>
      </c>
      <c r="E332" s="239" t="s">
        <v>7714</v>
      </c>
      <c r="F332" s="239" t="s">
        <v>8522</v>
      </c>
      <c r="G332" s="235" t="str">
        <f t="shared" si="172"/>
        <v>Rapsodyn</v>
      </c>
      <c r="H332" s="235" t="s">
        <v>265</v>
      </c>
      <c r="I332" s="235">
        <v>2</v>
      </c>
      <c r="J332" s="239">
        <v>9096</v>
      </c>
      <c r="K332" s="239">
        <v>40</v>
      </c>
      <c r="L332" s="235">
        <f t="shared" si="164"/>
        <v>40</v>
      </c>
      <c r="M332" s="239">
        <v>8</v>
      </c>
      <c r="N332" s="236">
        <v>5</v>
      </c>
      <c r="O332" s="248">
        <v>42048</v>
      </c>
      <c r="P332">
        <v>5.0999999999999996</v>
      </c>
      <c r="Q332" s="264">
        <v>42204</v>
      </c>
      <c r="R332"/>
      <c r="S332"/>
      <c r="T332"/>
      <c r="V332" s="219">
        <f t="shared" si="173"/>
        <v>15.957851973627399</v>
      </c>
      <c r="W332" s="219"/>
      <c r="X332">
        <v>15.55</v>
      </c>
      <c r="Y332"/>
      <c r="Z332"/>
      <c r="AA332"/>
      <c r="AB332" s="220">
        <f t="shared" si="174"/>
        <v>4.7222905616224429</v>
      </c>
      <c r="AC332" s="219"/>
      <c r="AD332" s="221">
        <f t="shared" si="175"/>
        <v>68161.995391645076</v>
      </c>
      <c r="AE332" s="219"/>
      <c r="AF332" s="220">
        <f t="shared" si="176"/>
        <v>31.013707903198508</v>
      </c>
      <c r="AG332" s="219"/>
      <c r="AH332" s="220">
        <f t="shared" si="177"/>
        <v>34.776528261043403</v>
      </c>
      <c r="AI332" s="219"/>
      <c r="AJ332">
        <v>4.55</v>
      </c>
      <c r="AK332" s="284" t="s">
        <v>8400</v>
      </c>
      <c r="AL332">
        <v>145</v>
      </c>
      <c r="AM332"/>
      <c r="AN332" s="241">
        <v>65</v>
      </c>
      <c r="AO332" s="247">
        <v>42069</v>
      </c>
      <c r="AP332" s="255">
        <v>104</v>
      </c>
      <c r="AQ332" s="242">
        <v>42108</v>
      </c>
      <c r="AR332">
        <v>136</v>
      </c>
      <c r="AS332" s="297">
        <f t="shared" si="178"/>
        <v>136</v>
      </c>
      <c r="AT332" s="290">
        <v>42140</v>
      </c>
      <c r="AU332" s="298"/>
      <c r="AV332"/>
      <c r="AW332"/>
      <c r="AX332"/>
      <c r="AY332"/>
      <c r="AZ332"/>
      <c r="BA332"/>
      <c r="BB332"/>
      <c r="BC332"/>
      <c r="BD332"/>
      <c r="BE332"/>
      <c r="BF332" s="277">
        <v>-3.4419190883636475</v>
      </c>
      <c r="BG332" s="283">
        <v>42233</v>
      </c>
      <c r="BH332"/>
      <c r="BI332"/>
      <c r="BJ332"/>
      <c r="BK332"/>
      <c r="BL332" s="277">
        <v>67.264434814453125</v>
      </c>
      <c r="BM332" s="283">
        <v>42233</v>
      </c>
      <c r="BN332"/>
      <c r="BO332"/>
      <c r="BP332" s="277">
        <v>3.4887630939483643</v>
      </c>
      <c r="BQ332" s="283">
        <v>42233</v>
      </c>
      <c r="BR332" s="277">
        <v>51.454189300537109</v>
      </c>
      <c r="BS332" s="283">
        <v>42233</v>
      </c>
      <c r="BT332" s="277">
        <v>15.226462364196777</v>
      </c>
      <c r="BU332" s="283">
        <v>42233</v>
      </c>
      <c r="BV332" s="277">
        <v>18.252691268920898</v>
      </c>
      <c r="BW332" s="283">
        <v>42233</v>
      </c>
      <c r="BX332" s="277">
        <v>5.2841720581054687</v>
      </c>
      <c r="BY332" s="283">
        <v>42233</v>
      </c>
      <c r="BZ332"/>
      <c r="CB332" s="266">
        <v>2.35</v>
      </c>
      <c r="CC332"/>
      <c r="CD332" s="277">
        <v>3.5087719298245648</v>
      </c>
      <c r="CE332" s="291" t="s">
        <v>8400</v>
      </c>
      <c r="CF332"/>
      <c r="CG332"/>
      <c r="CH332">
        <v>2</v>
      </c>
      <c r="CI332">
        <v>2</v>
      </c>
      <c r="CK332"/>
      <c r="CL332"/>
      <c r="CM332" s="259">
        <v>42161</v>
      </c>
      <c r="CN332" s="137" t="s">
        <v>8406</v>
      </c>
    </row>
    <row r="333" spans="1:92">
      <c r="A333" s="258">
        <v>547</v>
      </c>
      <c r="B333" s="235">
        <v>547</v>
      </c>
      <c r="C333" s="235" t="s">
        <v>7764</v>
      </c>
      <c r="D333" s="235" t="s">
        <v>7841</v>
      </c>
      <c r="E333" s="235" t="s">
        <v>7764</v>
      </c>
      <c r="F333" s="235" t="s">
        <v>8596</v>
      </c>
      <c r="G333" s="235" t="str">
        <f t="shared" si="172"/>
        <v>Rapsodyn</v>
      </c>
      <c r="H333" s="235" t="s">
        <v>265</v>
      </c>
      <c r="I333" s="235">
        <v>2</v>
      </c>
      <c r="J333" s="235">
        <v>9135</v>
      </c>
      <c r="K333" s="235">
        <v>38</v>
      </c>
      <c r="L333" s="235">
        <f t="shared" si="164"/>
        <v>38</v>
      </c>
      <c r="M333" s="235">
        <v>8</v>
      </c>
      <c r="N333" s="236">
        <v>5</v>
      </c>
      <c r="O333" s="248">
        <v>42048</v>
      </c>
      <c r="P333">
        <v>4.6500000000000004</v>
      </c>
      <c r="Q333" s="264">
        <v>42204</v>
      </c>
      <c r="R333"/>
      <c r="S333"/>
      <c r="T333"/>
      <c r="V333" s="219">
        <f t="shared" si="173"/>
        <v>14.408282246209758</v>
      </c>
      <c r="W333" s="219"/>
      <c r="X333">
        <v>15.55</v>
      </c>
      <c r="Y333"/>
      <c r="Z333"/>
      <c r="AA333"/>
      <c r="AB333" s="220">
        <f t="shared" si="174"/>
        <v>4.6440332128832109</v>
      </c>
      <c r="AC333" s="219"/>
      <c r="AD333" s="221">
        <f t="shared" si="175"/>
        <v>59788.302117584368</v>
      </c>
      <c r="AE333" s="219"/>
      <c r="AF333" s="220">
        <f t="shared" si="176"/>
        <v>28.220078599499821</v>
      </c>
      <c r="AG333" s="219"/>
      <c r="AH333" s="220">
        <f t="shared" si="177"/>
        <v>31.643954473536464</v>
      </c>
      <c r="AI333" s="219"/>
      <c r="AJ333">
        <v>4.72</v>
      </c>
      <c r="AK333" s="284" t="s">
        <v>8398</v>
      </c>
      <c r="AL333">
        <v>145</v>
      </c>
      <c r="AM333"/>
      <c r="AN333" s="241">
        <v>72</v>
      </c>
      <c r="AO333" s="242">
        <v>42076</v>
      </c>
      <c r="AP333" s="255">
        <v>104</v>
      </c>
      <c r="AQ333" s="242">
        <v>42108</v>
      </c>
      <c r="AR333">
        <v>125</v>
      </c>
      <c r="AS333" s="297">
        <f t="shared" si="178"/>
        <v>125</v>
      </c>
      <c r="AT333" s="290">
        <v>42129</v>
      </c>
      <c r="AU333" s="298"/>
      <c r="AV333"/>
      <c r="AW333"/>
      <c r="AX333"/>
      <c r="AY333"/>
      <c r="AZ333"/>
      <c r="BA333"/>
      <c r="BB333"/>
      <c r="BC333"/>
      <c r="BD333"/>
      <c r="BE333"/>
      <c r="BF333" s="277">
        <v>-1.253777027130127</v>
      </c>
      <c r="BG333" s="283">
        <v>42233</v>
      </c>
      <c r="BH333"/>
      <c r="BI333"/>
      <c r="BJ333"/>
      <c r="BK333"/>
      <c r="BL333" s="277">
        <v>62.563716888427734</v>
      </c>
      <c r="BM333" s="283">
        <v>42233</v>
      </c>
      <c r="BN333"/>
      <c r="BO333"/>
      <c r="BP333" s="277">
        <v>3.6257119178771973</v>
      </c>
      <c r="BQ333" s="283">
        <v>42233</v>
      </c>
      <c r="BR333" s="277">
        <v>51.056846618652344</v>
      </c>
      <c r="BS333" s="283">
        <v>42233</v>
      </c>
      <c r="BT333" s="277">
        <v>16.456485748291016</v>
      </c>
      <c r="BU333" s="283">
        <v>42233</v>
      </c>
      <c r="BV333" s="277">
        <v>10.577724456787109</v>
      </c>
      <c r="BW333" s="283">
        <v>42233</v>
      </c>
      <c r="BX333" s="277">
        <v>5.0848312377929687</v>
      </c>
      <c r="BY333" s="283">
        <v>42233</v>
      </c>
      <c r="BZ333"/>
      <c r="CB333" s="266">
        <v>1.65</v>
      </c>
      <c r="CC333"/>
      <c r="CD333" s="277">
        <v>3.7037037037037068</v>
      </c>
      <c r="CE333" s="291" t="s">
        <v>8398</v>
      </c>
      <c r="CF333"/>
      <c r="CG333"/>
      <c r="CH333">
        <v>2</v>
      </c>
      <c r="CI333">
        <v>3</v>
      </c>
      <c r="CK333"/>
      <c r="CL333"/>
      <c r="CM333" s="259">
        <v>42161</v>
      </c>
      <c r="CN333" s="137" t="s">
        <v>8406</v>
      </c>
    </row>
    <row r="334" spans="1:92">
      <c r="A334" s="258">
        <v>548</v>
      </c>
      <c r="B334" s="235">
        <v>548</v>
      </c>
      <c r="C334" s="235" t="s">
        <v>7775</v>
      </c>
      <c r="D334" s="235" t="s">
        <v>7573</v>
      </c>
      <c r="E334" s="235" t="s">
        <v>7775</v>
      </c>
      <c r="F334" s="235" t="s">
        <v>8571</v>
      </c>
      <c r="G334" s="235" t="str">
        <f t="shared" si="172"/>
        <v>Rapsodyn</v>
      </c>
      <c r="H334" s="235" t="s">
        <v>265</v>
      </c>
      <c r="I334" s="235">
        <v>2</v>
      </c>
      <c r="J334" s="235">
        <v>9146</v>
      </c>
      <c r="K334" s="235">
        <v>37</v>
      </c>
      <c r="L334" s="235">
        <f t="shared" si="164"/>
        <v>37</v>
      </c>
      <c r="M334" s="235">
        <v>8</v>
      </c>
      <c r="N334" s="235">
        <v>7</v>
      </c>
      <c r="O334" s="248">
        <v>42048</v>
      </c>
      <c r="P334">
        <v>4.95</v>
      </c>
      <c r="Q334" s="264">
        <v>42204</v>
      </c>
      <c r="R334"/>
      <c r="S334"/>
      <c r="T334"/>
      <c r="V334" s="219">
        <f t="shared" si="173"/>
        <v>14.903651923857897</v>
      </c>
      <c r="W334" s="219"/>
      <c r="X334">
        <v>15.55</v>
      </c>
      <c r="Y334"/>
      <c r="Z334"/>
      <c r="AA334"/>
      <c r="AB334" s="220">
        <f t="shared" si="174"/>
        <v>4.8150866048570204</v>
      </c>
      <c r="AC334" s="219"/>
      <c r="AD334" s="221">
        <f t="shared" si="175"/>
        <v>60431.872998139697</v>
      </c>
      <c r="AE334" s="219"/>
      <c r="AF334" s="220">
        <f t="shared" si="176"/>
        <v>29.430322150094035</v>
      </c>
      <c r="AG334" s="219"/>
      <c r="AH334" s="220">
        <f t="shared" si="177"/>
        <v>33.00103403239968</v>
      </c>
      <c r="AI334" s="219"/>
      <c r="AJ334">
        <v>4.87</v>
      </c>
      <c r="AK334" s="284" t="s">
        <v>8398</v>
      </c>
      <c r="AL334">
        <v>155</v>
      </c>
      <c r="AM334"/>
      <c r="AN334" s="241">
        <v>72</v>
      </c>
      <c r="AO334" s="242">
        <v>42076</v>
      </c>
      <c r="AP334" s="255">
        <v>104</v>
      </c>
      <c r="AQ334" s="242">
        <v>42108</v>
      </c>
      <c r="AR334">
        <v>139</v>
      </c>
      <c r="AS334" s="297">
        <f t="shared" si="178"/>
        <v>139</v>
      </c>
      <c r="AT334" s="290">
        <v>42143</v>
      </c>
      <c r="AU334" s="298"/>
      <c r="AV334"/>
      <c r="AW334"/>
      <c r="AX334"/>
      <c r="AY334"/>
      <c r="AZ334"/>
      <c r="BA334"/>
      <c r="BB334"/>
      <c r="BC334"/>
      <c r="BD334"/>
      <c r="BE334"/>
      <c r="BF334" s="277">
        <v>-2.2887289524078369</v>
      </c>
      <c r="BG334" s="283">
        <v>42233</v>
      </c>
      <c r="BH334"/>
      <c r="BI334"/>
      <c r="BJ334"/>
      <c r="BK334"/>
      <c r="BL334" s="277">
        <v>64.65625</v>
      </c>
      <c r="BM334" s="283">
        <v>42233</v>
      </c>
      <c r="BN334"/>
      <c r="BO334"/>
      <c r="BP334" s="277">
        <v>3.8779408931732178</v>
      </c>
      <c r="BQ334" s="283">
        <v>42233</v>
      </c>
      <c r="BR334" s="277">
        <v>50.640464782714844</v>
      </c>
      <c r="BS334" s="283">
        <v>42233</v>
      </c>
      <c r="BT334" s="277">
        <v>16.360971450805664</v>
      </c>
      <c r="BU334" s="283">
        <v>42233</v>
      </c>
      <c r="BV334" s="277">
        <v>11.201136589050293</v>
      </c>
      <c r="BW334" s="283">
        <v>42233</v>
      </c>
      <c r="BX334" s="277">
        <v>5.2220458984375</v>
      </c>
      <c r="BY334" s="283">
        <v>42233</v>
      </c>
      <c r="BZ334"/>
      <c r="CB334" s="266">
        <v>1.64</v>
      </c>
      <c r="CC334"/>
      <c r="CD334" s="277">
        <v>5.660377358490563</v>
      </c>
      <c r="CE334" s="291" t="s">
        <v>8398</v>
      </c>
      <c r="CF334"/>
      <c r="CG334"/>
      <c r="CH334">
        <v>2</v>
      </c>
      <c r="CI334">
        <v>3</v>
      </c>
      <c r="CK334"/>
      <c r="CL334"/>
      <c r="CM334" s="259">
        <v>42161</v>
      </c>
      <c r="CN334" s="137" t="s">
        <v>8406</v>
      </c>
    </row>
    <row r="335" spans="1:92">
      <c r="A335" s="258">
        <v>549</v>
      </c>
      <c r="B335" s="235">
        <v>549</v>
      </c>
      <c r="C335" s="235" t="s">
        <v>7768</v>
      </c>
      <c r="D335" s="235" t="s">
        <v>7844</v>
      </c>
      <c r="E335" s="235" t="s">
        <v>7768</v>
      </c>
      <c r="F335" s="235" t="s">
        <v>8481</v>
      </c>
      <c r="G335" s="235" t="str">
        <f t="shared" si="172"/>
        <v>Rapsodyn</v>
      </c>
      <c r="H335" s="235" t="s">
        <v>265</v>
      </c>
      <c r="I335" s="235">
        <v>2</v>
      </c>
      <c r="J335" s="235">
        <v>9139</v>
      </c>
      <c r="K335" s="235">
        <v>36</v>
      </c>
      <c r="L335" s="235">
        <f t="shared" si="164"/>
        <v>36</v>
      </c>
      <c r="M335" s="235">
        <v>8</v>
      </c>
      <c r="N335" s="235">
        <v>7</v>
      </c>
      <c r="O335" s="248">
        <v>42048</v>
      </c>
      <c r="P335">
        <v>5.3</v>
      </c>
      <c r="Q335" s="264">
        <v>42204</v>
      </c>
      <c r="R335"/>
      <c r="S335"/>
      <c r="T335"/>
      <c r="V335" s="219">
        <f t="shared" si="173"/>
        <v>16.518902452765751</v>
      </c>
      <c r="W335" s="219"/>
      <c r="X335">
        <v>15.55</v>
      </c>
      <c r="Y335"/>
      <c r="Z335"/>
      <c r="AA335"/>
      <c r="AB335" s="220">
        <f t="shared" si="174"/>
        <v>5.0572181905728515</v>
      </c>
      <c r="AC335" s="219"/>
      <c r="AD335" s="221">
        <f t="shared" si="175"/>
        <v>64587.993512695532</v>
      </c>
      <c r="AE335" s="219"/>
      <c r="AF335" s="220">
        <f t="shared" si="176"/>
        <v>32.164820769322375</v>
      </c>
      <c r="AG335" s="219"/>
      <c r="AH335" s="220">
        <f t="shared" si="177"/>
        <v>36.067302948331879</v>
      </c>
      <c r="AI335" s="219"/>
      <c r="AJ335">
        <v>4.9800000000000004</v>
      </c>
      <c r="AK335" s="284" t="s">
        <v>8402</v>
      </c>
      <c r="AL335">
        <v>160</v>
      </c>
      <c r="AM335"/>
      <c r="AN335" s="241">
        <v>70</v>
      </c>
      <c r="AO335" s="242">
        <v>42074</v>
      </c>
      <c r="AP335" s="255">
        <v>106</v>
      </c>
      <c r="AQ335" s="242">
        <v>42110</v>
      </c>
      <c r="AR335">
        <v>127</v>
      </c>
      <c r="AS335" s="297">
        <f t="shared" si="178"/>
        <v>127</v>
      </c>
      <c r="AT335" s="290">
        <v>42131</v>
      </c>
      <c r="AU335" s="298"/>
      <c r="AV335"/>
      <c r="AW335"/>
      <c r="AX335"/>
      <c r="AY335"/>
      <c r="AZ335"/>
      <c r="BA335"/>
      <c r="BB335"/>
      <c r="BC335"/>
      <c r="BD335"/>
      <c r="BE335"/>
      <c r="BF335" s="277">
        <v>-5.7019181251525879</v>
      </c>
      <c r="BG335" s="283">
        <v>42233</v>
      </c>
      <c r="BH335"/>
      <c r="BI335"/>
      <c r="BJ335"/>
      <c r="BK335"/>
      <c r="BL335" s="277">
        <v>66.617172241210938</v>
      </c>
      <c r="BM335" s="283">
        <v>42233</v>
      </c>
      <c r="BN335"/>
      <c r="BO335"/>
      <c r="BP335" s="277">
        <v>3.8792788982391357</v>
      </c>
      <c r="BQ335" s="283">
        <v>42233</v>
      </c>
      <c r="BR335" s="277">
        <v>51.357048034667969</v>
      </c>
      <c r="BS335" s="283">
        <v>42233</v>
      </c>
      <c r="BT335" s="277">
        <v>15.722824096679687</v>
      </c>
      <c r="BU335" s="283">
        <v>42233</v>
      </c>
      <c r="BV335" s="277">
        <v>16.083900451660156</v>
      </c>
      <c r="BW335" s="283">
        <v>42233</v>
      </c>
      <c r="BX335" s="277">
        <v>5.4210433959960938</v>
      </c>
      <c r="BY335" s="283">
        <v>42233</v>
      </c>
      <c r="BZ335"/>
      <c r="CB335" s="266">
        <v>1.85</v>
      </c>
      <c r="CC335"/>
      <c r="CD335" s="277">
        <v>3.7037037037037068</v>
      </c>
      <c r="CE335" s="291" t="s">
        <v>8402</v>
      </c>
      <c r="CF335"/>
      <c r="CG335"/>
      <c r="CH335">
        <v>2</v>
      </c>
      <c r="CI335">
        <v>2</v>
      </c>
      <c r="CK335"/>
      <c r="CL335"/>
      <c r="CM335" s="259">
        <v>42161</v>
      </c>
      <c r="CN335" s="137" t="s">
        <v>8406</v>
      </c>
    </row>
    <row r="336" spans="1:92">
      <c r="A336" s="258">
        <v>550</v>
      </c>
      <c r="B336" s="235">
        <v>550</v>
      </c>
      <c r="C336" s="235" t="s">
        <v>7796</v>
      </c>
      <c r="D336" s="235" t="s">
        <v>7594</v>
      </c>
      <c r="E336" s="235" t="s">
        <v>7796</v>
      </c>
      <c r="F336" s="235" t="s">
        <v>8588</v>
      </c>
      <c r="G336" s="235" t="str">
        <f t="shared" si="172"/>
        <v>Rapsodyn</v>
      </c>
      <c r="H336" s="235" t="s">
        <v>265</v>
      </c>
      <c r="I336" s="235">
        <v>2</v>
      </c>
      <c r="J336" s="235">
        <v>9167</v>
      </c>
      <c r="K336" s="235">
        <v>35</v>
      </c>
      <c r="L336" s="235">
        <f t="shared" si="164"/>
        <v>35</v>
      </c>
      <c r="M336" s="235">
        <v>8</v>
      </c>
      <c r="N336" s="235">
        <v>7</v>
      </c>
      <c r="O336" s="248">
        <v>42048</v>
      </c>
      <c r="P336">
        <v>5.15</v>
      </c>
      <c r="Q336" s="264">
        <v>42204</v>
      </c>
      <c r="R336"/>
      <c r="S336"/>
      <c r="T336"/>
      <c r="V336" s="219">
        <f t="shared" si="173"/>
        <v>15.729595980915871</v>
      </c>
      <c r="W336" s="219"/>
      <c r="X336">
        <v>15.55</v>
      </c>
      <c r="Y336"/>
      <c r="Z336"/>
      <c r="AA336"/>
      <c r="AB336" s="220">
        <f t="shared" si="174"/>
        <v>5.0657907571707561</v>
      </c>
      <c r="AC336" s="219"/>
      <c r="AD336" s="221">
        <f t="shared" si="175"/>
        <v>57232.572103458624</v>
      </c>
      <c r="AE336" s="219"/>
      <c r="AF336" s="220">
        <f t="shared" si="176"/>
        <v>30.619426075350365</v>
      </c>
      <c r="AG336" s="219"/>
      <c r="AH336" s="220">
        <f t="shared" si="177"/>
        <v>34.334409144819872</v>
      </c>
      <c r="AI336" s="219"/>
      <c r="AJ336">
        <v>5.35</v>
      </c>
      <c r="AK336" s="284" t="s">
        <v>8402</v>
      </c>
      <c r="AL336">
        <v>160</v>
      </c>
      <c r="AM336"/>
      <c r="AN336" s="241">
        <v>75</v>
      </c>
      <c r="AO336" s="242">
        <v>42079</v>
      </c>
      <c r="AP336" s="255">
        <v>104</v>
      </c>
      <c r="AQ336" s="242">
        <v>42108</v>
      </c>
      <c r="AR336">
        <v>131</v>
      </c>
      <c r="AS336" s="297">
        <f t="shared" si="178"/>
        <v>131</v>
      </c>
      <c r="AT336" s="290">
        <v>42135</v>
      </c>
      <c r="AU336" s="298"/>
      <c r="AV336"/>
      <c r="AW336"/>
      <c r="AX336"/>
      <c r="AY336"/>
      <c r="AZ336"/>
      <c r="BA336"/>
      <c r="BB336"/>
      <c r="BC336"/>
      <c r="BD336"/>
      <c r="BE336"/>
      <c r="BF336" s="277">
        <v>-7.4527420997619629</v>
      </c>
      <c r="BG336" s="283">
        <v>42233</v>
      </c>
      <c r="BH336"/>
      <c r="BI336"/>
      <c r="BJ336"/>
      <c r="BK336"/>
      <c r="BL336" s="277">
        <v>64.75958251953125</v>
      </c>
      <c r="BM336" s="283">
        <v>42233</v>
      </c>
      <c r="BN336"/>
      <c r="BO336"/>
      <c r="BP336" s="277">
        <v>3.6794509887695313</v>
      </c>
      <c r="BQ336" s="283">
        <v>42233</v>
      </c>
      <c r="BR336" s="277">
        <v>51.371295928955078</v>
      </c>
      <c r="BS336" s="283">
        <v>42233</v>
      </c>
      <c r="BT336" s="277">
        <v>16.544368743896484</v>
      </c>
      <c r="BU336" s="283">
        <v>42233</v>
      </c>
      <c r="BV336" s="277">
        <v>14.510560035705566</v>
      </c>
      <c r="BW336" s="283">
        <v>42233</v>
      </c>
      <c r="BX336" s="277">
        <v>5.0724639892578125</v>
      </c>
      <c r="BY336" s="283">
        <v>42233</v>
      </c>
      <c r="BZ336"/>
      <c r="CB336" s="266">
        <v>1.86</v>
      </c>
      <c r="CC336"/>
      <c r="CD336" s="281">
        <v>5.660377358490563</v>
      </c>
      <c r="CE336" s="291" t="s">
        <v>8402</v>
      </c>
      <c r="CF336"/>
      <c r="CG336"/>
      <c r="CH336">
        <v>2</v>
      </c>
      <c r="CI336">
        <v>2</v>
      </c>
      <c r="CK336"/>
      <c r="CL336"/>
      <c r="CM336" s="259">
        <v>42161</v>
      </c>
      <c r="CN336" s="137" t="s">
        <v>8406</v>
      </c>
    </row>
    <row r="337" spans="1:93">
      <c r="A337" s="258">
        <v>551</v>
      </c>
      <c r="B337" s="235">
        <v>551</v>
      </c>
      <c r="C337" s="235" t="s">
        <v>7614</v>
      </c>
      <c r="D337" s="235" t="s">
        <v>7451</v>
      </c>
      <c r="E337" s="235" t="s">
        <v>7614</v>
      </c>
      <c r="F337" s="235" t="s">
        <v>8474</v>
      </c>
      <c r="G337" s="235" t="str">
        <f t="shared" si="172"/>
        <v>Rapsodyn</v>
      </c>
      <c r="H337" s="235" t="s">
        <v>265</v>
      </c>
      <c r="I337" s="235">
        <v>2</v>
      </c>
      <c r="J337" s="235">
        <v>9007</v>
      </c>
      <c r="K337" s="235">
        <v>34</v>
      </c>
      <c r="L337" s="235">
        <f t="shared" si="164"/>
        <v>34</v>
      </c>
      <c r="M337" s="235">
        <v>8</v>
      </c>
      <c r="N337" s="235">
        <v>7</v>
      </c>
      <c r="O337" s="248">
        <v>42048</v>
      </c>
      <c r="P337">
        <v>3.7</v>
      </c>
      <c r="Q337" s="264">
        <v>42204</v>
      </c>
      <c r="R337"/>
      <c r="S337"/>
      <c r="T337"/>
      <c r="V337" s="219">
        <f t="shared" si="173"/>
        <v>11.28729551681886</v>
      </c>
      <c r="W337" s="219"/>
      <c r="X337">
        <v>15.55</v>
      </c>
      <c r="Y337"/>
      <c r="Z337"/>
      <c r="AA337"/>
      <c r="AB337" s="220">
        <f t="shared" si="174"/>
        <v>4.192547707378262</v>
      </c>
      <c r="AC337" s="219"/>
      <c r="AD337" s="221">
        <f t="shared" si="175"/>
        <v>44643.136959941839</v>
      </c>
      <c r="AE337" s="219"/>
      <c r="AF337" s="220">
        <f t="shared" si="176"/>
        <v>22.500141027810685</v>
      </c>
      <c r="AG337" s="219"/>
      <c r="AH337" s="220">
        <f t="shared" si="177"/>
        <v>25.230030307031495</v>
      </c>
      <c r="AI337" s="219"/>
      <c r="AJ337">
        <v>5.04</v>
      </c>
      <c r="AK337" s="284" t="s">
        <v>8403</v>
      </c>
      <c r="AL337">
        <v>165</v>
      </c>
      <c r="AM337"/>
      <c r="AN337" s="241">
        <v>75</v>
      </c>
      <c r="AO337" s="242">
        <v>42079</v>
      </c>
      <c r="AP337" s="255">
        <v>104</v>
      </c>
      <c r="AQ337" s="242">
        <v>42108</v>
      </c>
      <c r="AR337">
        <v>127</v>
      </c>
      <c r="AS337" s="297">
        <f t="shared" si="178"/>
        <v>127</v>
      </c>
      <c r="AT337" s="290">
        <v>42131</v>
      </c>
      <c r="AU337" s="298"/>
      <c r="AV337"/>
      <c r="AW337"/>
      <c r="AX337"/>
      <c r="AY337"/>
      <c r="AZ337"/>
      <c r="BA337"/>
      <c r="BB337"/>
      <c r="BC337"/>
      <c r="BD337"/>
      <c r="BE337"/>
      <c r="BF337" s="277">
        <v>34.295822143554687</v>
      </c>
      <c r="BG337" s="283">
        <v>42230</v>
      </c>
      <c r="BH337"/>
      <c r="BI337"/>
      <c r="BJ337"/>
      <c r="BK337"/>
      <c r="BL337" s="277">
        <v>63.083690643310547</v>
      </c>
      <c r="BM337" s="283">
        <v>42230</v>
      </c>
      <c r="BN337"/>
      <c r="BO337"/>
      <c r="BP337" s="277">
        <v>4.0434842109680176</v>
      </c>
      <c r="BQ337" s="283">
        <v>42230</v>
      </c>
      <c r="BR337" s="277">
        <v>50.165443420410156</v>
      </c>
      <c r="BS337" s="283">
        <v>42230</v>
      </c>
      <c r="BT337" s="277">
        <v>18.633428573608398</v>
      </c>
      <c r="BU337" s="283">
        <v>42230</v>
      </c>
      <c r="BV337" s="277">
        <v>68.681198120117188</v>
      </c>
      <c r="BW337" s="283">
        <v>42230</v>
      </c>
      <c r="BX337" s="277">
        <v>5.287811279296875</v>
      </c>
      <c r="BY337" s="283">
        <v>42230</v>
      </c>
      <c r="BZ337"/>
      <c r="CB337" s="266">
        <v>1.47</v>
      </c>
      <c r="CC337"/>
      <c r="CD337" s="277">
        <v>3.5087719298245648</v>
      </c>
      <c r="CE337" s="291" t="s">
        <v>8403</v>
      </c>
      <c r="CF337"/>
      <c r="CG337"/>
      <c r="CH337">
        <v>2</v>
      </c>
      <c r="CI337">
        <v>3</v>
      </c>
      <c r="CK337"/>
      <c r="CL337">
        <v>3</v>
      </c>
      <c r="CM337" s="259">
        <v>42161</v>
      </c>
      <c r="CN337" s="137" t="s">
        <v>8406</v>
      </c>
    </row>
    <row r="338" spans="1:93">
      <c r="A338" s="258">
        <v>555</v>
      </c>
      <c r="B338" s="235">
        <v>555</v>
      </c>
      <c r="C338" s="235" t="s">
        <v>7640</v>
      </c>
      <c r="D338" s="235" t="s">
        <v>7472</v>
      </c>
      <c r="E338" s="235" t="s">
        <v>7640</v>
      </c>
      <c r="F338" s="235" t="s">
        <v>8430</v>
      </c>
      <c r="G338" s="235" t="str">
        <f t="shared" si="172"/>
        <v>Rapsodyn</v>
      </c>
      <c r="H338" s="235" t="s">
        <v>265</v>
      </c>
      <c r="I338" s="235">
        <v>2</v>
      </c>
      <c r="J338" s="235">
        <v>9028</v>
      </c>
      <c r="K338" s="235">
        <v>30</v>
      </c>
      <c r="L338" s="235">
        <f t="shared" si="164"/>
        <v>30</v>
      </c>
      <c r="M338" s="235">
        <v>8</v>
      </c>
      <c r="N338" s="235">
        <v>7</v>
      </c>
      <c r="O338" s="248">
        <v>42048</v>
      </c>
      <c r="P338">
        <v>2.7</v>
      </c>
      <c r="Q338" s="264">
        <v>42204</v>
      </c>
      <c r="R338"/>
      <c r="S338"/>
      <c r="T338"/>
      <c r="V338" s="219">
        <f t="shared" si="173"/>
        <v>7.9205477241560951</v>
      </c>
      <c r="W338" s="219"/>
      <c r="X338">
        <v>15.55</v>
      </c>
      <c r="Y338"/>
      <c r="Z338"/>
      <c r="AA338"/>
      <c r="AB338" s="220">
        <f t="shared" si="174"/>
        <v>2.7972630211804441</v>
      </c>
      <c r="AC338" s="219"/>
      <c r="AD338" s="221">
        <f t="shared" si="175"/>
        <v>31763.652062618461</v>
      </c>
      <c r="AE338" s="219"/>
      <c r="AF338" s="220">
        <f t="shared" si="176"/>
        <v>16.135935247810178</v>
      </c>
      <c r="AG338" s="219"/>
      <c r="AH338" s="220">
        <f t="shared" si="177"/>
        <v>18.093670383281211</v>
      </c>
      <c r="AI338" s="219"/>
      <c r="AJ338">
        <v>5.08</v>
      </c>
      <c r="AK338" s="284" t="s">
        <v>8403</v>
      </c>
      <c r="AL338">
        <v>130</v>
      </c>
      <c r="AM338"/>
      <c r="AN338" s="241">
        <v>72</v>
      </c>
      <c r="AO338" s="242">
        <v>42076</v>
      </c>
      <c r="AP338" s="255">
        <v>104</v>
      </c>
      <c r="AQ338" s="242">
        <v>42108</v>
      </c>
      <c r="AR338">
        <v>126</v>
      </c>
      <c r="AS338" s="297">
        <f t="shared" si="178"/>
        <v>126</v>
      </c>
      <c r="AT338" s="290">
        <v>42130</v>
      </c>
      <c r="AU338" s="298"/>
      <c r="AV338"/>
      <c r="AW338"/>
      <c r="AX338"/>
      <c r="AY338"/>
      <c r="AZ338"/>
      <c r="BA338"/>
      <c r="BB338"/>
      <c r="BC338"/>
      <c r="BD338"/>
      <c r="BE338"/>
      <c r="BF338" s="277">
        <v>-5.726294994354248</v>
      </c>
      <c r="BG338" s="283">
        <v>42230</v>
      </c>
      <c r="BH338"/>
      <c r="BI338"/>
      <c r="BJ338"/>
      <c r="BK338"/>
      <c r="BL338" s="277">
        <v>61.374652862548828</v>
      </c>
      <c r="BM338" s="283">
        <v>42230</v>
      </c>
      <c r="BN338"/>
      <c r="BO338"/>
      <c r="BP338" s="277">
        <v>3.1805109977722168</v>
      </c>
      <c r="BQ338" s="283">
        <v>42230</v>
      </c>
      <c r="BR338" s="277">
        <v>49.086387634277344</v>
      </c>
      <c r="BS338" s="283">
        <v>42230</v>
      </c>
      <c r="BT338" s="277">
        <v>17.335611343383789</v>
      </c>
      <c r="BU338" s="283">
        <v>42230</v>
      </c>
      <c r="BV338" s="277">
        <v>62.569389343261719</v>
      </c>
      <c r="BW338" s="283">
        <v>42230</v>
      </c>
      <c r="BX338" s="277">
        <v>5.5391159057617187</v>
      </c>
      <c r="BY338" s="283">
        <v>42230</v>
      </c>
      <c r="BZ338"/>
      <c r="CB338" s="266">
        <v>1.87</v>
      </c>
      <c r="CC338"/>
      <c r="CD338" s="277">
        <v>5.1724137931034457</v>
      </c>
      <c r="CE338" s="291" t="s">
        <v>8403</v>
      </c>
      <c r="CF338"/>
      <c r="CG338"/>
      <c r="CH338">
        <v>2</v>
      </c>
      <c r="CI338">
        <v>4</v>
      </c>
      <c r="CK338"/>
      <c r="CL338"/>
      <c r="CM338" s="259">
        <v>42161</v>
      </c>
      <c r="CN338" s="137" t="s">
        <v>8406</v>
      </c>
    </row>
    <row r="339" spans="1:93" s="227" customFormat="1">
      <c r="A339" s="258">
        <v>557</v>
      </c>
      <c r="B339" s="235">
        <v>557</v>
      </c>
      <c r="C339" s="235" t="s">
        <v>7576</v>
      </c>
      <c r="D339" s="235"/>
      <c r="E339" s="235"/>
      <c r="F339" s="235"/>
      <c r="G339" s="235"/>
      <c r="H339" s="235" t="s">
        <v>265</v>
      </c>
      <c r="I339" s="235">
        <v>2</v>
      </c>
      <c r="J339" s="235"/>
      <c r="K339" s="235">
        <v>28</v>
      </c>
      <c r="L339" s="235">
        <f t="shared" si="164"/>
        <v>28</v>
      </c>
      <c r="M339" s="235">
        <v>8</v>
      </c>
      <c r="N339" s="235"/>
      <c r="O339" s="248">
        <v>42048</v>
      </c>
      <c r="P339"/>
      <c r="Q339" s="219"/>
      <c r="R339"/>
      <c r="S339"/>
      <c r="T339"/>
      <c r="U339" s="153"/>
      <c r="V339" s="219"/>
      <c r="W339" s="219"/>
      <c r="X339">
        <v>15.55</v>
      </c>
      <c r="Y339"/>
      <c r="Z339"/>
      <c r="AA339"/>
      <c r="AB339" s="220"/>
      <c r="AC339" s="219"/>
      <c r="AD339" s="221"/>
      <c r="AE339" s="219"/>
      <c r="AF339" s="220"/>
      <c r="AG339" s="219"/>
      <c r="AH339" s="220"/>
      <c r="AI339" s="219"/>
      <c r="AJ339" s="286"/>
      <c r="AK339" s="284"/>
      <c r="AL339"/>
      <c r="AM339"/>
      <c r="AN339" s="241">
        <v>70</v>
      </c>
      <c r="AO339" s="242">
        <v>42074</v>
      </c>
      <c r="AP339" s="255">
        <v>104</v>
      </c>
      <c r="AQ339" s="242">
        <v>42108</v>
      </c>
      <c r="AR339"/>
      <c r="AS339" s="297"/>
      <c r="AT339" s="290"/>
      <c r="AU339" s="298"/>
      <c r="AV339"/>
      <c r="AW339"/>
      <c r="AX339"/>
      <c r="AY339"/>
      <c r="AZ339"/>
      <c r="BA339"/>
      <c r="BB339"/>
      <c r="BC339"/>
      <c r="BD339"/>
      <c r="BE339"/>
      <c r="BF339" s="277"/>
      <c r="BG339" s="235"/>
      <c r="BH339"/>
      <c r="BI339"/>
      <c r="BJ339"/>
      <c r="BK339"/>
      <c r="BL339" s="277"/>
      <c r="BM339" s="235"/>
      <c r="BN339"/>
      <c r="BO339"/>
      <c r="BP339" s="277"/>
      <c r="BQ339" s="235"/>
      <c r="BR339" s="277"/>
      <c r="BS339" s="235"/>
      <c r="BT339" s="277"/>
      <c r="BU339" s="235"/>
      <c r="BV339" s="277"/>
      <c r="BW339" s="235"/>
      <c r="BX339" s="277"/>
      <c r="BY339" s="235"/>
      <c r="BZ339"/>
      <c r="CA339" s="136"/>
      <c r="CB339" s="266"/>
      <c r="CC339"/>
      <c r="CD339" s="277"/>
      <c r="CE339" s="291"/>
      <c r="CF339"/>
      <c r="CG339"/>
      <c r="CH339"/>
      <c r="CI339"/>
      <c r="CK339"/>
      <c r="CL339"/>
      <c r="CM339" s="259">
        <v>42161</v>
      </c>
    </row>
    <row r="340" spans="1:93" s="227" customFormat="1">
      <c r="A340" s="258">
        <v>558</v>
      </c>
      <c r="B340" s="235">
        <v>558</v>
      </c>
      <c r="C340" s="235" t="s">
        <v>7576</v>
      </c>
      <c r="D340" s="235"/>
      <c r="E340" s="235"/>
      <c r="F340" s="235"/>
      <c r="G340" s="235"/>
      <c r="H340" s="235" t="s">
        <v>265</v>
      </c>
      <c r="I340" s="235">
        <v>2</v>
      </c>
      <c r="J340" s="235"/>
      <c r="K340" s="235">
        <v>27</v>
      </c>
      <c r="L340" s="235">
        <f t="shared" si="164"/>
        <v>27</v>
      </c>
      <c r="M340" s="235">
        <v>8</v>
      </c>
      <c r="N340" s="235"/>
      <c r="O340" s="248">
        <v>42048</v>
      </c>
      <c r="P340" s="223"/>
      <c r="Q340" s="224"/>
      <c r="R340" s="223"/>
      <c r="S340" s="223"/>
      <c r="T340" s="223"/>
      <c r="U340" s="225"/>
      <c r="V340" s="219"/>
      <c r="W340" s="224"/>
      <c r="X340">
        <v>15.55</v>
      </c>
      <c r="Y340" s="223"/>
      <c r="Z340" s="223"/>
      <c r="AA340" s="223"/>
      <c r="AB340" s="220"/>
      <c r="AC340" s="224"/>
      <c r="AD340" s="221"/>
      <c r="AE340" s="224"/>
      <c r="AF340" s="220"/>
      <c r="AG340" s="224"/>
      <c r="AH340" s="220"/>
      <c r="AI340" s="224"/>
      <c r="AJ340" s="286"/>
      <c r="AK340" s="290"/>
      <c r="AL340" s="223"/>
      <c r="AM340" s="223"/>
      <c r="AN340" s="241">
        <v>70</v>
      </c>
      <c r="AO340" s="242">
        <v>42074</v>
      </c>
      <c r="AP340" s="255">
        <v>104</v>
      </c>
      <c r="AQ340" s="242">
        <v>42108</v>
      </c>
      <c r="AR340" s="223"/>
      <c r="AS340" s="297"/>
      <c r="AT340" s="290"/>
      <c r="AU340" s="298"/>
      <c r="AV340" s="223"/>
      <c r="AW340" s="223"/>
      <c r="AX340" s="223"/>
      <c r="AY340" s="223"/>
      <c r="AZ340" s="223"/>
      <c r="BA340" s="223"/>
      <c r="BB340" s="223"/>
      <c r="BC340" s="223"/>
      <c r="BD340" s="223"/>
      <c r="BE340" s="223"/>
      <c r="BF340" s="281"/>
      <c r="BG340" s="235"/>
      <c r="BH340" s="223"/>
      <c r="BI340" s="223"/>
      <c r="BJ340" s="223"/>
      <c r="BK340" s="223"/>
      <c r="BL340" s="281"/>
      <c r="BM340" s="235"/>
      <c r="BN340" s="223"/>
      <c r="BO340" s="223"/>
      <c r="BP340" s="281"/>
      <c r="BQ340" s="235"/>
      <c r="BR340" s="281"/>
      <c r="BS340" s="235"/>
      <c r="BT340" s="281"/>
      <c r="BU340" s="235"/>
      <c r="BV340" s="281"/>
      <c r="BW340" s="235"/>
      <c r="BX340" s="281"/>
      <c r="BY340" s="235"/>
      <c r="BZ340" s="223"/>
      <c r="CA340" s="226"/>
      <c r="CB340" s="266"/>
      <c r="CC340" s="223"/>
      <c r="CD340" s="281"/>
      <c r="CE340" s="291"/>
      <c r="CF340" s="223"/>
      <c r="CG340" s="223"/>
      <c r="CH340" s="223"/>
      <c r="CI340" s="223"/>
      <c r="CK340" s="223"/>
      <c r="CL340" s="223"/>
      <c r="CM340" s="259">
        <v>42161</v>
      </c>
    </row>
    <row r="341" spans="1:93" s="227" customFormat="1">
      <c r="A341" s="258">
        <v>559</v>
      </c>
      <c r="B341" s="235">
        <v>559</v>
      </c>
      <c r="C341" s="235" t="s">
        <v>7802</v>
      </c>
      <c r="D341" s="235" t="s">
        <v>7847</v>
      </c>
      <c r="E341" s="235" t="s">
        <v>7802</v>
      </c>
      <c r="F341" s="235" t="s">
        <v>8531</v>
      </c>
      <c r="G341" s="235" t="str">
        <f t="shared" ref="G341:G350" si="179">IF(MID(C341,1,3)="BGA","Complement","Rapsodyn")</f>
        <v>Rapsodyn</v>
      </c>
      <c r="H341" s="235" t="s">
        <v>265</v>
      </c>
      <c r="I341" s="235">
        <v>2</v>
      </c>
      <c r="J341" s="235">
        <v>9173</v>
      </c>
      <c r="K341" s="235">
        <v>26</v>
      </c>
      <c r="L341" s="235">
        <f t="shared" si="164"/>
        <v>26</v>
      </c>
      <c r="M341" s="235">
        <v>8</v>
      </c>
      <c r="N341" s="235">
        <v>7</v>
      </c>
      <c r="O341" s="248">
        <v>42048</v>
      </c>
      <c r="P341">
        <v>4.8</v>
      </c>
      <c r="Q341" s="264">
        <v>42204</v>
      </c>
      <c r="R341"/>
      <c r="S341"/>
      <c r="T341"/>
      <c r="U341" s="153"/>
      <c r="V341" s="219">
        <f t="shared" ref="V341:V350" si="180">+BR341*AF341/100</f>
        <v>14.369247999773911</v>
      </c>
      <c r="W341" s="219"/>
      <c r="X341">
        <v>15.55</v>
      </c>
      <c r="Y341"/>
      <c r="Z341"/>
      <c r="AA341"/>
      <c r="AB341" s="220">
        <f t="shared" ref="AB341:AB350" si="181">+AF341*BT341/100</f>
        <v>4.4881483330925933</v>
      </c>
      <c r="AC341" s="219"/>
      <c r="AD341" s="221">
        <f t="shared" ref="AD341:AD350" si="182">+(AF341/AJ341)*10000</f>
        <v>56131.37892899834</v>
      </c>
      <c r="AE341" s="219"/>
      <c r="AF341" s="220">
        <f t="shared" ref="AF341:AF350" si="183">($P341/$X341)*(((100-$CD341)/100*(100-2)/100))*100</f>
        <v>28.234083601286166</v>
      </c>
      <c r="AG341" s="219"/>
      <c r="AH341" s="220">
        <f t="shared" ref="AH341:AH350" si="184">($P341/$X341)*(((100-$CD341)/(100-9)*(100-2)/(100-2))*100)</f>
        <v>31.659658669304967</v>
      </c>
      <c r="AI341" s="219"/>
      <c r="AJ341">
        <v>5.03</v>
      </c>
      <c r="AK341" s="284" t="s">
        <v>8398</v>
      </c>
      <c r="AL341">
        <v>160</v>
      </c>
      <c r="AM341"/>
      <c r="AN341" s="241">
        <v>70</v>
      </c>
      <c r="AO341" s="242">
        <v>42074</v>
      </c>
      <c r="AP341" s="255">
        <v>106</v>
      </c>
      <c r="AQ341" s="242">
        <v>42110</v>
      </c>
      <c r="AR341">
        <v>127</v>
      </c>
      <c r="AS341" s="297">
        <f t="shared" ref="AS341:AS350" si="185">IF(AR341=0,,AR341)</f>
        <v>127</v>
      </c>
      <c r="AT341" s="290">
        <v>42131</v>
      </c>
      <c r="AU341" s="298"/>
      <c r="AV341"/>
      <c r="AW341"/>
      <c r="AX341"/>
      <c r="AY341"/>
      <c r="AZ341"/>
      <c r="BA341"/>
      <c r="BB341"/>
      <c r="BC341"/>
      <c r="BD341"/>
      <c r="BE341"/>
      <c r="BF341" s="277">
        <v>-7.6886100769042969</v>
      </c>
      <c r="BG341" s="283">
        <v>42230</v>
      </c>
      <c r="BH341"/>
      <c r="BI341"/>
      <c r="BJ341"/>
      <c r="BK341"/>
      <c r="BL341" s="277">
        <v>63.921272277832031</v>
      </c>
      <c r="BM341" s="283">
        <v>42230</v>
      </c>
      <c r="BN341"/>
      <c r="BO341"/>
      <c r="BP341" s="277">
        <v>4.0004630088806152</v>
      </c>
      <c r="BQ341" s="283">
        <v>42230</v>
      </c>
      <c r="BR341" s="277">
        <v>50.893268585205078</v>
      </c>
      <c r="BS341" s="283">
        <v>42230</v>
      </c>
      <c r="BT341" s="277">
        <v>15.896206855773926</v>
      </c>
      <c r="BU341" s="283">
        <v>42230</v>
      </c>
      <c r="BV341" s="277">
        <v>15.822802543640137</v>
      </c>
      <c r="BW341" s="283">
        <v>42230</v>
      </c>
      <c r="BX341" s="277">
        <v>5.62359619140625</v>
      </c>
      <c r="BY341" s="283">
        <v>42230</v>
      </c>
      <c r="BZ341"/>
      <c r="CA341" s="136"/>
      <c r="CB341" s="266">
        <v>1.54</v>
      </c>
      <c r="CC341"/>
      <c r="CD341" s="277">
        <v>6.6666666666666723</v>
      </c>
      <c r="CE341" s="291" t="s">
        <v>8398</v>
      </c>
      <c r="CF341"/>
      <c r="CG341"/>
      <c r="CH341">
        <v>2</v>
      </c>
      <c r="CI341">
        <v>3</v>
      </c>
      <c r="CK341"/>
      <c r="CL341"/>
      <c r="CM341" s="259">
        <v>42161</v>
      </c>
      <c r="CN341" s="137" t="s">
        <v>8406</v>
      </c>
    </row>
    <row r="342" spans="1:93" s="227" customFormat="1">
      <c r="A342" s="258">
        <v>560</v>
      </c>
      <c r="B342" s="235">
        <v>560</v>
      </c>
      <c r="C342" s="235" t="s">
        <v>7650</v>
      </c>
      <c r="D342" s="235" t="s">
        <v>260</v>
      </c>
      <c r="E342" s="235" t="s">
        <v>7650</v>
      </c>
      <c r="F342" s="235" t="s">
        <v>8543</v>
      </c>
      <c r="G342" s="235" t="str">
        <f t="shared" si="179"/>
        <v>Rapsodyn</v>
      </c>
      <c r="H342" s="235" t="s">
        <v>265</v>
      </c>
      <c r="I342" s="235">
        <v>2</v>
      </c>
      <c r="J342" s="235">
        <v>9035</v>
      </c>
      <c r="K342" s="235">
        <v>25</v>
      </c>
      <c r="L342" s="235">
        <f t="shared" si="164"/>
        <v>25</v>
      </c>
      <c r="M342" s="235">
        <v>8</v>
      </c>
      <c r="N342" s="235">
        <v>7</v>
      </c>
      <c r="O342" s="248">
        <v>42048</v>
      </c>
      <c r="P342">
        <v>4.45</v>
      </c>
      <c r="Q342" s="264">
        <v>42204</v>
      </c>
      <c r="R342"/>
      <c r="S342"/>
      <c r="T342"/>
      <c r="U342" s="153"/>
      <c r="V342" s="219">
        <f t="shared" si="180"/>
        <v>12.816089269663191</v>
      </c>
      <c r="W342" s="219"/>
      <c r="X342">
        <v>15.55</v>
      </c>
      <c r="Y342"/>
      <c r="Z342"/>
      <c r="AA342"/>
      <c r="AB342" s="220">
        <f t="shared" si="181"/>
        <v>4.470186110895102</v>
      </c>
      <c r="AC342" s="219"/>
      <c r="AD342" s="221">
        <f t="shared" si="182"/>
        <v>63081.05909490191</v>
      </c>
      <c r="AE342" s="219"/>
      <c r="AF342" s="220">
        <f t="shared" si="183"/>
        <v>25.295504697055666</v>
      </c>
      <c r="AG342" s="219"/>
      <c r="AH342" s="220">
        <f t="shared" si="184"/>
        <v>28.36454888658406</v>
      </c>
      <c r="AI342" s="219"/>
      <c r="AJ342">
        <v>4.01</v>
      </c>
      <c r="AK342" s="284" t="s">
        <v>8400</v>
      </c>
      <c r="AL342">
        <v>125</v>
      </c>
      <c r="AM342"/>
      <c r="AN342" s="241">
        <v>79</v>
      </c>
      <c r="AO342" s="242">
        <v>42083</v>
      </c>
      <c r="AP342" s="255">
        <v>104</v>
      </c>
      <c r="AQ342" s="242">
        <v>42108</v>
      </c>
      <c r="AR342">
        <v>127</v>
      </c>
      <c r="AS342" s="297">
        <f t="shared" si="185"/>
        <v>127</v>
      </c>
      <c r="AT342" s="290">
        <v>42131</v>
      </c>
      <c r="AU342" s="298"/>
      <c r="AV342"/>
      <c r="AW342"/>
      <c r="AX342"/>
      <c r="AY342"/>
      <c r="AZ342"/>
      <c r="BA342"/>
      <c r="BB342"/>
      <c r="BC342"/>
      <c r="BD342"/>
      <c r="BE342"/>
      <c r="BF342" s="277">
        <v>-7.5126690864562988</v>
      </c>
      <c r="BG342" s="283">
        <v>42234</v>
      </c>
      <c r="BH342"/>
      <c r="BI342"/>
      <c r="BJ342"/>
      <c r="BK342"/>
      <c r="BL342" s="277">
        <v>61.925193786621094</v>
      </c>
      <c r="BM342" s="283">
        <v>42234</v>
      </c>
      <c r="BN342"/>
      <c r="BO342"/>
      <c r="BP342" s="277">
        <v>2.3150889873504639</v>
      </c>
      <c r="BQ342" s="283">
        <v>42234</v>
      </c>
      <c r="BR342" s="277">
        <v>50.665481567382812</v>
      </c>
      <c r="BS342" s="283">
        <v>42234</v>
      </c>
      <c r="BT342" s="277">
        <v>17.671859741210937</v>
      </c>
      <c r="BU342" s="283">
        <v>42234</v>
      </c>
      <c r="BV342" s="277">
        <v>48.674354553222656</v>
      </c>
      <c r="BW342" s="283">
        <v>42234</v>
      </c>
      <c r="BX342" s="277">
        <v>5.5223846435546875</v>
      </c>
      <c r="BY342" s="283">
        <v>42234</v>
      </c>
      <c r="BZ342"/>
      <c r="CA342" s="136"/>
      <c r="CB342" s="266">
        <v>1.1599999999999999</v>
      </c>
      <c r="CC342"/>
      <c r="CD342" s="277">
        <v>9.8039215686274517</v>
      </c>
      <c r="CE342" s="291" t="s">
        <v>8400</v>
      </c>
      <c r="CF342"/>
      <c r="CG342"/>
      <c r="CH342">
        <v>1</v>
      </c>
      <c r="CI342">
        <v>2</v>
      </c>
      <c r="CK342"/>
      <c r="CL342"/>
      <c r="CM342" s="259">
        <v>42161</v>
      </c>
      <c r="CN342" s="137" t="s">
        <v>8406</v>
      </c>
    </row>
    <row r="343" spans="1:93">
      <c r="A343" s="258">
        <v>563</v>
      </c>
      <c r="B343" s="235">
        <v>563</v>
      </c>
      <c r="C343" s="235" t="s">
        <v>7722</v>
      </c>
      <c r="D343" s="235" t="s">
        <v>7546</v>
      </c>
      <c r="E343" s="235" t="s">
        <v>7722</v>
      </c>
      <c r="F343" s="235" t="s">
        <v>8584</v>
      </c>
      <c r="G343" s="235" t="str">
        <f t="shared" si="179"/>
        <v>Rapsodyn</v>
      </c>
      <c r="H343" s="235" t="s">
        <v>265</v>
      </c>
      <c r="I343" s="235">
        <v>2</v>
      </c>
      <c r="J343" s="235">
        <v>9104</v>
      </c>
      <c r="K343" s="235">
        <v>22</v>
      </c>
      <c r="L343" s="235">
        <f t="shared" si="164"/>
        <v>22</v>
      </c>
      <c r="M343" s="235">
        <v>8</v>
      </c>
      <c r="N343" s="235">
        <v>7</v>
      </c>
      <c r="O343" s="248">
        <v>42048</v>
      </c>
      <c r="P343">
        <v>5.45</v>
      </c>
      <c r="Q343" s="264">
        <v>42204</v>
      </c>
      <c r="R343"/>
      <c r="S343"/>
      <c r="T343"/>
      <c r="V343" s="219">
        <f t="shared" si="180"/>
        <v>16.210807513774991</v>
      </c>
      <c r="W343" s="219"/>
      <c r="X343">
        <v>15.55</v>
      </c>
      <c r="Y343"/>
      <c r="Z343"/>
      <c r="AA343"/>
      <c r="AB343" s="220">
        <f t="shared" si="181"/>
        <v>5.525902862412539</v>
      </c>
      <c r="AC343" s="219"/>
      <c r="AD343" s="221">
        <f t="shared" si="182"/>
        <v>74917.056322490622</v>
      </c>
      <c r="AE343" s="219"/>
      <c r="AF343" s="220">
        <f t="shared" si="183"/>
        <v>32.439085387638436</v>
      </c>
      <c r="AG343" s="219"/>
      <c r="AH343" s="220">
        <f t="shared" si="184"/>
        <v>36.37484344879843</v>
      </c>
      <c r="AI343" s="219"/>
      <c r="AJ343">
        <v>4.33</v>
      </c>
      <c r="AK343" s="284" t="s">
        <v>8401</v>
      </c>
      <c r="AL343">
        <v>165</v>
      </c>
      <c r="AM343"/>
      <c r="AN343" s="241">
        <v>70</v>
      </c>
      <c r="AO343" s="242">
        <v>42074</v>
      </c>
      <c r="AP343" s="255">
        <v>104</v>
      </c>
      <c r="AQ343" s="242">
        <v>42108</v>
      </c>
      <c r="AR343" s="223">
        <v>127</v>
      </c>
      <c r="AS343" s="297">
        <f t="shared" si="185"/>
        <v>127</v>
      </c>
      <c r="AT343" s="290">
        <v>42131</v>
      </c>
      <c r="AU343" s="298"/>
      <c r="AV343"/>
      <c r="AW343"/>
      <c r="AX343"/>
      <c r="AY343"/>
      <c r="AZ343"/>
      <c r="BA343"/>
      <c r="BB343"/>
      <c r="BC343"/>
      <c r="BD343"/>
      <c r="BE343"/>
      <c r="BF343" s="277">
        <v>-0.9399300217628479</v>
      </c>
      <c r="BG343" s="283">
        <v>42233</v>
      </c>
      <c r="BH343"/>
      <c r="BI343"/>
      <c r="BJ343"/>
      <c r="BK343"/>
      <c r="BL343" s="277">
        <v>62.324298858642578</v>
      </c>
      <c r="BM343" s="283">
        <v>42233</v>
      </c>
      <c r="BN343"/>
      <c r="BO343"/>
      <c r="BP343" s="277">
        <v>3.2681879997253418</v>
      </c>
      <c r="BQ343" s="283">
        <v>42233</v>
      </c>
      <c r="BR343" s="277">
        <v>49.973072052001953</v>
      </c>
      <c r="BS343" s="283">
        <v>42233</v>
      </c>
      <c r="BT343" s="277">
        <v>17.034706115722656</v>
      </c>
      <c r="BU343" s="283">
        <v>42233</v>
      </c>
      <c r="BV343" s="277">
        <v>20.06895637512207</v>
      </c>
      <c r="BW343" s="283">
        <v>42233</v>
      </c>
      <c r="BX343" s="277">
        <v>5.4713058471679687</v>
      </c>
      <c r="BY343" s="283">
        <v>42233</v>
      </c>
      <c r="BZ343"/>
      <c r="CB343" s="266">
        <v>1.74</v>
      </c>
      <c r="CC343"/>
      <c r="CD343" s="277">
        <v>5.5555555555555687</v>
      </c>
      <c r="CE343" s="291" t="s">
        <v>8401</v>
      </c>
      <c r="CF343"/>
      <c r="CG343"/>
      <c r="CH343">
        <v>2</v>
      </c>
      <c r="CI343">
        <v>3</v>
      </c>
      <c r="CK343"/>
      <c r="CL343"/>
      <c r="CM343" s="259">
        <v>42161</v>
      </c>
      <c r="CN343" s="137" t="s">
        <v>8406</v>
      </c>
    </row>
    <row r="344" spans="1:93">
      <c r="A344" s="258">
        <v>564</v>
      </c>
      <c r="B344" s="235">
        <v>564</v>
      </c>
      <c r="C344" s="235" t="s">
        <v>7706</v>
      </c>
      <c r="D344" s="235" t="s">
        <v>7532</v>
      </c>
      <c r="E344" s="235" t="s">
        <v>7706</v>
      </c>
      <c r="F344" s="235" t="s">
        <v>8612</v>
      </c>
      <c r="G344" s="235" t="str">
        <f t="shared" si="179"/>
        <v>Rapsodyn</v>
      </c>
      <c r="H344" s="235" t="s">
        <v>265</v>
      </c>
      <c r="I344" s="235">
        <v>2</v>
      </c>
      <c r="J344" s="235">
        <v>9088</v>
      </c>
      <c r="K344" s="235">
        <v>21</v>
      </c>
      <c r="L344" s="235">
        <f t="shared" si="164"/>
        <v>21</v>
      </c>
      <c r="M344" s="235">
        <v>8</v>
      </c>
      <c r="N344" s="235">
        <v>7</v>
      </c>
      <c r="O344" s="248">
        <v>42048</v>
      </c>
      <c r="P344">
        <v>4.7</v>
      </c>
      <c r="Q344" s="264">
        <v>42204</v>
      </c>
      <c r="R344"/>
      <c r="S344"/>
      <c r="T344"/>
      <c r="V344" s="219">
        <f t="shared" si="180"/>
        <v>14.493540850942924</v>
      </c>
      <c r="W344" s="219"/>
      <c r="X344">
        <v>15.55</v>
      </c>
      <c r="Y344"/>
      <c r="Z344"/>
      <c r="AA344"/>
      <c r="AB344" s="220">
        <f t="shared" si="181"/>
        <v>4.6126184110242843</v>
      </c>
      <c r="AC344" s="219"/>
      <c r="AD344" s="221">
        <f t="shared" si="182"/>
        <v>56784.693766660494</v>
      </c>
      <c r="AE344" s="219"/>
      <c r="AF344" s="220">
        <f t="shared" si="183"/>
        <v>28.562700964630228</v>
      </c>
      <c r="AG344" s="219"/>
      <c r="AH344" s="220">
        <f t="shared" si="184"/>
        <v>32.02814640573024</v>
      </c>
      <c r="AI344" s="219"/>
      <c r="AJ344">
        <v>5.03</v>
      </c>
      <c r="AK344" s="284" t="s">
        <v>8401</v>
      </c>
      <c r="AL344">
        <v>170</v>
      </c>
      <c r="AM344"/>
      <c r="AN344" s="241">
        <v>70</v>
      </c>
      <c r="AO344" s="242">
        <v>42074</v>
      </c>
      <c r="AP344" s="255">
        <v>104</v>
      </c>
      <c r="AQ344" s="242">
        <v>42108</v>
      </c>
      <c r="AR344" s="223">
        <v>127</v>
      </c>
      <c r="AS344" s="297">
        <f t="shared" si="185"/>
        <v>127</v>
      </c>
      <c r="AT344" s="290">
        <v>42131</v>
      </c>
      <c r="AU344" s="298"/>
      <c r="AV344"/>
      <c r="AW344"/>
      <c r="AX344"/>
      <c r="AY344"/>
      <c r="AZ344"/>
      <c r="BA344"/>
      <c r="BB344"/>
      <c r="BC344"/>
      <c r="BD344"/>
      <c r="BE344"/>
      <c r="BF344" s="277">
        <v>0.56348800659179688</v>
      </c>
      <c r="BG344" s="283">
        <v>42233</v>
      </c>
      <c r="BH344"/>
      <c r="BI344"/>
      <c r="BJ344"/>
      <c r="BK344"/>
      <c r="BL344" s="277">
        <v>62.715869903564453</v>
      </c>
      <c r="BM344" s="283">
        <v>42233</v>
      </c>
      <c r="BN344"/>
      <c r="BO344"/>
      <c r="BP344" s="277">
        <v>3.5530209541320801</v>
      </c>
      <c r="BQ344" s="283">
        <v>42233</v>
      </c>
      <c r="BR344" s="277">
        <v>50.742893218994141</v>
      </c>
      <c r="BS344" s="283">
        <v>42233</v>
      </c>
      <c r="BT344" s="277">
        <v>16.149097442626953</v>
      </c>
      <c r="BU344" s="283">
        <v>42233</v>
      </c>
      <c r="BV344" s="277">
        <v>13.80072021484375</v>
      </c>
      <c r="BW344" s="283">
        <v>42233</v>
      </c>
      <c r="BX344" s="277">
        <v>5.2095565795898437</v>
      </c>
      <c r="BY344" s="283">
        <v>42233</v>
      </c>
      <c r="BZ344"/>
      <c r="CB344" s="266">
        <v>1.33</v>
      </c>
      <c r="CC344"/>
      <c r="CD344" s="277">
        <v>3.5714285714285587</v>
      </c>
      <c r="CE344" s="291" t="s">
        <v>8401</v>
      </c>
      <c r="CF344"/>
      <c r="CG344"/>
      <c r="CH344">
        <v>2</v>
      </c>
      <c r="CI344">
        <v>3</v>
      </c>
      <c r="CK344"/>
      <c r="CL344">
        <v>3</v>
      </c>
      <c r="CM344" s="259">
        <v>42161</v>
      </c>
      <c r="CN344" s="137" t="s">
        <v>8406</v>
      </c>
    </row>
    <row r="345" spans="1:93">
      <c r="A345" s="258">
        <v>565</v>
      </c>
      <c r="B345" s="235">
        <v>565</v>
      </c>
      <c r="C345" s="235" t="s">
        <v>7666</v>
      </c>
      <c r="D345" s="235" t="s">
        <v>7495</v>
      </c>
      <c r="E345" s="235" t="s">
        <v>7666</v>
      </c>
      <c r="F345" s="235" t="s">
        <v>8479</v>
      </c>
      <c r="G345" s="235" t="str">
        <f t="shared" si="179"/>
        <v>Rapsodyn</v>
      </c>
      <c r="H345" s="235" t="s">
        <v>265</v>
      </c>
      <c r="I345" s="235">
        <v>2</v>
      </c>
      <c r="J345" s="235">
        <v>9049</v>
      </c>
      <c r="K345" s="235">
        <v>20</v>
      </c>
      <c r="L345" s="235">
        <f t="shared" si="164"/>
        <v>20</v>
      </c>
      <c r="M345" s="235">
        <v>8</v>
      </c>
      <c r="N345" s="235">
        <v>7</v>
      </c>
      <c r="O345" s="248">
        <v>42048</v>
      </c>
      <c r="P345">
        <v>4.5999999999999996</v>
      </c>
      <c r="Q345" s="264">
        <v>42204</v>
      </c>
      <c r="R345"/>
      <c r="S345"/>
      <c r="T345"/>
      <c r="V345" s="219">
        <f t="shared" si="180"/>
        <v>13.994869441290312</v>
      </c>
      <c r="W345" s="219"/>
      <c r="X345">
        <v>15.55</v>
      </c>
      <c r="Y345"/>
      <c r="Z345"/>
      <c r="AA345"/>
      <c r="AB345" s="220">
        <f t="shared" si="181"/>
        <v>4.4866108882610938</v>
      </c>
      <c r="AC345" s="219"/>
      <c r="AD345" s="221">
        <f t="shared" si="182"/>
        <v>56333.714435281436</v>
      </c>
      <c r="AE345" s="219"/>
      <c r="AF345" s="220">
        <f t="shared" si="183"/>
        <v>27.490852644417341</v>
      </c>
      <c r="AG345" s="219"/>
      <c r="AH345" s="220">
        <f t="shared" si="184"/>
        <v>30.826253245590205</v>
      </c>
      <c r="AI345" s="219"/>
      <c r="AJ345">
        <v>4.88</v>
      </c>
      <c r="AK345" s="284" t="s">
        <v>8403</v>
      </c>
      <c r="AL345">
        <v>165</v>
      </c>
      <c r="AM345"/>
      <c r="AN345" s="241">
        <v>75</v>
      </c>
      <c r="AO345" s="242">
        <v>42079</v>
      </c>
      <c r="AP345" s="255">
        <v>106</v>
      </c>
      <c r="AQ345" s="242">
        <v>42110</v>
      </c>
      <c r="AR345" s="223">
        <v>127</v>
      </c>
      <c r="AS345" s="297">
        <f t="shared" si="185"/>
        <v>127</v>
      </c>
      <c r="AT345" s="290">
        <v>42131</v>
      </c>
      <c r="AU345" s="298"/>
      <c r="AV345"/>
      <c r="AW345"/>
      <c r="AX345"/>
      <c r="AY345"/>
      <c r="AZ345"/>
      <c r="BA345"/>
      <c r="BB345"/>
      <c r="BC345"/>
      <c r="BD345"/>
      <c r="BE345"/>
      <c r="BF345" s="277">
        <v>-0.90671300888061523</v>
      </c>
      <c r="BG345" s="283">
        <v>42233</v>
      </c>
      <c r="BH345"/>
      <c r="BI345"/>
      <c r="BJ345"/>
      <c r="BK345"/>
      <c r="BL345" s="277">
        <v>66.772895812988281</v>
      </c>
      <c r="BM345" s="283">
        <v>42233</v>
      </c>
      <c r="BN345"/>
      <c r="BO345"/>
      <c r="BP345" s="277">
        <v>3.4293251037597656</v>
      </c>
      <c r="BQ345" s="283">
        <v>42233</v>
      </c>
      <c r="BR345" s="277">
        <v>50.907367706298828</v>
      </c>
      <c r="BS345" s="283">
        <v>42233</v>
      </c>
      <c r="BT345" s="277">
        <v>16.320377349853516</v>
      </c>
      <c r="BU345" s="283">
        <v>42233</v>
      </c>
      <c r="BV345" s="277">
        <v>15.051353454589844</v>
      </c>
      <c r="BW345" s="283">
        <v>42233</v>
      </c>
      <c r="BX345" s="277">
        <v>5.1709060668945313</v>
      </c>
      <c r="BY345" s="283">
        <v>42233</v>
      </c>
      <c r="BZ345"/>
      <c r="CB345" s="266">
        <v>1.83</v>
      </c>
      <c r="CC345"/>
      <c r="CD345" s="277">
        <v>5.1724137931034457</v>
      </c>
      <c r="CE345" s="291" t="s">
        <v>8403</v>
      </c>
      <c r="CF345"/>
      <c r="CG345"/>
      <c r="CH345">
        <v>2</v>
      </c>
      <c r="CI345">
        <v>4</v>
      </c>
      <c r="CK345"/>
      <c r="CL345">
        <v>2</v>
      </c>
      <c r="CM345" s="259">
        <v>42161</v>
      </c>
      <c r="CN345" s="137" t="s">
        <v>8406</v>
      </c>
    </row>
    <row r="346" spans="1:93">
      <c r="A346" s="258">
        <v>567</v>
      </c>
      <c r="B346" s="235">
        <v>567</v>
      </c>
      <c r="C346" s="236" t="s">
        <v>7803</v>
      </c>
      <c r="D346" s="236" t="s">
        <v>8419</v>
      </c>
      <c r="E346" s="236" t="s">
        <v>7803</v>
      </c>
      <c r="F346" s="236" t="s">
        <v>8436</v>
      </c>
      <c r="G346" s="235" t="str">
        <f t="shared" si="179"/>
        <v>Rapsodyn</v>
      </c>
      <c r="H346" s="235" t="s">
        <v>265</v>
      </c>
      <c r="I346" s="235">
        <v>2</v>
      </c>
      <c r="J346" s="236">
        <v>9174</v>
      </c>
      <c r="K346" s="236">
        <v>18</v>
      </c>
      <c r="L346" s="235">
        <f t="shared" si="164"/>
        <v>18</v>
      </c>
      <c r="M346" s="236">
        <v>8</v>
      </c>
      <c r="N346" s="235">
        <v>7</v>
      </c>
      <c r="O346" s="248">
        <v>42048</v>
      </c>
      <c r="P346">
        <v>5.85</v>
      </c>
      <c r="Q346" s="264">
        <v>42204</v>
      </c>
      <c r="R346"/>
      <c r="S346"/>
      <c r="T346"/>
      <c r="V346" s="219">
        <f t="shared" si="180"/>
        <v>18.084155824851376</v>
      </c>
      <c r="W346" s="219"/>
      <c r="X346">
        <v>15.55</v>
      </c>
      <c r="Y346"/>
      <c r="Z346"/>
      <c r="AA346"/>
      <c r="AB346" s="220">
        <f t="shared" si="181"/>
        <v>5.1599234551248818</v>
      </c>
      <c r="AC346" s="219"/>
      <c r="AD346" s="221">
        <f t="shared" si="182"/>
        <v>81170.928869789946</v>
      </c>
      <c r="AE346" s="219"/>
      <c r="AF346" s="220">
        <f t="shared" si="183"/>
        <v>34.741157556270096</v>
      </c>
      <c r="AG346" s="219"/>
      <c r="AH346" s="220">
        <f t="shared" si="184"/>
        <v>38.956220628246356</v>
      </c>
      <c r="AI346" s="219"/>
      <c r="AJ346">
        <v>4.28</v>
      </c>
      <c r="AK346" s="284" t="s">
        <v>8399</v>
      </c>
      <c r="AL346">
        <v>170</v>
      </c>
      <c r="AM346"/>
      <c r="AN346" s="241">
        <v>63</v>
      </c>
      <c r="AO346" s="243">
        <v>42067</v>
      </c>
      <c r="AP346" s="255">
        <v>104</v>
      </c>
      <c r="AQ346" s="242">
        <v>42108</v>
      </c>
      <c r="AR346" s="223">
        <v>130</v>
      </c>
      <c r="AS346" s="297">
        <f t="shared" si="185"/>
        <v>130</v>
      </c>
      <c r="AT346" s="290">
        <v>42134</v>
      </c>
      <c r="AU346" s="298"/>
      <c r="AV346"/>
      <c r="AW346"/>
      <c r="AX346"/>
      <c r="AY346"/>
      <c r="AZ346"/>
      <c r="BA346"/>
      <c r="BB346"/>
      <c r="BC346"/>
      <c r="BD346"/>
      <c r="BE346"/>
      <c r="BF346" s="277">
        <v>-3.9635870456695557</v>
      </c>
      <c r="BG346" s="283">
        <v>42230</v>
      </c>
      <c r="BH346"/>
      <c r="BI346"/>
      <c r="BJ346"/>
      <c r="BK346"/>
      <c r="BL346" s="277">
        <v>64.577392578125</v>
      </c>
      <c r="BM346" s="283">
        <v>42230</v>
      </c>
      <c r="BN346"/>
      <c r="BO346"/>
      <c r="BP346" s="277">
        <v>3.4670329093933105</v>
      </c>
      <c r="BQ346" s="283">
        <v>42230</v>
      </c>
      <c r="BR346" s="277">
        <v>52.053981781005859</v>
      </c>
      <c r="BS346" s="283">
        <v>42230</v>
      </c>
      <c r="BT346" s="277">
        <v>14.852479934692383</v>
      </c>
      <c r="BU346" s="283">
        <v>42230</v>
      </c>
      <c r="BV346" s="277">
        <v>14.503463745117188</v>
      </c>
      <c r="BW346" s="283">
        <v>42230</v>
      </c>
      <c r="BX346" s="277">
        <v>5.5824966430664062</v>
      </c>
      <c r="BY346" s="283">
        <v>42230</v>
      </c>
      <c r="BZ346"/>
      <c r="CB346" s="266">
        <v>2.36</v>
      </c>
      <c r="CC346"/>
      <c r="CD346" s="277">
        <v>5.7692307692307656</v>
      </c>
      <c r="CE346" s="291" t="s">
        <v>8399</v>
      </c>
      <c r="CF346"/>
      <c r="CG346"/>
      <c r="CH346">
        <v>1</v>
      </c>
      <c r="CI346">
        <v>4</v>
      </c>
      <c r="CK346"/>
      <c r="CL346"/>
      <c r="CM346" s="259">
        <v>42161</v>
      </c>
      <c r="CN346" s="137" t="s">
        <v>8406</v>
      </c>
    </row>
    <row r="347" spans="1:93">
      <c r="A347" s="258">
        <v>573</v>
      </c>
      <c r="B347" s="235">
        <v>573</v>
      </c>
      <c r="C347" s="235" t="s">
        <v>7660</v>
      </c>
      <c r="D347" s="235" t="s">
        <v>7490</v>
      </c>
      <c r="E347" s="235" t="s">
        <v>7660</v>
      </c>
      <c r="F347" s="235" t="s">
        <v>8454</v>
      </c>
      <c r="G347" s="235" t="str">
        <f t="shared" si="179"/>
        <v>Rapsodyn</v>
      </c>
      <c r="H347" s="235" t="s">
        <v>265</v>
      </c>
      <c r="I347" s="235">
        <v>2</v>
      </c>
      <c r="J347" s="235">
        <v>9043</v>
      </c>
      <c r="K347" s="235">
        <v>12</v>
      </c>
      <c r="L347" s="235">
        <f t="shared" si="164"/>
        <v>12</v>
      </c>
      <c r="M347" s="235">
        <v>8</v>
      </c>
      <c r="N347" s="235">
        <v>7</v>
      </c>
      <c r="O347" s="248">
        <v>42048</v>
      </c>
      <c r="P347">
        <v>4.8</v>
      </c>
      <c r="Q347" s="264">
        <v>42204</v>
      </c>
      <c r="R347"/>
      <c r="S347"/>
      <c r="T347"/>
      <c r="V347" s="219">
        <f t="shared" si="180"/>
        <v>14.622314539063822</v>
      </c>
      <c r="W347" s="219"/>
      <c r="X347">
        <v>15.55</v>
      </c>
      <c r="Y347"/>
      <c r="Z347"/>
      <c r="AA347"/>
      <c r="AB347" s="220">
        <f t="shared" si="181"/>
        <v>4.6149216440394154</v>
      </c>
      <c r="AC347" s="219"/>
      <c r="AD347" s="221">
        <f t="shared" si="182"/>
        <v>63970.214926383487</v>
      </c>
      <c r="AE347" s="219"/>
      <c r="AF347" s="220">
        <f t="shared" si="183"/>
        <v>28.658656287019802</v>
      </c>
      <c r="AG347" s="219"/>
      <c r="AH347" s="220">
        <f t="shared" si="184"/>
        <v>32.135743762076473</v>
      </c>
      <c r="AI347" s="219"/>
      <c r="AJ347">
        <v>4.4800000000000004</v>
      </c>
      <c r="AK347" s="284" t="s">
        <v>8399</v>
      </c>
      <c r="AL347">
        <v>155</v>
      </c>
      <c r="AM347"/>
      <c r="AN347" s="241">
        <v>79</v>
      </c>
      <c r="AO347" s="242">
        <v>42083</v>
      </c>
      <c r="AP347" s="255">
        <v>106</v>
      </c>
      <c r="AQ347" s="242">
        <v>42110</v>
      </c>
      <c r="AR347" s="223">
        <v>131</v>
      </c>
      <c r="AS347" s="297">
        <f t="shared" si="185"/>
        <v>131</v>
      </c>
      <c r="AT347" s="290">
        <v>42135</v>
      </c>
      <c r="AU347" s="298"/>
      <c r="AV347"/>
      <c r="AW347"/>
      <c r="AX347"/>
      <c r="AY347"/>
      <c r="AZ347"/>
      <c r="BA347"/>
      <c r="BB347"/>
      <c r="BC347"/>
      <c r="BD347"/>
      <c r="BE347"/>
      <c r="BF347" s="277">
        <v>-1.4785840511322021</v>
      </c>
      <c r="BG347" s="283">
        <v>42233</v>
      </c>
      <c r="BH347"/>
      <c r="BI347"/>
      <c r="BJ347"/>
      <c r="BK347"/>
      <c r="BL347" s="277">
        <v>63.230251312255859</v>
      </c>
      <c r="BM347" s="283">
        <v>42233</v>
      </c>
      <c r="BN347"/>
      <c r="BO347"/>
      <c r="BP347" s="277">
        <v>3.7163031101226807</v>
      </c>
      <c r="BQ347" s="283">
        <v>42233</v>
      </c>
      <c r="BR347" s="277">
        <v>51.022331237792969</v>
      </c>
      <c r="BS347" s="283">
        <v>42233</v>
      </c>
      <c r="BT347" s="277">
        <v>16.103063583374023</v>
      </c>
      <c r="BU347" s="283">
        <v>42233</v>
      </c>
      <c r="BV347" s="277">
        <v>10.208942413330078</v>
      </c>
      <c r="BW347" s="283">
        <v>42233</v>
      </c>
      <c r="BX347" s="277">
        <v>5.3608551025390625</v>
      </c>
      <c r="BY347" s="283">
        <v>42233</v>
      </c>
      <c r="BZ347"/>
      <c r="CB347" s="266">
        <v>1.17</v>
      </c>
      <c r="CC347"/>
      <c r="CD347" s="277">
        <v>5.2631578947368389</v>
      </c>
      <c r="CE347" s="291" t="s">
        <v>8399</v>
      </c>
      <c r="CF347"/>
      <c r="CG347"/>
      <c r="CH347">
        <v>2</v>
      </c>
      <c r="CI347">
        <v>4</v>
      </c>
      <c r="CK347"/>
      <c r="CL347"/>
      <c r="CM347" s="259">
        <v>42161</v>
      </c>
      <c r="CN347" s="137" t="s">
        <v>8406</v>
      </c>
    </row>
    <row r="348" spans="1:93">
      <c r="A348" s="258">
        <v>574</v>
      </c>
      <c r="B348" s="235">
        <v>574</v>
      </c>
      <c r="C348" s="235" t="s">
        <v>7652</v>
      </c>
      <c r="D348" s="235" t="s">
        <v>7483</v>
      </c>
      <c r="E348" s="235" t="s">
        <v>7652</v>
      </c>
      <c r="F348" s="235" t="s">
        <v>8621</v>
      </c>
      <c r="G348" s="235" t="str">
        <f t="shared" si="179"/>
        <v>Rapsodyn</v>
      </c>
      <c r="H348" s="235" t="s">
        <v>265</v>
      </c>
      <c r="I348" s="235">
        <v>2</v>
      </c>
      <c r="J348" s="235">
        <v>9036</v>
      </c>
      <c r="K348" s="235">
        <v>11</v>
      </c>
      <c r="L348" s="235">
        <f t="shared" si="164"/>
        <v>11</v>
      </c>
      <c r="M348" s="235">
        <v>8</v>
      </c>
      <c r="N348" s="235">
        <v>7</v>
      </c>
      <c r="O348" s="248">
        <v>42048</v>
      </c>
      <c r="P348" s="223">
        <v>3.85</v>
      </c>
      <c r="Q348" s="264">
        <v>42204</v>
      </c>
      <c r="R348" s="223"/>
      <c r="S348" s="223"/>
      <c r="T348" s="223"/>
      <c r="U348" s="225"/>
      <c r="V348" s="219">
        <f t="shared" si="180"/>
        <v>10.59317898581649</v>
      </c>
      <c r="W348" s="224"/>
      <c r="X348">
        <v>15.55</v>
      </c>
      <c r="Y348" s="223"/>
      <c r="Z348" s="223"/>
      <c r="AA348" s="223"/>
      <c r="AB348" s="220">
        <f t="shared" si="181"/>
        <v>4.2191668135713538</v>
      </c>
      <c r="AC348" s="224"/>
      <c r="AD348" s="221">
        <f t="shared" si="182"/>
        <v>44438.947975925468</v>
      </c>
      <c r="AE348" s="224"/>
      <c r="AF348" s="220">
        <f t="shared" si="183"/>
        <v>22.530546623794212</v>
      </c>
      <c r="AG348" s="224"/>
      <c r="AH348" s="220">
        <f t="shared" si="184"/>
        <v>25.264124942581535</v>
      </c>
      <c r="AI348" s="224"/>
      <c r="AJ348">
        <v>5.07</v>
      </c>
      <c r="AK348" s="290" t="s">
        <v>8399</v>
      </c>
      <c r="AL348" s="223">
        <v>145</v>
      </c>
      <c r="AM348" s="223"/>
      <c r="AN348" s="241">
        <v>75</v>
      </c>
      <c r="AO348" s="242">
        <v>42079</v>
      </c>
      <c r="AP348" s="255">
        <v>104</v>
      </c>
      <c r="AQ348" s="242">
        <v>42108</v>
      </c>
      <c r="AR348" s="223">
        <v>131</v>
      </c>
      <c r="AS348" s="297">
        <f t="shared" si="185"/>
        <v>131</v>
      </c>
      <c r="AT348" s="290">
        <v>42135</v>
      </c>
      <c r="AU348" s="298"/>
      <c r="AV348" s="223"/>
      <c r="AW348" s="223"/>
      <c r="AX348" s="223"/>
      <c r="AY348" s="223"/>
      <c r="AZ348" s="223"/>
      <c r="BA348" s="223"/>
      <c r="BB348" s="223"/>
      <c r="BC348" s="223"/>
      <c r="BD348" s="223"/>
      <c r="BE348" s="223"/>
      <c r="BF348" s="281">
        <v>-4.7703862190246582</v>
      </c>
      <c r="BG348" s="283">
        <v>42233</v>
      </c>
      <c r="BH348" s="223"/>
      <c r="BI348" s="223"/>
      <c r="BJ348" s="223"/>
      <c r="BK348" s="223"/>
      <c r="BL348" s="281">
        <v>63.855903625488281</v>
      </c>
      <c r="BM348" s="283">
        <v>42233</v>
      </c>
      <c r="BN348" s="223"/>
      <c r="BO348" s="223"/>
      <c r="BP348" s="281">
        <v>3.4389619827270508</v>
      </c>
      <c r="BQ348" s="283">
        <v>42233</v>
      </c>
      <c r="BR348" s="281">
        <v>47.016963958740234</v>
      </c>
      <c r="BS348" s="283">
        <v>42233</v>
      </c>
      <c r="BT348" s="281">
        <v>18.726428985595703</v>
      </c>
      <c r="BU348" s="283">
        <v>42233</v>
      </c>
      <c r="BV348" s="281">
        <v>51.361557006835938</v>
      </c>
      <c r="BW348" s="283">
        <v>42233</v>
      </c>
      <c r="BX348" s="281">
        <v>5.8103179931640625</v>
      </c>
      <c r="BY348" s="283">
        <v>42233</v>
      </c>
      <c r="BZ348" s="223"/>
      <c r="CA348" s="226"/>
      <c r="CB348" s="266">
        <v>1.76</v>
      </c>
      <c r="CC348" s="223"/>
      <c r="CD348" s="281">
        <v>7.1428571428571344</v>
      </c>
      <c r="CE348" s="291" t="s">
        <v>8399</v>
      </c>
      <c r="CF348" s="223"/>
      <c r="CG348" s="223"/>
      <c r="CH348" s="223">
        <v>1</v>
      </c>
      <c r="CI348" s="223">
        <v>4</v>
      </c>
      <c r="CK348" s="223"/>
      <c r="CL348" s="223"/>
      <c r="CM348" s="259">
        <v>42161</v>
      </c>
      <c r="CN348" s="137" t="s">
        <v>8406</v>
      </c>
    </row>
    <row r="349" spans="1:93">
      <c r="A349" s="258">
        <v>577</v>
      </c>
      <c r="B349" s="235">
        <v>577</v>
      </c>
      <c r="C349" s="235" t="s">
        <v>7638</v>
      </c>
      <c r="D349" s="235" t="s">
        <v>7471</v>
      </c>
      <c r="E349" s="235" t="s">
        <v>7638</v>
      </c>
      <c r="F349" s="235" t="s">
        <v>8519</v>
      </c>
      <c r="G349" s="235" t="str">
        <f t="shared" si="179"/>
        <v>Rapsodyn</v>
      </c>
      <c r="H349" s="235" t="s">
        <v>265</v>
      </c>
      <c r="I349" s="235">
        <v>2</v>
      </c>
      <c r="J349" s="235">
        <v>9026</v>
      </c>
      <c r="K349" s="235">
        <v>8</v>
      </c>
      <c r="L349" s="235">
        <f t="shared" si="164"/>
        <v>8</v>
      </c>
      <c r="M349" s="235">
        <v>8</v>
      </c>
      <c r="N349" s="236">
        <v>5</v>
      </c>
      <c r="O349" s="248">
        <v>42048</v>
      </c>
      <c r="P349">
        <v>3.05</v>
      </c>
      <c r="Q349" s="264">
        <v>42204</v>
      </c>
      <c r="R349"/>
      <c r="S349"/>
      <c r="T349"/>
      <c r="V349" s="219">
        <f t="shared" si="180"/>
        <v>8.2451319063438095</v>
      </c>
      <c r="W349" s="219"/>
      <c r="X349">
        <v>15.55</v>
      </c>
      <c r="Y349"/>
      <c r="Z349"/>
      <c r="AA349"/>
      <c r="AB349" s="220">
        <f t="shared" si="181"/>
        <v>3.9348330427979348</v>
      </c>
      <c r="AC349" s="219"/>
      <c r="AD349" s="221">
        <f t="shared" si="182"/>
        <v>29200.838180570106</v>
      </c>
      <c r="AE349" s="219"/>
      <c r="AF349" s="220">
        <f t="shared" si="183"/>
        <v>18.192122186495176</v>
      </c>
      <c r="AG349" s="219"/>
      <c r="AH349" s="220">
        <f t="shared" si="184"/>
        <v>20.399329655186335</v>
      </c>
      <c r="AI349" s="219"/>
      <c r="AJ349">
        <v>6.23</v>
      </c>
      <c r="AK349" s="284" t="s">
        <v>8398</v>
      </c>
      <c r="AL349">
        <v>155</v>
      </c>
      <c r="AM349"/>
      <c r="AN349" s="241">
        <v>79</v>
      </c>
      <c r="AO349" s="242">
        <v>42083</v>
      </c>
      <c r="AP349" s="255">
        <v>106</v>
      </c>
      <c r="AQ349" s="242">
        <v>42110</v>
      </c>
      <c r="AR349" s="223">
        <v>131</v>
      </c>
      <c r="AS349" s="297">
        <f t="shared" si="185"/>
        <v>131</v>
      </c>
      <c r="AT349" s="290">
        <v>42135</v>
      </c>
      <c r="AU349" s="298"/>
      <c r="AV349"/>
      <c r="AW349"/>
      <c r="AX349"/>
      <c r="AY349"/>
      <c r="AZ349"/>
      <c r="BA349"/>
      <c r="BB349"/>
      <c r="BC349"/>
      <c r="BD349"/>
      <c r="BE349"/>
      <c r="BF349" s="277">
        <v>-5.4985637664794922</v>
      </c>
      <c r="BG349" s="283">
        <v>42230</v>
      </c>
      <c r="BH349"/>
      <c r="BI349"/>
      <c r="BJ349"/>
      <c r="BK349"/>
      <c r="BL349" s="277">
        <v>56.080978393554688</v>
      </c>
      <c r="BM349" s="283">
        <v>42230</v>
      </c>
      <c r="BN349"/>
      <c r="BO349"/>
      <c r="BP349" s="277">
        <v>3.5687201023101807</v>
      </c>
      <c r="BQ349" s="283">
        <v>42230</v>
      </c>
      <c r="BR349" s="277">
        <v>45.322540283203125</v>
      </c>
      <c r="BS349" s="283">
        <v>42230</v>
      </c>
      <c r="BT349" s="277">
        <v>21.629323959350586</v>
      </c>
      <c r="BU349" s="283">
        <v>42230</v>
      </c>
      <c r="BV349" s="277">
        <v>73.45953369140625</v>
      </c>
      <c r="BW349" s="283">
        <v>42230</v>
      </c>
      <c r="BX349" s="277">
        <v>6.0118865966796875</v>
      </c>
      <c r="BY349" s="283">
        <v>42230</v>
      </c>
      <c r="BZ349"/>
      <c r="CB349" s="266">
        <v>1</v>
      </c>
      <c r="CC349"/>
      <c r="CD349" s="277">
        <v>5.3571428571428541</v>
      </c>
      <c r="CE349" s="291" t="s">
        <v>8398</v>
      </c>
      <c r="CF349"/>
      <c r="CG349"/>
      <c r="CH349">
        <v>2</v>
      </c>
      <c r="CI349">
        <v>2</v>
      </c>
      <c r="CK349"/>
      <c r="CL349">
        <v>5</v>
      </c>
      <c r="CM349" s="259">
        <v>42161</v>
      </c>
      <c r="CN349" s="137" t="s">
        <v>8406</v>
      </c>
    </row>
    <row r="350" spans="1:93">
      <c r="A350" s="258">
        <v>578</v>
      </c>
      <c r="B350" s="235">
        <v>578</v>
      </c>
      <c r="C350" s="235" t="s">
        <v>7624</v>
      </c>
      <c r="D350" s="235" t="s">
        <v>7459</v>
      </c>
      <c r="E350" s="235" t="s">
        <v>7624</v>
      </c>
      <c r="F350" s="235" t="s">
        <v>8504</v>
      </c>
      <c r="G350" s="235" t="str">
        <f t="shared" si="179"/>
        <v>Rapsodyn</v>
      </c>
      <c r="H350" s="235" t="s">
        <v>265</v>
      </c>
      <c r="I350" s="235">
        <v>2</v>
      </c>
      <c r="J350" s="235">
        <v>9016</v>
      </c>
      <c r="K350" s="235">
        <v>7</v>
      </c>
      <c r="L350" s="235">
        <f t="shared" ref="L350:L389" si="186">K350</f>
        <v>7</v>
      </c>
      <c r="M350" s="235">
        <v>8</v>
      </c>
      <c r="N350" s="235">
        <v>5</v>
      </c>
      <c r="O350" s="248">
        <v>42048</v>
      </c>
      <c r="P350">
        <v>3.5</v>
      </c>
      <c r="Q350" s="264">
        <v>42204</v>
      </c>
      <c r="R350"/>
      <c r="S350"/>
      <c r="T350"/>
      <c r="V350" s="219">
        <f t="shared" si="180"/>
        <v>10.170227715889517</v>
      </c>
      <c r="W350" s="219"/>
      <c r="X350">
        <v>15.55</v>
      </c>
      <c r="Y350"/>
      <c r="Z350"/>
      <c r="AA350"/>
      <c r="AB350" s="220">
        <f t="shared" si="181"/>
        <v>3.8126573666247845</v>
      </c>
      <c r="AC350" s="219"/>
      <c r="AD350" s="221">
        <f t="shared" si="182"/>
        <v>37218.777756251235</v>
      </c>
      <c r="AE350" s="219"/>
      <c r="AF350" s="220">
        <f t="shared" si="183"/>
        <v>20.916953099013195</v>
      </c>
      <c r="AG350" s="219"/>
      <c r="AH350" s="220">
        <f t="shared" si="184"/>
        <v>23.454757904253416</v>
      </c>
      <c r="AI350" s="219"/>
      <c r="AJ350">
        <v>5.62</v>
      </c>
      <c r="AK350" s="284" t="s">
        <v>8398</v>
      </c>
      <c r="AL350">
        <v>155</v>
      </c>
      <c r="AM350"/>
      <c r="AN350" s="241">
        <v>70</v>
      </c>
      <c r="AO350" s="242">
        <v>42074</v>
      </c>
      <c r="AP350" s="255">
        <v>104</v>
      </c>
      <c r="AQ350" s="242">
        <v>42108</v>
      </c>
      <c r="AR350" s="223">
        <v>131</v>
      </c>
      <c r="AS350" s="297">
        <f t="shared" si="185"/>
        <v>131</v>
      </c>
      <c r="AT350" s="290">
        <v>42135</v>
      </c>
      <c r="AU350" s="298"/>
      <c r="AV350"/>
      <c r="AW350"/>
      <c r="AX350"/>
      <c r="AY350"/>
      <c r="AZ350"/>
      <c r="BA350"/>
      <c r="BB350"/>
      <c r="BC350"/>
      <c r="BD350"/>
      <c r="BE350"/>
      <c r="BF350" s="277">
        <v>19.583467483520508</v>
      </c>
      <c r="BG350" s="283">
        <v>42230</v>
      </c>
      <c r="BH350"/>
      <c r="BI350"/>
      <c r="BJ350"/>
      <c r="BK350"/>
      <c r="BL350" s="277">
        <v>61.520313262939453</v>
      </c>
      <c r="BM350" s="283">
        <v>42230</v>
      </c>
      <c r="BN350"/>
      <c r="BO350"/>
      <c r="BP350" s="277">
        <v>3.9011960029602051</v>
      </c>
      <c r="BQ350" s="283">
        <v>42230</v>
      </c>
      <c r="BR350" s="277">
        <v>48.621936798095703</v>
      </c>
      <c r="BS350" s="283">
        <v>42230</v>
      </c>
      <c r="BT350" s="277">
        <v>18.227594375610352</v>
      </c>
      <c r="BU350" s="283">
        <v>42230</v>
      </c>
      <c r="BV350" s="277">
        <v>51.165641784667969</v>
      </c>
      <c r="BW350" s="283">
        <v>42230</v>
      </c>
      <c r="BX350" s="277">
        <v>5.91650390625</v>
      </c>
      <c r="BY350" s="283">
        <v>42230</v>
      </c>
      <c r="BZ350"/>
      <c r="CB350" s="266">
        <v>1.18</v>
      </c>
      <c r="CC350"/>
      <c r="CD350" s="277">
        <v>5.1724137931034457</v>
      </c>
      <c r="CE350" s="291" t="s">
        <v>8398</v>
      </c>
      <c r="CF350"/>
      <c r="CG350"/>
      <c r="CH350">
        <v>3</v>
      </c>
      <c r="CI350">
        <v>3</v>
      </c>
      <c r="CK350"/>
      <c r="CL350">
        <v>5</v>
      </c>
      <c r="CM350" s="259">
        <v>42161</v>
      </c>
      <c r="CN350" s="137" t="s">
        <v>8406</v>
      </c>
    </row>
    <row r="351" spans="1:93">
      <c r="A351" s="258">
        <v>579</v>
      </c>
      <c r="B351" s="235">
        <v>579</v>
      </c>
      <c r="C351" s="235" t="s">
        <v>7576</v>
      </c>
      <c r="D351" s="235"/>
      <c r="E351" s="235"/>
      <c r="F351" s="235"/>
      <c r="G351" s="235"/>
      <c r="H351" s="235" t="s">
        <v>265</v>
      </c>
      <c r="I351" s="235">
        <v>2</v>
      </c>
      <c r="K351" s="235">
        <v>6</v>
      </c>
      <c r="L351" s="235">
        <f t="shared" si="186"/>
        <v>6</v>
      </c>
      <c r="M351" s="235">
        <v>8</v>
      </c>
      <c r="O351" s="248">
        <v>42048</v>
      </c>
      <c r="P351"/>
      <c r="Q351" s="219"/>
      <c r="R351"/>
      <c r="S351"/>
      <c r="T351"/>
      <c r="V351" s="219"/>
      <c r="W351" s="219"/>
      <c r="X351">
        <v>15.55</v>
      </c>
      <c r="Y351"/>
      <c r="Z351"/>
      <c r="AA351"/>
      <c r="AB351" s="220"/>
      <c r="AC351" s="219"/>
      <c r="AD351" s="221"/>
      <c r="AE351" s="219"/>
      <c r="AF351" s="220"/>
      <c r="AG351" s="219"/>
      <c r="AH351" s="220"/>
      <c r="AI351" s="219"/>
      <c r="AJ351" s="286"/>
      <c r="AK351" s="284"/>
      <c r="AL351"/>
      <c r="AM351"/>
      <c r="AN351" s="241">
        <v>70</v>
      </c>
      <c r="AO351" s="242">
        <v>42074</v>
      </c>
      <c r="AP351" s="255">
        <v>104</v>
      </c>
      <c r="AQ351" s="242">
        <v>42108</v>
      </c>
      <c r="AR351"/>
      <c r="AS351" s="297"/>
      <c r="AT351" s="290"/>
      <c r="AU351" s="298"/>
      <c r="AV351"/>
      <c r="AW351"/>
      <c r="AX351"/>
      <c r="AY351"/>
      <c r="AZ351"/>
      <c r="BA351"/>
      <c r="BB351"/>
      <c r="BC351"/>
      <c r="BD351"/>
      <c r="BE351"/>
      <c r="BF351" s="277"/>
      <c r="BG351" s="235"/>
      <c r="BH351"/>
      <c r="BI351"/>
      <c r="BJ351"/>
      <c r="BK351"/>
      <c r="BL351" s="277"/>
      <c r="BM351" s="235"/>
      <c r="BN351"/>
      <c r="BO351"/>
      <c r="BP351" s="277"/>
      <c r="BQ351" s="235"/>
      <c r="BR351" s="277"/>
      <c r="BS351" s="235"/>
      <c r="BT351" s="277"/>
      <c r="BU351" s="235"/>
      <c r="BV351" s="277"/>
      <c r="BW351" s="235"/>
      <c r="BX351" s="277"/>
      <c r="BY351" s="235"/>
      <c r="BZ351"/>
      <c r="CB351" s="266"/>
      <c r="CC351"/>
      <c r="CD351" s="277"/>
      <c r="CE351" s="291"/>
      <c r="CF351"/>
      <c r="CG351"/>
      <c r="CH351"/>
      <c r="CI351"/>
      <c r="CK351"/>
      <c r="CL351">
        <v>1</v>
      </c>
      <c r="CM351" s="259">
        <v>42161</v>
      </c>
    </row>
    <row r="352" spans="1:93">
      <c r="A352" s="258">
        <v>580</v>
      </c>
      <c r="B352" s="235">
        <v>580</v>
      </c>
      <c r="C352" s="235" t="s">
        <v>7745</v>
      </c>
      <c r="D352" s="235" t="s">
        <v>7875</v>
      </c>
      <c r="E352" s="235" t="s">
        <v>7745</v>
      </c>
      <c r="F352" s="235" t="s">
        <v>8499</v>
      </c>
      <c r="G352" s="235" t="str">
        <f>IF(MID(C352,1,3)="BGA","Complement","Rapsodyn")</f>
        <v>Rapsodyn</v>
      </c>
      <c r="H352" s="235" t="s">
        <v>265</v>
      </c>
      <c r="I352" s="235">
        <v>2</v>
      </c>
      <c r="J352" s="235">
        <v>9378</v>
      </c>
      <c r="K352" s="235">
        <v>5</v>
      </c>
      <c r="L352" s="235">
        <f t="shared" si="186"/>
        <v>5</v>
      </c>
      <c r="M352" s="235">
        <v>8</v>
      </c>
      <c r="N352" s="236">
        <v>5</v>
      </c>
      <c r="O352" s="248">
        <v>42048</v>
      </c>
      <c r="P352">
        <v>1.65</v>
      </c>
      <c r="Q352" s="264">
        <v>42204</v>
      </c>
      <c r="R352"/>
      <c r="S352"/>
      <c r="T352"/>
      <c r="V352" s="219">
        <f>+BR352*AF352/100</f>
        <v>4.5192989621330009</v>
      </c>
      <c r="W352" s="219"/>
      <c r="X352">
        <v>15.55</v>
      </c>
      <c r="Y352"/>
      <c r="Z352"/>
      <c r="AA352"/>
      <c r="AB352" s="220">
        <f>+AF352*BT352/100</f>
        <v>2.1574227241391757</v>
      </c>
      <c r="AC352" s="219"/>
      <c r="AD352" s="221">
        <f>+(AF352/AJ352)*10000</f>
        <v>21048.506263157928</v>
      </c>
      <c r="AE352" s="219"/>
      <c r="AF352" s="220">
        <f>($P352/$X352)*(((100-$CD352)/100*(100-2)/100))*100</f>
        <v>10.040137487526332</v>
      </c>
      <c r="AG352" s="219"/>
      <c r="AH352" s="220">
        <f>($P352/$X352)*(((100-$CD352)/(100-9)*(100-2)/(100-2))*100)</f>
        <v>11.258283794041638</v>
      </c>
      <c r="AI352" s="219"/>
      <c r="AJ352">
        <v>4.7699999999999996</v>
      </c>
      <c r="AK352" s="284" t="s">
        <v>8398</v>
      </c>
      <c r="AL352">
        <v>155</v>
      </c>
      <c r="AM352"/>
      <c r="AN352" s="241">
        <v>79</v>
      </c>
      <c r="AO352" s="242">
        <v>42083</v>
      </c>
      <c r="AP352" s="255">
        <v>106</v>
      </c>
      <c r="AQ352" s="242">
        <v>42110</v>
      </c>
      <c r="AR352" s="223">
        <v>131</v>
      </c>
      <c r="AS352" s="297">
        <f>IF(AR352=0,,AR352)</f>
        <v>131</v>
      </c>
      <c r="AT352" s="290">
        <v>42135</v>
      </c>
      <c r="AU352" s="298"/>
      <c r="AV352"/>
      <c r="AW352"/>
      <c r="AX352"/>
      <c r="AY352"/>
      <c r="AZ352"/>
      <c r="BA352"/>
      <c r="BB352"/>
      <c r="BC352"/>
      <c r="BD352"/>
      <c r="BE352"/>
      <c r="BF352" s="277">
        <v>37.686668395996094</v>
      </c>
      <c r="BG352" s="283">
        <v>42230</v>
      </c>
      <c r="BH352"/>
      <c r="BI352"/>
      <c r="BJ352"/>
      <c r="BK352"/>
      <c r="BL352" s="277">
        <v>58.575187683105469</v>
      </c>
      <c r="BM352" s="283">
        <v>42230</v>
      </c>
      <c r="BN352"/>
      <c r="BO352"/>
      <c r="BP352" s="277">
        <v>3.4287900924682617</v>
      </c>
      <c r="BQ352" s="283">
        <v>42230</v>
      </c>
      <c r="BR352" s="277">
        <v>45.012321472167969</v>
      </c>
      <c r="BS352" s="283">
        <v>42230</v>
      </c>
      <c r="BT352" s="277">
        <v>21.487979888916016</v>
      </c>
      <c r="BU352" s="283">
        <v>42230</v>
      </c>
      <c r="BV352" s="277">
        <v>77.852058410644531</v>
      </c>
      <c r="BW352" s="283">
        <v>42230</v>
      </c>
      <c r="BX352" s="277">
        <v>5.6774139404296875</v>
      </c>
      <c r="BY352" s="283">
        <v>42230</v>
      </c>
      <c r="BZ352"/>
      <c r="CB352" s="266">
        <v>2.87</v>
      </c>
      <c r="CC352"/>
      <c r="CD352" s="277">
        <v>3.4482758620689689</v>
      </c>
      <c r="CE352" s="291" t="s">
        <v>8398</v>
      </c>
      <c r="CF352"/>
      <c r="CG352"/>
      <c r="CH352">
        <v>2</v>
      </c>
      <c r="CI352">
        <v>7</v>
      </c>
      <c r="CK352"/>
      <c r="CL352">
        <v>7</v>
      </c>
      <c r="CM352" s="259">
        <v>42161</v>
      </c>
      <c r="CO352" s="137" t="s">
        <v>8405</v>
      </c>
    </row>
    <row r="353" spans="1:93" s="227" customFormat="1">
      <c r="A353" s="258">
        <v>581</v>
      </c>
      <c r="B353" s="235">
        <v>581</v>
      </c>
      <c r="C353" s="235" t="s">
        <v>7742</v>
      </c>
      <c r="D353" s="235" t="s">
        <v>7878</v>
      </c>
      <c r="E353" s="235" t="s">
        <v>7742</v>
      </c>
      <c r="F353" s="235" t="s">
        <v>8426</v>
      </c>
      <c r="G353" s="235" t="str">
        <f>IF(MID(C353,1,3)="BGA","Complement","Rapsodyn")</f>
        <v>Rapsodyn</v>
      </c>
      <c r="H353" s="235" t="s">
        <v>265</v>
      </c>
      <c r="I353" s="235">
        <v>2</v>
      </c>
      <c r="J353" s="235">
        <v>9376</v>
      </c>
      <c r="K353" s="235">
        <v>4</v>
      </c>
      <c r="L353" s="235">
        <f t="shared" si="186"/>
        <v>4</v>
      </c>
      <c r="M353" s="235">
        <v>8</v>
      </c>
      <c r="N353" s="235">
        <v>7</v>
      </c>
      <c r="O353" s="248">
        <v>42048</v>
      </c>
      <c r="P353" s="223">
        <v>2.4500000000000002</v>
      </c>
      <c r="Q353" s="264">
        <v>42204</v>
      </c>
      <c r="R353" s="223"/>
      <c r="S353" s="223"/>
      <c r="T353" s="223"/>
      <c r="U353" s="225"/>
      <c r="V353" s="219">
        <f>+BR353*AF353/100</f>
        <v>7.4010720357752735</v>
      </c>
      <c r="W353" s="224"/>
      <c r="X353">
        <v>15.55</v>
      </c>
      <c r="Y353" s="223"/>
      <c r="Z353" s="223"/>
      <c r="AA353" s="223"/>
      <c r="AB353" s="220">
        <f>+AF353*BT353/100</f>
        <v>2.8798607790695234</v>
      </c>
      <c r="AC353" s="224"/>
      <c r="AD353" s="221">
        <f>+(AF353/AJ353)*10000</f>
        <v>35939.713082170798</v>
      </c>
      <c r="AE353" s="224"/>
      <c r="AF353" s="220">
        <f>($P353/$X353)*(((100-$CD353)/100*(100-2)/100))*100</f>
        <v>14.87904121601871</v>
      </c>
      <c r="AG353" s="224"/>
      <c r="AH353" s="220">
        <f>($P353/$X353)*(((100-$CD353)/(100-9)*(100-2)/(100-2))*100)</f>
        <v>16.684280349875202</v>
      </c>
      <c r="AI353" s="224"/>
      <c r="AJ353">
        <v>4.1399999999999997</v>
      </c>
      <c r="AK353" s="290" t="s">
        <v>8398</v>
      </c>
      <c r="AL353" s="223">
        <v>170</v>
      </c>
      <c r="AM353" s="223"/>
      <c r="AN353" s="241">
        <v>75</v>
      </c>
      <c r="AO353" s="242">
        <v>42079</v>
      </c>
      <c r="AP353" s="255">
        <v>110</v>
      </c>
      <c r="AQ353" s="242">
        <v>42114</v>
      </c>
      <c r="AR353" s="223">
        <v>131</v>
      </c>
      <c r="AS353" s="297">
        <f>IF(AR353=0,,AR353)</f>
        <v>131</v>
      </c>
      <c r="AT353" s="290">
        <v>42135</v>
      </c>
      <c r="AU353" s="298"/>
      <c r="AV353" s="223"/>
      <c r="AW353" s="223"/>
      <c r="AX353" s="223"/>
      <c r="AY353" s="223"/>
      <c r="AZ353" s="223"/>
      <c r="BA353" s="223"/>
      <c r="BB353" s="223"/>
      <c r="BC353" s="223"/>
      <c r="BD353" s="223"/>
      <c r="BE353" s="223"/>
      <c r="BF353" s="281">
        <v>37.525112152099609</v>
      </c>
      <c r="BG353" s="283">
        <v>42230</v>
      </c>
      <c r="BH353" s="223"/>
      <c r="BI353" s="223"/>
      <c r="BJ353" s="223"/>
      <c r="BK353" s="223"/>
      <c r="BL353" s="281">
        <v>60.370037078857422</v>
      </c>
      <c r="BM353" s="283">
        <v>42230</v>
      </c>
      <c r="BN353" s="223"/>
      <c r="BO353" s="223"/>
      <c r="BP353" s="281">
        <v>3.4926860332489014</v>
      </c>
      <c r="BQ353" s="283">
        <v>42230</v>
      </c>
      <c r="BR353" s="281">
        <v>49.741592407226563</v>
      </c>
      <c r="BS353" s="283">
        <v>42230</v>
      </c>
      <c r="BT353" s="281">
        <v>19.35515022277832</v>
      </c>
      <c r="BU353" s="283">
        <v>42230</v>
      </c>
      <c r="BV353" s="281">
        <v>90.373626708984375</v>
      </c>
      <c r="BW353" s="283">
        <v>42230</v>
      </c>
      <c r="BX353" s="281">
        <v>5.4327774047851563</v>
      </c>
      <c r="BY353" s="283">
        <v>42230</v>
      </c>
      <c r="BZ353" s="223"/>
      <c r="CA353" s="226"/>
      <c r="CB353" s="266">
        <v>1.34</v>
      </c>
      <c r="CC353" s="223"/>
      <c r="CD353" s="281">
        <v>3.6363636363636398</v>
      </c>
      <c r="CE353" s="291" t="s">
        <v>8398</v>
      </c>
      <c r="CF353" s="223"/>
      <c r="CG353" s="223"/>
      <c r="CH353" s="223">
        <v>3</v>
      </c>
      <c r="CI353" s="223">
        <v>7</v>
      </c>
      <c r="CK353" s="223"/>
      <c r="CL353" s="223">
        <v>6</v>
      </c>
      <c r="CM353" s="259">
        <v>42161</v>
      </c>
      <c r="CN353" s="137"/>
      <c r="CO353" s="137" t="s">
        <v>8405</v>
      </c>
    </row>
    <row r="354" spans="1:93" s="227" customFormat="1">
      <c r="A354" s="258">
        <v>582</v>
      </c>
      <c r="B354" s="235">
        <v>582</v>
      </c>
      <c r="C354" s="235" t="s">
        <v>7649</v>
      </c>
      <c r="D354" s="235" t="s">
        <v>7481</v>
      </c>
      <c r="E354" s="235" t="s">
        <v>7649</v>
      </c>
      <c r="F354" s="235" t="s">
        <v>8562</v>
      </c>
      <c r="G354" s="235" t="str">
        <f>IF(MID(C354,1,3)="BGA","Complement","Rapsodyn")</f>
        <v>Rapsodyn</v>
      </c>
      <c r="H354" s="235" t="s">
        <v>265</v>
      </c>
      <c r="I354" s="235">
        <v>2</v>
      </c>
      <c r="J354" s="235">
        <v>9370</v>
      </c>
      <c r="K354" s="235">
        <v>3</v>
      </c>
      <c r="L354" s="235">
        <f t="shared" si="186"/>
        <v>3</v>
      </c>
      <c r="M354" s="235">
        <v>8</v>
      </c>
      <c r="N354" s="235">
        <v>7</v>
      </c>
      <c r="O354" s="248">
        <v>42048</v>
      </c>
      <c r="P354">
        <v>2.2999999999999998</v>
      </c>
      <c r="Q354" s="264">
        <v>42204</v>
      </c>
      <c r="R354"/>
      <c r="S354"/>
      <c r="T354"/>
      <c r="U354" s="153"/>
      <c r="V354" s="219">
        <f>+BR354*AF354/100</f>
        <v>6.4958066199511357</v>
      </c>
      <c r="W354" s="219"/>
      <c r="X354">
        <v>15.55</v>
      </c>
      <c r="Y354"/>
      <c r="Z354"/>
      <c r="AA354"/>
      <c r="AB354" s="220">
        <f>+AF354*BT354/100</f>
        <v>2.7073046439969146</v>
      </c>
      <c r="AC354" s="219"/>
      <c r="AD354" s="221">
        <f>+(AF354/AJ354)*10000</f>
        <v>36614.068461839946</v>
      </c>
      <c r="AE354" s="219"/>
      <c r="AF354" s="220">
        <f>($P354/$X354)*(((100-$CD354)/100*(100-2)/100))*100</f>
        <v>13.986574152422859</v>
      </c>
      <c r="AG354" s="219"/>
      <c r="AH354" s="220">
        <f>($P354/$X354)*(((100-$CD354)/(100-9)*(100-2)/(100-2))*100)</f>
        <v>15.683532353019578</v>
      </c>
      <c r="AI354" s="219"/>
      <c r="AJ354">
        <v>3.82</v>
      </c>
      <c r="AK354" s="284" t="s">
        <v>8398</v>
      </c>
      <c r="AL354">
        <v>170</v>
      </c>
      <c r="AM354"/>
      <c r="AN354" s="241">
        <v>72</v>
      </c>
      <c r="AO354" s="242">
        <v>42076</v>
      </c>
      <c r="AP354" s="255">
        <v>106</v>
      </c>
      <c r="AQ354" s="242">
        <v>42110</v>
      </c>
      <c r="AR354" s="223">
        <v>132</v>
      </c>
      <c r="AS354" s="297">
        <f>IF(AR354=0,,AR354)</f>
        <v>132</v>
      </c>
      <c r="AT354" s="290">
        <v>42136</v>
      </c>
      <c r="AU354" s="298"/>
      <c r="AV354"/>
      <c r="AW354"/>
      <c r="AX354"/>
      <c r="AY354"/>
      <c r="AZ354"/>
      <c r="BA354"/>
      <c r="BB354"/>
      <c r="BC354"/>
      <c r="BD354"/>
      <c r="BE354"/>
      <c r="BF354" s="277">
        <v>1.01767897605896</v>
      </c>
      <c r="BG354" s="283">
        <v>42230</v>
      </c>
      <c r="BH354"/>
      <c r="BI354"/>
      <c r="BJ354"/>
      <c r="BK354"/>
      <c r="BL354" s="277">
        <v>58.540885925292969</v>
      </c>
      <c r="BM354" s="283">
        <v>42230</v>
      </c>
      <c r="BN354"/>
      <c r="BO354"/>
      <c r="BP354" s="277">
        <v>3.4263870716094971</v>
      </c>
      <c r="BQ354" s="283">
        <v>42230</v>
      </c>
      <c r="BR354" s="277">
        <v>46.443157196044922</v>
      </c>
      <c r="BS354" s="283">
        <v>42230</v>
      </c>
      <c r="BT354" s="277">
        <v>19.356452941894531</v>
      </c>
      <c r="BU354" s="283">
        <v>42230</v>
      </c>
      <c r="BV354" s="277">
        <v>64.42633056640625</v>
      </c>
      <c r="BW354" s="283">
        <v>42230</v>
      </c>
      <c r="BX354" s="277">
        <v>5.779449462890625</v>
      </c>
      <c r="BY354" s="283">
        <v>42230</v>
      </c>
      <c r="BZ354"/>
      <c r="CA354" s="136"/>
      <c r="CB354" s="266">
        <v>1.95</v>
      </c>
      <c r="CC354"/>
      <c r="CD354" s="277">
        <v>3.5087719298245648</v>
      </c>
      <c r="CE354" s="291" t="s">
        <v>8398</v>
      </c>
      <c r="CF354"/>
      <c r="CG354"/>
      <c r="CH354">
        <v>3</v>
      </c>
      <c r="CI354">
        <v>8</v>
      </c>
      <c r="CK354"/>
      <c r="CL354">
        <v>4</v>
      </c>
      <c r="CM354" s="259">
        <v>42161</v>
      </c>
      <c r="CN354" s="137"/>
      <c r="CO354" s="137" t="s">
        <v>8405</v>
      </c>
    </row>
    <row r="355" spans="1:93" s="227" customFormat="1">
      <c r="A355" s="258">
        <v>583</v>
      </c>
      <c r="B355" s="235">
        <v>583</v>
      </c>
      <c r="C355" s="235" t="s">
        <v>7605</v>
      </c>
      <c r="D355" s="235" t="s">
        <v>7446</v>
      </c>
      <c r="E355" s="235" t="s">
        <v>7605</v>
      </c>
      <c r="F355" s="235" t="s">
        <v>8424</v>
      </c>
      <c r="G355" s="235" t="str">
        <f>IF(MID(C355,1,3)="BGA","Complement","Rapsodyn")</f>
        <v>Rapsodyn</v>
      </c>
      <c r="H355" s="235" t="s">
        <v>265</v>
      </c>
      <c r="I355" s="235">
        <v>2</v>
      </c>
      <c r="J355" s="235">
        <v>9361</v>
      </c>
      <c r="K355" s="235">
        <v>2</v>
      </c>
      <c r="L355" s="235">
        <f t="shared" si="186"/>
        <v>2</v>
      </c>
      <c r="M355" s="235">
        <v>8</v>
      </c>
      <c r="N355" s="235">
        <v>7</v>
      </c>
      <c r="O355" s="248">
        <v>42048</v>
      </c>
      <c r="P355">
        <v>2.1</v>
      </c>
      <c r="Q355" s="264">
        <v>42204</v>
      </c>
      <c r="R355"/>
      <c r="S355"/>
      <c r="T355"/>
      <c r="U355" s="153"/>
      <c r="V355" s="219">
        <f>+BR355*AF355/100</f>
        <v>5.9102517673294912</v>
      </c>
      <c r="W355" s="219"/>
      <c r="X355">
        <v>15.55</v>
      </c>
      <c r="Y355"/>
      <c r="Z355"/>
      <c r="AA355"/>
      <c r="AB355" s="220">
        <f>+AF355*BT355/100</f>
        <v>2.7440323319452569</v>
      </c>
      <c r="AC355" s="219"/>
      <c r="AD355" s="221">
        <f>+(AF355/AJ355)*10000</f>
        <v>24322.038487224647</v>
      </c>
      <c r="AE355" s="219"/>
      <c r="AF355" s="220">
        <f>($P355/$X355)*(((100-$CD355)/100*(100-2)/100))*100</f>
        <v>12.550171859407918</v>
      </c>
      <c r="AG355" s="219"/>
      <c r="AH355" s="220">
        <f>($P355/$X355)*(((100-$CD355)/(100-9)*(100-2)/(100-2))*100)</f>
        <v>14.072854742552051</v>
      </c>
      <c r="AI355" s="219"/>
      <c r="AJ355">
        <v>5.16</v>
      </c>
      <c r="AK355" s="284" t="s">
        <v>8398</v>
      </c>
      <c r="AL355">
        <v>170</v>
      </c>
      <c r="AM355"/>
      <c r="AN355" s="241">
        <v>70</v>
      </c>
      <c r="AO355" s="242">
        <v>42074</v>
      </c>
      <c r="AP355" s="255">
        <v>106</v>
      </c>
      <c r="AQ355" s="242">
        <v>42110</v>
      </c>
      <c r="AR355" s="223">
        <v>146</v>
      </c>
      <c r="AS355" s="297">
        <f>IF(AR355=0,,AR355)</f>
        <v>146</v>
      </c>
      <c r="AT355" s="290">
        <v>42150</v>
      </c>
      <c r="AU355" s="298"/>
      <c r="AV355"/>
      <c r="AW355"/>
      <c r="AX355"/>
      <c r="AY355"/>
      <c r="AZ355"/>
      <c r="BA355"/>
      <c r="BB355"/>
      <c r="BC355"/>
      <c r="BD355"/>
      <c r="BE355"/>
      <c r="BF355" s="277">
        <v>33.458274841308594</v>
      </c>
      <c r="BG355" s="283">
        <v>42230</v>
      </c>
      <c r="BH355"/>
      <c r="BI355"/>
      <c r="BJ355"/>
      <c r="BK355"/>
      <c r="BL355" s="277">
        <v>60.229587554931641</v>
      </c>
      <c r="BM355" s="283">
        <v>42230</v>
      </c>
      <c r="BN355"/>
      <c r="BO355"/>
      <c r="BP355" s="277">
        <v>3.5442941188812256</v>
      </c>
      <c r="BQ355" s="283">
        <v>42230</v>
      </c>
      <c r="BR355" s="277">
        <v>47.092994689941406</v>
      </c>
      <c r="BS355" s="283">
        <v>42230</v>
      </c>
      <c r="BT355" s="277">
        <v>21.864500045776367</v>
      </c>
      <c r="BU355" s="283">
        <v>42230</v>
      </c>
      <c r="BV355" s="277">
        <v>81.971641540527344</v>
      </c>
      <c r="BW355" s="283">
        <v>42230</v>
      </c>
      <c r="BX355" s="277">
        <v>5.9522476196289062</v>
      </c>
      <c r="BY355" s="283">
        <v>42230</v>
      </c>
      <c r="BZ355"/>
      <c r="CA355" s="136"/>
      <c r="CB355" s="266">
        <v>1.35</v>
      </c>
      <c r="CC355"/>
      <c r="CD355" s="277">
        <v>5.1724137931034457</v>
      </c>
      <c r="CE355" s="291" t="s">
        <v>8398</v>
      </c>
      <c r="CF355"/>
      <c r="CG355"/>
      <c r="CH355">
        <v>3</v>
      </c>
      <c r="CI355">
        <v>3</v>
      </c>
      <c r="CK355"/>
      <c r="CL355" t="s">
        <v>8377</v>
      </c>
      <c r="CM355" s="259">
        <v>42161</v>
      </c>
      <c r="CN355" s="137" t="s">
        <v>8406</v>
      </c>
    </row>
    <row r="356" spans="1:93" s="227" customFormat="1">
      <c r="A356" s="258">
        <v>584</v>
      </c>
      <c r="B356" s="235">
        <v>584</v>
      </c>
      <c r="C356" s="235" t="s">
        <v>7576</v>
      </c>
      <c r="D356" s="235"/>
      <c r="E356" s="235"/>
      <c r="F356" s="235"/>
      <c r="G356" s="235"/>
      <c r="H356" s="235" t="s">
        <v>265</v>
      </c>
      <c r="I356" s="235">
        <v>2</v>
      </c>
      <c r="J356" s="235"/>
      <c r="K356" s="235">
        <v>1</v>
      </c>
      <c r="L356" s="235">
        <f t="shared" si="186"/>
        <v>1</v>
      </c>
      <c r="M356" s="235">
        <v>8</v>
      </c>
      <c r="N356" s="235"/>
      <c r="O356" s="248">
        <v>42048</v>
      </c>
      <c r="P356"/>
      <c r="Q356" s="219"/>
      <c r="R356"/>
      <c r="S356"/>
      <c r="T356"/>
      <c r="U356" s="153"/>
      <c r="V356" s="219"/>
      <c r="W356" s="219"/>
      <c r="X356">
        <v>15.55</v>
      </c>
      <c r="Y356"/>
      <c r="Z356"/>
      <c r="AA356"/>
      <c r="AB356" s="220"/>
      <c r="AC356" s="219"/>
      <c r="AD356" s="221"/>
      <c r="AE356" s="219"/>
      <c r="AF356" s="220"/>
      <c r="AG356" s="219"/>
      <c r="AH356" s="220"/>
      <c r="AI356" s="219"/>
      <c r="AJ356" s="286"/>
      <c r="AK356" s="284"/>
      <c r="AL356"/>
      <c r="AM356"/>
      <c r="AN356" s="241">
        <v>70</v>
      </c>
      <c r="AO356" s="242">
        <v>42074</v>
      </c>
      <c r="AP356" s="255">
        <v>104</v>
      </c>
      <c r="AQ356" s="242">
        <v>42108</v>
      </c>
      <c r="AR356"/>
      <c r="AS356" s="297"/>
      <c r="AT356" s="290"/>
      <c r="AU356" s="298"/>
      <c r="AV356"/>
      <c r="AW356"/>
      <c r="AX356"/>
      <c r="AY356"/>
      <c r="AZ356"/>
      <c r="BA356"/>
      <c r="BB356"/>
      <c r="BC356"/>
      <c r="BD356"/>
      <c r="BE356"/>
      <c r="BF356" s="277"/>
      <c r="BG356" s="235"/>
      <c r="BH356"/>
      <c r="BI356"/>
      <c r="BJ356"/>
      <c r="BK356"/>
      <c r="BL356" s="277"/>
      <c r="BM356" s="235"/>
      <c r="BN356"/>
      <c r="BO356"/>
      <c r="BP356" s="277"/>
      <c r="BQ356" s="235"/>
      <c r="BR356" s="277"/>
      <c r="BS356" s="235"/>
      <c r="BT356" s="277"/>
      <c r="BU356" s="235"/>
      <c r="BV356" s="277"/>
      <c r="BW356" s="235"/>
      <c r="BX356" s="277"/>
      <c r="BY356" s="235"/>
      <c r="BZ356"/>
      <c r="CA356" s="136"/>
      <c r="CB356" s="266"/>
      <c r="CC356"/>
      <c r="CD356" s="277"/>
      <c r="CE356" s="291"/>
      <c r="CF356"/>
      <c r="CG356"/>
      <c r="CH356"/>
      <c r="CI356"/>
      <c r="CK356"/>
      <c r="CL356"/>
      <c r="CM356" s="259">
        <v>42161</v>
      </c>
    </row>
    <row r="357" spans="1:93">
      <c r="A357" s="258">
        <v>585</v>
      </c>
      <c r="B357" s="235">
        <v>585</v>
      </c>
      <c r="C357" s="235" t="s">
        <v>7576</v>
      </c>
      <c r="D357" s="235"/>
      <c r="E357" s="235"/>
      <c r="F357" s="235"/>
      <c r="G357" s="235"/>
      <c r="H357" s="235" t="s">
        <v>265</v>
      </c>
      <c r="I357" s="235">
        <v>2</v>
      </c>
      <c r="K357" s="235">
        <v>1</v>
      </c>
      <c r="L357" s="235">
        <f t="shared" si="186"/>
        <v>1</v>
      </c>
      <c r="M357" s="235">
        <v>9</v>
      </c>
      <c r="O357" s="248">
        <v>42048</v>
      </c>
      <c r="P357"/>
      <c r="Q357" s="219"/>
      <c r="R357"/>
      <c r="S357"/>
      <c r="T357"/>
      <c r="V357" s="219"/>
      <c r="W357" s="219"/>
      <c r="X357">
        <v>15.55</v>
      </c>
      <c r="Y357"/>
      <c r="Z357"/>
      <c r="AA357"/>
      <c r="AB357" s="220"/>
      <c r="AC357" s="219"/>
      <c r="AD357" s="221"/>
      <c r="AE357" s="219"/>
      <c r="AF357" s="220"/>
      <c r="AG357" s="219"/>
      <c r="AH357" s="220"/>
      <c r="AI357" s="219"/>
      <c r="AJ357" s="286"/>
      <c r="AK357" s="284"/>
      <c r="AL357"/>
      <c r="AM357"/>
      <c r="AN357" s="241">
        <v>70</v>
      </c>
      <c r="AO357" s="242">
        <v>42074</v>
      </c>
      <c r="AP357" s="255">
        <v>104</v>
      </c>
      <c r="AQ357" s="242">
        <v>42108</v>
      </c>
      <c r="AR357"/>
      <c r="AS357" s="297"/>
      <c r="AT357" s="290"/>
      <c r="AU357" s="298"/>
      <c r="AV357"/>
      <c r="AW357"/>
      <c r="AX357"/>
      <c r="AY357"/>
      <c r="AZ357"/>
      <c r="BA357"/>
      <c r="BB357"/>
      <c r="BC357"/>
      <c r="BD357"/>
      <c r="BE357"/>
      <c r="BF357" s="277"/>
      <c r="BG357" s="235"/>
      <c r="BH357"/>
      <c r="BI357"/>
      <c r="BJ357"/>
      <c r="BK357"/>
      <c r="BL357" s="277"/>
      <c r="BM357" s="235"/>
      <c r="BN357"/>
      <c r="BO357"/>
      <c r="BP357" s="277"/>
      <c r="BQ357" s="235"/>
      <c r="BR357" s="277"/>
      <c r="BS357" s="235"/>
      <c r="BT357" s="277"/>
      <c r="BU357" s="235"/>
      <c r="BV357" s="277"/>
      <c r="BW357" s="235"/>
      <c r="BX357" s="277"/>
      <c r="BY357" s="235"/>
      <c r="BZ357"/>
      <c r="CB357" s="266"/>
      <c r="CC357"/>
      <c r="CD357" s="277"/>
      <c r="CE357" s="291"/>
      <c r="CF357"/>
      <c r="CG357"/>
      <c r="CH357"/>
      <c r="CI357"/>
      <c r="CK357"/>
      <c r="CL357"/>
      <c r="CM357" s="259">
        <v>42161</v>
      </c>
    </row>
    <row r="358" spans="1:93">
      <c r="A358" s="258">
        <v>586</v>
      </c>
      <c r="B358" s="235">
        <v>586</v>
      </c>
      <c r="C358" s="235" t="s">
        <v>7731</v>
      </c>
      <c r="D358" s="235" t="s">
        <v>7554</v>
      </c>
      <c r="E358" s="235" t="s">
        <v>7731</v>
      </c>
      <c r="F358" s="235" t="s">
        <v>8564</v>
      </c>
      <c r="G358" s="235" t="str">
        <f>IF(MID(C358,1,3)="BGA","Complement","Rapsodyn")</f>
        <v>Rapsodyn</v>
      </c>
      <c r="H358" s="235" t="s">
        <v>265</v>
      </c>
      <c r="I358" s="235">
        <v>2</v>
      </c>
      <c r="J358" s="235">
        <v>9374</v>
      </c>
      <c r="K358" s="235">
        <v>2</v>
      </c>
      <c r="L358" s="235">
        <f t="shared" si="186"/>
        <v>2</v>
      </c>
      <c r="M358" s="235">
        <v>9</v>
      </c>
      <c r="N358" s="235">
        <v>7</v>
      </c>
      <c r="O358" s="248">
        <v>42048</v>
      </c>
      <c r="P358">
        <v>1.55</v>
      </c>
      <c r="Q358" s="264">
        <v>42204</v>
      </c>
      <c r="R358"/>
      <c r="S358"/>
      <c r="T358"/>
      <c r="V358" s="219">
        <f>+BR358*AF358/100</f>
        <v>4.3631877536916788</v>
      </c>
      <c r="W358" s="219"/>
      <c r="X358">
        <v>15.55</v>
      </c>
      <c r="Y358"/>
      <c r="Z358"/>
      <c r="AA358"/>
      <c r="AB358" s="220">
        <f>+AF358*BT358/100</f>
        <v>1.978840555850393</v>
      </c>
      <c r="AC358" s="219"/>
      <c r="AD358" s="221">
        <f>+(AF358/AJ358)*10000</f>
        <v>20582.041131452304</v>
      </c>
      <c r="AE358" s="219"/>
      <c r="AF358" s="220">
        <f>($P358/$X358)*(((100-$CD358)/100*(100-2)/100))*100</f>
        <v>9.3854107559422495</v>
      </c>
      <c r="AG358" s="219"/>
      <c r="AH358" s="220">
        <f>($P358/$X358)*(((100-$CD358)/(100-9)*(100-2)/(100-2))*100)</f>
        <v>10.524120605452175</v>
      </c>
      <c r="AI358" s="219"/>
      <c r="AJ358">
        <v>4.5599999999999996</v>
      </c>
      <c r="AK358" s="284" t="s">
        <v>8398</v>
      </c>
      <c r="AL358">
        <v>140</v>
      </c>
      <c r="AM358"/>
      <c r="AN358" s="241">
        <v>65</v>
      </c>
      <c r="AO358" s="242">
        <v>42069</v>
      </c>
      <c r="AP358" s="255">
        <v>104</v>
      </c>
      <c r="AQ358" s="242">
        <v>42108</v>
      </c>
      <c r="AR358" s="223">
        <v>125</v>
      </c>
      <c r="AS358" s="297">
        <f>IF(AR358=0,,AR358)</f>
        <v>125</v>
      </c>
      <c r="AT358" s="290">
        <v>42129</v>
      </c>
      <c r="AU358" s="298"/>
      <c r="AV358"/>
      <c r="AW358"/>
      <c r="AX358"/>
      <c r="AY358"/>
      <c r="AZ358"/>
      <c r="BA358"/>
      <c r="BB358"/>
      <c r="BC358"/>
      <c r="BD358"/>
      <c r="BE358"/>
      <c r="BF358" s="277">
        <v>41.216232299804687</v>
      </c>
      <c r="BG358" s="283">
        <v>42230</v>
      </c>
      <c r="BH358"/>
      <c r="BI358"/>
      <c r="BJ358"/>
      <c r="BK358"/>
      <c r="BL358" s="277">
        <v>59.125537872314453</v>
      </c>
      <c r="BM358" s="283">
        <v>42230</v>
      </c>
      <c r="BN358"/>
      <c r="BO358"/>
      <c r="BP358" s="277">
        <v>2.886401891708374</v>
      </c>
      <c r="BQ358" s="283">
        <v>42230</v>
      </c>
      <c r="BR358" s="277">
        <v>46.489044189453125</v>
      </c>
      <c r="BS358" s="283">
        <v>42230</v>
      </c>
      <c r="BT358" s="277">
        <v>21.084218978881836</v>
      </c>
      <c r="BU358" s="283">
        <v>42230</v>
      </c>
      <c r="BV358" s="277">
        <v>72.229171752929688</v>
      </c>
      <c r="BW358" s="283">
        <v>42230</v>
      </c>
      <c r="BX358" s="277">
        <v>5.5412445068359375</v>
      </c>
      <c r="BY358" s="283">
        <v>42230</v>
      </c>
      <c r="BZ358"/>
      <c r="CB358" s="266">
        <v>2.0299999999999998</v>
      </c>
      <c r="CC358"/>
      <c r="CD358" s="277">
        <v>3.9215686274509665</v>
      </c>
      <c r="CE358" s="291" t="s">
        <v>8398</v>
      </c>
      <c r="CF358"/>
      <c r="CG358"/>
      <c r="CH358">
        <v>2</v>
      </c>
      <c r="CI358">
        <v>7</v>
      </c>
      <c r="CK358"/>
      <c r="CL358">
        <v>5</v>
      </c>
      <c r="CM358" s="259">
        <v>42161</v>
      </c>
      <c r="CO358" s="137" t="s">
        <v>8405</v>
      </c>
    </row>
    <row r="359" spans="1:93">
      <c r="A359" s="258">
        <v>587</v>
      </c>
      <c r="B359" s="235">
        <v>587</v>
      </c>
      <c r="C359" s="235" t="s">
        <v>7607</v>
      </c>
      <c r="D359" s="235" t="s">
        <v>257</v>
      </c>
      <c r="E359" s="235" t="s">
        <v>7607</v>
      </c>
      <c r="F359" s="235" t="s">
        <v>8494</v>
      </c>
      <c r="G359" s="235" t="str">
        <f>IF(MID(C359,1,3)="BGA","Complement","Rapsodyn")</f>
        <v>Rapsodyn</v>
      </c>
      <c r="H359" s="235" t="s">
        <v>265</v>
      </c>
      <c r="I359" s="235">
        <v>2</v>
      </c>
      <c r="J359" s="235">
        <v>9362</v>
      </c>
      <c r="K359" s="235">
        <v>3</v>
      </c>
      <c r="L359" s="235">
        <f t="shared" si="186"/>
        <v>3</v>
      </c>
      <c r="M359" s="235">
        <v>9</v>
      </c>
      <c r="N359" s="235">
        <v>7</v>
      </c>
      <c r="O359" s="248">
        <v>42048</v>
      </c>
      <c r="P359">
        <v>1.1000000000000001</v>
      </c>
      <c r="Q359" s="264">
        <v>42204</v>
      </c>
      <c r="R359"/>
      <c r="S359"/>
      <c r="T359"/>
      <c r="V359" s="219">
        <f>+BR359*AF359/100</f>
        <v>3.0880312571878221</v>
      </c>
      <c r="W359" s="219"/>
      <c r="X359">
        <v>15.55</v>
      </c>
      <c r="Y359"/>
      <c r="Z359"/>
      <c r="AA359"/>
      <c r="AB359" s="220">
        <f>+AF359*BT359/100</f>
        <v>1.3776010710173483</v>
      </c>
      <c r="AC359" s="219"/>
      <c r="AD359" s="221">
        <f>+(AF359/AJ359)*10000</f>
        <v>14515.693025638109</v>
      </c>
      <c r="AE359" s="219"/>
      <c r="AF359" s="220">
        <f>($P359/$X359)*(((100-$CD359)/100*(100-2)/100))*100</f>
        <v>6.5610932475884249</v>
      </c>
      <c r="AG359" s="219"/>
      <c r="AH359" s="220">
        <f>($P359/$X359)*(((100-$CD359)/(100-9)*(100-2)/(100-2))*100)</f>
        <v>7.3571352854770398</v>
      </c>
      <c r="AI359" s="219"/>
      <c r="AJ359">
        <v>4.5199999999999996</v>
      </c>
      <c r="AK359" s="284" t="s">
        <v>8398</v>
      </c>
      <c r="AL359">
        <v>155</v>
      </c>
      <c r="AM359"/>
      <c r="AN359" s="241">
        <v>70</v>
      </c>
      <c r="AO359" s="242">
        <v>42074</v>
      </c>
      <c r="AP359" s="255">
        <v>104</v>
      </c>
      <c r="AQ359" s="242">
        <v>42108</v>
      </c>
      <c r="AR359" s="223">
        <v>127</v>
      </c>
      <c r="AS359" s="297">
        <f>IF(AR359=0,,AR359)</f>
        <v>127</v>
      </c>
      <c r="AT359" s="290">
        <v>42131</v>
      </c>
      <c r="AU359" s="298"/>
      <c r="AV359"/>
      <c r="AW359"/>
      <c r="AX359"/>
      <c r="AY359"/>
      <c r="AZ359"/>
      <c r="BA359"/>
      <c r="BB359"/>
      <c r="BC359"/>
      <c r="BD359"/>
      <c r="BE359"/>
      <c r="BF359" s="277">
        <v>21.826198577880859</v>
      </c>
      <c r="BG359" s="283">
        <v>42230</v>
      </c>
      <c r="BH359"/>
      <c r="BI359"/>
      <c r="BJ359"/>
      <c r="BK359"/>
      <c r="BL359" s="277">
        <v>61.729343414306641</v>
      </c>
      <c r="BM359" s="283">
        <v>42230</v>
      </c>
      <c r="BN359"/>
      <c r="BO359"/>
      <c r="BP359" s="277">
        <v>4.2994308471679687</v>
      </c>
      <c r="BQ359" s="283">
        <v>42230</v>
      </c>
      <c r="BR359" s="277">
        <v>47.065803527832031</v>
      </c>
      <c r="BS359" s="283">
        <v>42230</v>
      </c>
      <c r="BT359" s="277">
        <v>20.996517181396484</v>
      </c>
      <c r="BU359" s="283">
        <v>42230</v>
      </c>
      <c r="BV359" s="277">
        <v>65.237152099609375</v>
      </c>
      <c r="BW359" s="283">
        <v>42230</v>
      </c>
      <c r="BX359" s="277">
        <v>5.80804443359375</v>
      </c>
      <c r="BY359" s="283">
        <v>42230</v>
      </c>
      <c r="BZ359"/>
      <c r="CB359" s="266">
        <v>2.16</v>
      </c>
      <c r="CC359"/>
      <c r="CD359" s="277">
        <v>5.3571428571428541</v>
      </c>
      <c r="CE359" s="291" t="s">
        <v>8398</v>
      </c>
      <c r="CF359"/>
      <c r="CG359"/>
      <c r="CH359">
        <v>2</v>
      </c>
      <c r="CI359">
        <v>7</v>
      </c>
      <c r="CK359"/>
      <c r="CL359">
        <v>7</v>
      </c>
      <c r="CM359" s="259">
        <v>42161</v>
      </c>
      <c r="CO359" s="137" t="s">
        <v>8405</v>
      </c>
    </row>
    <row r="360" spans="1:93">
      <c r="A360" s="258">
        <v>588</v>
      </c>
      <c r="B360" s="235">
        <v>588</v>
      </c>
      <c r="C360" s="235" t="s">
        <v>7651</v>
      </c>
      <c r="D360" s="235" t="s">
        <v>7482</v>
      </c>
      <c r="E360" s="235" t="s">
        <v>7651</v>
      </c>
      <c r="F360" s="235" t="s">
        <v>8563</v>
      </c>
      <c r="G360" s="235" t="str">
        <f>IF(MID(C360,1,3)="BGA","Complement","Rapsodyn")</f>
        <v>Rapsodyn</v>
      </c>
      <c r="H360" s="235" t="s">
        <v>265</v>
      </c>
      <c r="I360" s="235">
        <v>2</v>
      </c>
      <c r="J360" s="235">
        <v>9371</v>
      </c>
      <c r="K360" s="235">
        <v>4</v>
      </c>
      <c r="L360" s="235">
        <f t="shared" si="186"/>
        <v>4</v>
      </c>
      <c r="M360" s="235">
        <v>9</v>
      </c>
      <c r="N360" s="235">
        <v>7</v>
      </c>
      <c r="O360" s="248">
        <v>42048</v>
      </c>
      <c r="P360">
        <v>2.5</v>
      </c>
      <c r="Q360" s="264">
        <v>42204</v>
      </c>
      <c r="R360"/>
      <c r="S360"/>
      <c r="T360"/>
      <c r="V360" s="219">
        <f>+BR360*AF360/100</f>
        <v>7.1895968035486355</v>
      </c>
      <c r="W360" s="219"/>
      <c r="X360">
        <v>15.55</v>
      </c>
      <c r="Y360"/>
      <c r="Z360"/>
      <c r="AA360"/>
      <c r="AB360" s="220">
        <f>+AF360*BT360/100</f>
        <v>2.8790103900087605</v>
      </c>
      <c r="AC360" s="219"/>
      <c r="AD360" s="221">
        <f>+(AF360/AJ360)*10000</f>
        <v>31644.493994004199</v>
      </c>
      <c r="AE360" s="219"/>
      <c r="AF360" s="220">
        <f>($P360/$X360)*(((100-$CD360)/100*(100-2)/100))*100</f>
        <v>14.967845659163986</v>
      </c>
      <c r="AG360" s="219"/>
      <c r="AH360" s="220">
        <f>($P360/$X360)*(((100-$CD360)/(100-9)*(100-2)/(100-2))*100)</f>
        <v>16.783859227589133</v>
      </c>
      <c r="AI360" s="219"/>
      <c r="AJ360">
        <v>4.7300000000000004</v>
      </c>
      <c r="AK360" s="284" t="s">
        <v>8398</v>
      </c>
      <c r="AL360">
        <v>140</v>
      </c>
      <c r="AM360"/>
      <c r="AN360" s="241">
        <v>75</v>
      </c>
      <c r="AO360" s="242">
        <v>42079</v>
      </c>
      <c r="AP360" s="255">
        <v>104</v>
      </c>
      <c r="AQ360" s="242">
        <v>42108</v>
      </c>
      <c r="AR360" s="223">
        <v>121</v>
      </c>
      <c r="AS360" s="297">
        <f>IF(AR360=0,,AR360)</f>
        <v>121</v>
      </c>
      <c r="AT360" s="290">
        <v>42125</v>
      </c>
      <c r="AU360" s="298"/>
      <c r="AV360"/>
      <c r="AW360"/>
      <c r="AX360"/>
      <c r="AY360"/>
      <c r="AZ360"/>
      <c r="BA360"/>
      <c r="BB360"/>
      <c r="BC360"/>
      <c r="BD360"/>
      <c r="BE360"/>
      <c r="BF360" s="277">
        <v>-3.1964340209960938</v>
      </c>
      <c r="BG360" s="283">
        <v>42230</v>
      </c>
      <c r="BH360"/>
      <c r="BI360"/>
      <c r="BJ360"/>
      <c r="BK360"/>
      <c r="BL360" s="277">
        <v>60.039272308349609</v>
      </c>
      <c r="BM360" s="283">
        <v>42230</v>
      </c>
      <c r="BN360"/>
      <c r="BO360"/>
      <c r="BP360" s="277">
        <v>3.5367860794067383</v>
      </c>
      <c r="BQ360" s="283">
        <v>42230</v>
      </c>
      <c r="BR360" s="277">
        <v>48.033611297607422</v>
      </c>
      <c r="BS360" s="283">
        <v>42230</v>
      </c>
      <c r="BT360" s="277">
        <v>19.234634399414062</v>
      </c>
      <c r="BU360" s="283">
        <v>42230</v>
      </c>
      <c r="BV360" s="277">
        <v>68.0849609375</v>
      </c>
      <c r="BW360" s="283">
        <v>42230</v>
      </c>
      <c r="BX360" s="277">
        <v>5.4232864379882812</v>
      </c>
      <c r="BY360" s="283">
        <v>42230</v>
      </c>
      <c r="BZ360"/>
      <c r="CB360" s="266">
        <v>1.78</v>
      </c>
      <c r="CC360"/>
      <c r="CD360" s="277">
        <v>4.9999999999999964</v>
      </c>
      <c r="CE360" s="291" t="s">
        <v>8398</v>
      </c>
      <c r="CF360"/>
      <c r="CG360"/>
      <c r="CH360">
        <v>3</v>
      </c>
      <c r="CI360">
        <v>8</v>
      </c>
      <c r="CK360"/>
      <c r="CL360">
        <v>5</v>
      </c>
      <c r="CM360" s="259">
        <v>42161</v>
      </c>
      <c r="CO360" s="137" t="s">
        <v>8405</v>
      </c>
    </row>
    <row r="361" spans="1:93">
      <c r="A361" s="258">
        <v>589</v>
      </c>
      <c r="B361" s="235">
        <v>589</v>
      </c>
      <c r="C361" s="235" t="s">
        <v>7746</v>
      </c>
      <c r="D361" s="235" t="s">
        <v>7887</v>
      </c>
      <c r="E361" s="235" t="s">
        <v>7746</v>
      </c>
      <c r="F361" s="235" t="s">
        <v>8560</v>
      </c>
      <c r="G361" s="235" t="str">
        <f>IF(MID(C361,1,3)="BGA","Complement","Rapsodyn")</f>
        <v>Rapsodyn</v>
      </c>
      <c r="H361" s="235" t="s">
        <v>265</v>
      </c>
      <c r="I361" s="235">
        <v>2</v>
      </c>
      <c r="J361" s="235">
        <v>9379</v>
      </c>
      <c r="K361" s="235">
        <v>5</v>
      </c>
      <c r="L361" s="235">
        <f t="shared" si="186"/>
        <v>5</v>
      </c>
      <c r="M361" s="235">
        <v>9</v>
      </c>
      <c r="N361" s="235">
        <v>7</v>
      </c>
      <c r="O361" s="248">
        <v>42048</v>
      </c>
      <c r="P361">
        <v>3</v>
      </c>
      <c r="Q361" s="264">
        <v>42204</v>
      </c>
      <c r="R361"/>
      <c r="S361"/>
      <c r="T361"/>
      <c r="V361" s="219">
        <f>+BR361*AF361/100</f>
        <v>8.8828223338483934</v>
      </c>
      <c r="W361" s="219"/>
      <c r="X361">
        <v>15.55</v>
      </c>
      <c r="Y361"/>
      <c r="Z361"/>
      <c r="AA361"/>
      <c r="AB361" s="220">
        <f>+AF361*BT361/100</f>
        <v>3.6562346231671681</v>
      </c>
      <c r="AC361" s="219"/>
      <c r="AD361" s="221">
        <f>+(AF361/AJ361)*10000</f>
        <v>35398.925484818254</v>
      </c>
      <c r="AE361" s="219"/>
      <c r="AF361" s="220">
        <f>($P361/$X361)*(((100-$CD361)/100*(100-2)/100))*100</f>
        <v>18.265845550166219</v>
      </c>
      <c r="AG361" s="219"/>
      <c r="AH361" s="220">
        <f>($P361/$X361)*(((100-$CD361)/(100-9)*(100-2)/(100-2))*100)</f>
        <v>20.481997701464703</v>
      </c>
      <c r="AI361" s="219"/>
      <c r="AJ361">
        <v>5.16</v>
      </c>
      <c r="AK361" s="284" t="s">
        <v>8398</v>
      </c>
      <c r="AL361">
        <v>145</v>
      </c>
      <c r="AM361"/>
      <c r="AN361" s="241">
        <v>70</v>
      </c>
      <c r="AO361" s="242">
        <v>42074</v>
      </c>
      <c r="AP361" s="255">
        <v>104</v>
      </c>
      <c r="AQ361" s="242">
        <v>42108</v>
      </c>
      <c r="AR361" s="223">
        <v>125</v>
      </c>
      <c r="AS361" s="297">
        <f>IF(AR361=0,,AR361)</f>
        <v>125</v>
      </c>
      <c r="AT361" s="290">
        <v>42129</v>
      </c>
      <c r="AU361" s="298"/>
      <c r="AV361"/>
      <c r="AW361"/>
      <c r="AX361"/>
      <c r="AY361"/>
      <c r="AZ361"/>
      <c r="BA361"/>
      <c r="BB361"/>
      <c r="BC361"/>
      <c r="BD361"/>
      <c r="BE361"/>
      <c r="BF361" s="277">
        <v>37.158943176269531</v>
      </c>
      <c r="BG361" s="283">
        <v>42230</v>
      </c>
      <c r="BH361"/>
      <c r="BI361"/>
      <c r="BJ361"/>
      <c r="BK361"/>
      <c r="BL361" s="277">
        <v>59.634265899658203</v>
      </c>
      <c r="BM361" s="283">
        <v>42230</v>
      </c>
      <c r="BN361"/>
      <c r="BO361"/>
      <c r="BP361" s="277">
        <v>3.2888729572296143</v>
      </c>
      <c r="BQ361" s="283">
        <v>42230</v>
      </c>
      <c r="BR361" s="277">
        <v>48.630775451660156</v>
      </c>
      <c r="BS361" s="283">
        <v>42230</v>
      </c>
      <c r="BT361" s="277">
        <v>20.016782760620117</v>
      </c>
      <c r="BU361" s="283">
        <v>42230</v>
      </c>
      <c r="BV361" s="277">
        <v>76.000778198242188</v>
      </c>
      <c r="BW361" s="283">
        <v>42230</v>
      </c>
      <c r="BX361" s="277">
        <v>5.32928466796875</v>
      </c>
      <c r="BY361" s="283">
        <v>42230</v>
      </c>
      <c r="BZ361"/>
      <c r="CB361" s="266">
        <v>2.0299999999999998</v>
      </c>
      <c r="CC361"/>
      <c r="CD361" s="277">
        <v>3.3898305084745792</v>
      </c>
      <c r="CE361" s="291" t="s">
        <v>8398</v>
      </c>
      <c r="CF361"/>
      <c r="CG361"/>
      <c r="CH361">
        <v>2</v>
      </c>
      <c r="CI361">
        <v>6</v>
      </c>
      <c r="CK361"/>
      <c r="CL361">
        <v>6</v>
      </c>
      <c r="CM361" s="259">
        <v>42161</v>
      </c>
      <c r="CN361" s="137" t="s">
        <v>8406</v>
      </c>
    </row>
    <row r="362" spans="1:93">
      <c r="A362" s="258">
        <v>590</v>
      </c>
      <c r="B362" s="235">
        <v>590</v>
      </c>
      <c r="C362" s="235" t="s">
        <v>7576</v>
      </c>
      <c r="D362" s="235"/>
      <c r="E362" s="235"/>
      <c r="F362" s="235"/>
      <c r="G362" s="235"/>
      <c r="H362" s="235" t="s">
        <v>265</v>
      </c>
      <c r="I362" s="235">
        <v>2</v>
      </c>
      <c r="K362" s="235">
        <v>6</v>
      </c>
      <c r="L362" s="235">
        <f t="shared" si="186"/>
        <v>6</v>
      </c>
      <c r="M362" s="235">
        <v>9</v>
      </c>
      <c r="O362" s="248">
        <v>42048</v>
      </c>
      <c r="P362" s="223"/>
      <c r="Q362" s="224"/>
      <c r="R362" s="223"/>
      <c r="S362" s="223"/>
      <c r="T362" s="223"/>
      <c r="U362" s="225"/>
      <c r="V362" s="219"/>
      <c r="W362" s="224"/>
      <c r="X362">
        <v>15.55</v>
      </c>
      <c r="Y362" s="223"/>
      <c r="Z362" s="223"/>
      <c r="AA362" s="223"/>
      <c r="AB362" s="220"/>
      <c r="AC362" s="224"/>
      <c r="AD362" s="221"/>
      <c r="AE362" s="224"/>
      <c r="AF362" s="220"/>
      <c r="AG362" s="224"/>
      <c r="AH362" s="220"/>
      <c r="AI362" s="224"/>
      <c r="AJ362" s="286"/>
      <c r="AK362" s="290"/>
      <c r="AL362" s="223"/>
      <c r="AM362" s="223"/>
      <c r="AN362" s="241">
        <v>70</v>
      </c>
      <c r="AO362" s="242">
        <v>42074</v>
      </c>
      <c r="AP362" s="255">
        <v>104</v>
      </c>
      <c r="AQ362" s="242">
        <v>42108</v>
      </c>
      <c r="AR362" s="223"/>
      <c r="AS362" s="297"/>
      <c r="AT362" s="290"/>
      <c r="AU362" s="298"/>
      <c r="AV362" s="223"/>
      <c r="AW362" s="223"/>
      <c r="AX362" s="223"/>
      <c r="AY362" s="223"/>
      <c r="AZ362" s="223"/>
      <c r="BA362" s="223"/>
      <c r="BB362" s="223"/>
      <c r="BC362" s="223"/>
      <c r="BD362" s="223"/>
      <c r="BE362" s="223"/>
      <c r="BF362" s="281"/>
      <c r="BG362" s="235"/>
      <c r="BH362" s="223"/>
      <c r="BI362" s="223"/>
      <c r="BJ362" s="223"/>
      <c r="BK362" s="223"/>
      <c r="BL362" s="281"/>
      <c r="BM362" s="235"/>
      <c r="BN362" s="223"/>
      <c r="BO362" s="223"/>
      <c r="BP362" s="281"/>
      <c r="BQ362" s="235"/>
      <c r="BR362" s="281"/>
      <c r="BS362" s="235"/>
      <c r="BT362" s="281"/>
      <c r="BU362" s="235"/>
      <c r="BV362" s="281"/>
      <c r="BW362" s="235"/>
      <c r="BX362" s="281"/>
      <c r="BY362" s="235"/>
      <c r="BZ362" s="223"/>
      <c r="CA362" s="226"/>
      <c r="CB362" s="266"/>
      <c r="CC362" s="223"/>
      <c r="CD362" s="281"/>
      <c r="CE362" s="291"/>
      <c r="CF362" s="223"/>
      <c r="CG362" s="223"/>
      <c r="CH362" s="223"/>
      <c r="CI362" s="223"/>
      <c r="CK362" s="223"/>
      <c r="CL362" s="223">
        <v>2</v>
      </c>
      <c r="CM362" s="259">
        <v>42161</v>
      </c>
    </row>
    <row r="363" spans="1:93">
      <c r="A363" s="258">
        <v>591</v>
      </c>
      <c r="B363" s="236">
        <v>591</v>
      </c>
      <c r="C363" s="235" t="s">
        <v>7641</v>
      </c>
      <c r="D363" s="235" t="s">
        <v>7473</v>
      </c>
      <c r="E363" s="235" t="s">
        <v>7641</v>
      </c>
      <c r="F363" s="235" t="s">
        <v>8523</v>
      </c>
      <c r="G363" s="235" t="str">
        <f t="shared" ref="G363:G373" si="187">IF(MID(C363,1,3)="BGA","Complement","Rapsodyn")</f>
        <v>Rapsodyn</v>
      </c>
      <c r="H363" s="235" t="s">
        <v>265</v>
      </c>
      <c r="I363" s="235">
        <v>2</v>
      </c>
      <c r="J363" s="235">
        <v>9029</v>
      </c>
      <c r="K363" s="235">
        <v>7</v>
      </c>
      <c r="L363" s="235">
        <f t="shared" si="186"/>
        <v>7</v>
      </c>
      <c r="M363" s="235">
        <v>9</v>
      </c>
      <c r="N363" s="235">
        <v>7</v>
      </c>
      <c r="O363" s="248">
        <v>42048</v>
      </c>
      <c r="P363">
        <v>3.45</v>
      </c>
      <c r="Q363" s="264">
        <v>42204</v>
      </c>
      <c r="R363"/>
      <c r="S363"/>
      <c r="T363"/>
      <c r="V363" s="219">
        <f t="shared" ref="V363:V370" si="188">+BR363*AF363/100</f>
        <v>9.9345214296303155</v>
      </c>
      <c r="W363" s="219"/>
      <c r="X363">
        <v>15.55</v>
      </c>
      <c r="Y363"/>
      <c r="Z363"/>
      <c r="AA363"/>
      <c r="AB363" s="220">
        <f t="shared" ref="AB363:AB370" si="189">+AF363*BT363/100</f>
        <v>4.4760944974714976</v>
      </c>
      <c r="AC363" s="219"/>
      <c r="AD363" s="221">
        <f t="shared" ref="AD363:AD370" si="190">+(AF363/AJ363)*10000</f>
        <v>36022.450676177221</v>
      </c>
      <c r="AE363" s="219"/>
      <c r="AF363" s="220">
        <f t="shared" ref="AF363:AF370" si="191">($P363/$X363)*(((100-$CD363)/100*(100-2)/100))*100</f>
        <v>21.36131325097309</v>
      </c>
      <c r="AG363" s="219"/>
      <c r="AH363" s="220">
        <f t="shared" ref="AH363:AH370" si="192">($P363/$X363)*(((100-$CD363)/(100-9)*(100-2)/(100-2))*100)</f>
        <v>23.953031230066262</v>
      </c>
      <c r="AI363" s="219"/>
      <c r="AJ363">
        <v>5.93</v>
      </c>
      <c r="AK363" s="284" t="s">
        <v>8398</v>
      </c>
      <c r="AL363">
        <v>160</v>
      </c>
      <c r="AM363"/>
      <c r="AN363" s="241">
        <v>79</v>
      </c>
      <c r="AO363" s="242">
        <v>42083</v>
      </c>
      <c r="AP363" s="255">
        <v>104</v>
      </c>
      <c r="AQ363" s="242">
        <v>42108</v>
      </c>
      <c r="AR363" s="223">
        <v>131</v>
      </c>
      <c r="AS363" s="297">
        <f t="shared" ref="AS363:AS373" si="193">IF(AR363=0,,AR363)</f>
        <v>131</v>
      </c>
      <c r="AT363" s="290">
        <v>42135</v>
      </c>
      <c r="AU363" s="298"/>
      <c r="AV363"/>
      <c r="AW363"/>
      <c r="AX363"/>
      <c r="AY363"/>
      <c r="AZ363"/>
      <c r="BA363"/>
      <c r="BB363"/>
      <c r="BC363"/>
      <c r="BD363"/>
      <c r="BE363"/>
      <c r="BF363" s="277">
        <v>-3.4357929229736328</v>
      </c>
      <c r="BG363" s="283">
        <v>42230</v>
      </c>
      <c r="BH363"/>
      <c r="BI363"/>
      <c r="BJ363"/>
      <c r="BK363"/>
      <c r="BL363" s="277">
        <v>59.138370513916016</v>
      </c>
      <c r="BM363" s="283">
        <v>42230</v>
      </c>
      <c r="BN363"/>
      <c r="BO363"/>
      <c r="BP363" s="277">
        <v>3.9622030258178711</v>
      </c>
      <c r="BQ363" s="283">
        <v>42230</v>
      </c>
      <c r="BR363" s="277">
        <v>46.507072448730469</v>
      </c>
      <c r="BS363" s="283">
        <v>42230</v>
      </c>
      <c r="BT363" s="277">
        <v>20.95421028137207</v>
      </c>
      <c r="BU363" s="283">
        <v>42230</v>
      </c>
      <c r="BV363" s="277">
        <v>72.290069580078125</v>
      </c>
      <c r="BW363" s="283">
        <v>42230</v>
      </c>
      <c r="BX363" s="277">
        <v>5.99383544921875</v>
      </c>
      <c r="BY363" s="283">
        <v>42230</v>
      </c>
      <c r="BZ363"/>
      <c r="CB363" s="266">
        <v>1.92</v>
      </c>
      <c r="CC363"/>
      <c r="CD363" s="277">
        <v>1.7543859649122899</v>
      </c>
      <c r="CE363" s="291" t="s">
        <v>8398</v>
      </c>
      <c r="CF363"/>
      <c r="CG363"/>
      <c r="CH363">
        <v>1</v>
      </c>
      <c r="CI363">
        <v>5</v>
      </c>
      <c r="CK363"/>
      <c r="CL363">
        <v>3</v>
      </c>
      <c r="CM363" s="259">
        <v>42161</v>
      </c>
      <c r="CN363" s="137" t="s">
        <v>8406</v>
      </c>
    </row>
    <row r="364" spans="1:93">
      <c r="A364" s="258">
        <v>594</v>
      </c>
      <c r="B364" s="235">
        <v>594</v>
      </c>
      <c r="C364" s="235" t="s">
        <v>7792</v>
      </c>
      <c r="D364" s="235" t="s">
        <v>7590</v>
      </c>
      <c r="E364" s="235" t="s">
        <v>7792</v>
      </c>
      <c r="F364" s="235" t="s">
        <v>8480</v>
      </c>
      <c r="G364" s="235" t="str">
        <f t="shared" si="187"/>
        <v>Rapsodyn</v>
      </c>
      <c r="H364" s="235" t="s">
        <v>265</v>
      </c>
      <c r="I364" s="235">
        <v>2</v>
      </c>
      <c r="J364" s="235">
        <v>9163</v>
      </c>
      <c r="K364" s="235">
        <v>10</v>
      </c>
      <c r="L364" s="235">
        <f t="shared" si="186"/>
        <v>10</v>
      </c>
      <c r="M364" s="235">
        <v>9</v>
      </c>
      <c r="N364" s="235">
        <v>7</v>
      </c>
      <c r="O364" s="248">
        <v>42048</v>
      </c>
      <c r="P364">
        <v>5</v>
      </c>
      <c r="Q364" s="264">
        <v>42204</v>
      </c>
      <c r="R364"/>
      <c r="S364"/>
      <c r="T364"/>
      <c r="V364" s="219">
        <f t="shared" si="188"/>
        <v>15.067329554392039</v>
      </c>
      <c r="W364" s="219"/>
      <c r="X364">
        <v>15.55</v>
      </c>
      <c r="Y364"/>
      <c r="Z364"/>
      <c r="AA364"/>
      <c r="AB364" s="220">
        <f t="shared" si="189"/>
        <v>4.4234967214682372</v>
      </c>
      <c r="AC364" s="219"/>
      <c r="AD364" s="221">
        <f t="shared" si="190"/>
        <v>72650.987952069729</v>
      </c>
      <c r="AE364" s="219"/>
      <c r="AF364" s="220">
        <f t="shared" si="191"/>
        <v>29.133046168779959</v>
      </c>
      <c r="AG364" s="219"/>
      <c r="AH364" s="220">
        <f t="shared" si="192"/>
        <v>32.667690254294634</v>
      </c>
      <c r="AI364" s="219"/>
      <c r="AJ364">
        <v>4.01</v>
      </c>
      <c r="AK364" s="284" t="s">
        <v>8400</v>
      </c>
      <c r="AL364">
        <v>160</v>
      </c>
      <c r="AM364"/>
      <c r="AN364" s="241">
        <v>65</v>
      </c>
      <c r="AO364" s="242">
        <v>42069</v>
      </c>
      <c r="AP364" s="255">
        <v>104</v>
      </c>
      <c r="AQ364" s="242">
        <v>42108</v>
      </c>
      <c r="AR364" s="223">
        <v>130</v>
      </c>
      <c r="AS364" s="297">
        <f t="shared" si="193"/>
        <v>130</v>
      </c>
      <c r="AT364" s="290">
        <v>42134</v>
      </c>
      <c r="AU364" s="298"/>
      <c r="AV364"/>
      <c r="AW364"/>
      <c r="AX364"/>
      <c r="AY364"/>
      <c r="AZ364"/>
      <c r="BA364"/>
      <c r="BB364"/>
      <c r="BC364"/>
      <c r="BD364"/>
      <c r="BE364"/>
      <c r="BF364" s="277">
        <v>-4.4095687866210938</v>
      </c>
      <c r="BG364" s="283">
        <v>42230</v>
      </c>
      <c r="BH364"/>
      <c r="BI364"/>
      <c r="BJ364"/>
      <c r="BK364"/>
      <c r="BL364" s="277">
        <v>65.196311950683594</v>
      </c>
      <c r="BM364" s="283">
        <v>42230</v>
      </c>
      <c r="BN364"/>
      <c r="BO364"/>
      <c r="BP364" s="277">
        <v>4.3022398948669434</v>
      </c>
      <c r="BQ364" s="283">
        <v>42230</v>
      </c>
      <c r="BR364" s="277">
        <v>51.719032287597656</v>
      </c>
      <c r="BS364" s="283">
        <v>42230</v>
      </c>
      <c r="BT364" s="277">
        <v>15.18377685546875</v>
      </c>
      <c r="BU364" s="283">
        <v>42230</v>
      </c>
      <c r="BV364" s="277">
        <v>13.366453170776367</v>
      </c>
      <c r="BW364" s="283">
        <v>42230</v>
      </c>
      <c r="BX364" s="277">
        <v>5.26470947265625</v>
      </c>
      <c r="BY364" s="283">
        <v>42230</v>
      </c>
      <c r="BZ364"/>
      <c r="CB364" s="266">
        <v>1.1499999999999999</v>
      </c>
      <c r="CC364"/>
      <c r="CD364" s="277">
        <v>7.547169811320745</v>
      </c>
      <c r="CE364" s="291" t="s">
        <v>8400</v>
      </c>
      <c r="CF364"/>
      <c r="CG364"/>
      <c r="CH364">
        <v>2</v>
      </c>
      <c r="CI364">
        <v>3</v>
      </c>
      <c r="CK364"/>
      <c r="CL364">
        <v>2</v>
      </c>
      <c r="CM364" s="259">
        <v>42161</v>
      </c>
      <c r="CN364" s="137" t="s">
        <v>8406</v>
      </c>
    </row>
    <row r="365" spans="1:93">
      <c r="A365" s="258">
        <v>595</v>
      </c>
      <c r="B365" s="235">
        <v>595</v>
      </c>
      <c r="C365" s="235" t="s">
        <v>7808</v>
      </c>
      <c r="D365" s="235" t="s">
        <v>7602</v>
      </c>
      <c r="E365" s="235" t="s">
        <v>7808</v>
      </c>
      <c r="F365" s="235" t="s">
        <v>8509</v>
      </c>
      <c r="G365" s="235" t="str">
        <f t="shared" si="187"/>
        <v>Rapsodyn</v>
      </c>
      <c r="H365" s="235" t="s">
        <v>265</v>
      </c>
      <c r="I365" s="235">
        <v>2</v>
      </c>
      <c r="J365" s="235">
        <v>9179</v>
      </c>
      <c r="K365" s="235">
        <v>11</v>
      </c>
      <c r="L365" s="235">
        <f t="shared" si="186"/>
        <v>11</v>
      </c>
      <c r="M365" s="235">
        <v>9</v>
      </c>
      <c r="N365" s="236">
        <v>5</v>
      </c>
      <c r="O365" s="248">
        <v>42048</v>
      </c>
      <c r="P365">
        <v>5.75</v>
      </c>
      <c r="Q365" s="264">
        <v>42204</v>
      </c>
      <c r="R365"/>
      <c r="S365"/>
      <c r="T365"/>
      <c r="V365" s="219">
        <f t="shared" si="188"/>
        <v>17.433363255129063</v>
      </c>
      <c r="W365" s="219"/>
      <c r="X365">
        <v>15.55</v>
      </c>
      <c r="Y365"/>
      <c r="Z365"/>
      <c r="AA365"/>
      <c r="AB365" s="220">
        <f t="shared" si="189"/>
        <v>5.1972890529175997</v>
      </c>
      <c r="AC365" s="219"/>
      <c r="AD365" s="221">
        <f t="shared" si="190"/>
        <v>77082.709719365637</v>
      </c>
      <c r="AE365" s="219"/>
      <c r="AF365" s="220">
        <f t="shared" si="191"/>
        <v>34.224723115398348</v>
      </c>
      <c r="AG365" s="219"/>
      <c r="AH365" s="220">
        <f t="shared" si="192"/>
        <v>38.37712840928274</v>
      </c>
      <c r="AI365" s="219"/>
      <c r="AJ365">
        <v>4.4400000000000004</v>
      </c>
      <c r="AK365" s="284" t="s">
        <v>8399</v>
      </c>
      <c r="AL365">
        <v>155</v>
      </c>
      <c r="AM365"/>
      <c r="AN365" s="241">
        <v>70</v>
      </c>
      <c r="AO365" s="242">
        <v>42074</v>
      </c>
      <c r="AP365" s="255">
        <v>104</v>
      </c>
      <c r="AQ365" s="242">
        <v>42108</v>
      </c>
      <c r="AR365" s="223">
        <v>131</v>
      </c>
      <c r="AS365" s="297">
        <f t="shared" si="193"/>
        <v>131</v>
      </c>
      <c r="AT365" s="290">
        <v>42135</v>
      </c>
      <c r="AU365" s="298"/>
      <c r="AV365"/>
      <c r="AW365"/>
      <c r="AX365"/>
      <c r="AY365"/>
      <c r="AZ365"/>
      <c r="BA365"/>
      <c r="BB365"/>
      <c r="BC365"/>
      <c r="BD365"/>
      <c r="BE365"/>
      <c r="BF365" s="277">
        <v>-4.578887939453125</v>
      </c>
      <c r="BG365" s="283">
        <v>42233</v>
      </c>
      <c r="BH365"/>
      <c r="BI365"/>
      <c r="BJ365"/>
      <c r="BK365"/>
      <c r="BL365" s="277">
        <v>63.933361053466797</v>
      </c>
      <c r="BM365" s="283">
        <v>42233</v>
      </c>
      <c r="BN365"/>
      <c r="BO365"/>
      <c r="BP365" s="277">
        <v>3.9573140144348145</v>
      </c>
      <c r="BQ365" s="283">
        <v>42233</v>
      </c>
      <c r="BR365" s="277">
        <v>50.937923431396484</v>
      </c>
      <c r="BS365" s="283">
        <v>42233</v>
      </c>
      <c r="BT365" s="277">
        <v>15.185773849487305</v>
      </c>
      <c r="BU365" s="283">
        <v>42233</v>
      </c>
      <c r="BV365" s="277">
        <v>16.065187454223633</v>
      </c>
      <c r="BW365" s="283">
        <v>42233</v>
      </c>
      <c r="BX365" s="277">
        <v>5.491729736328125</v>
      </c>
      <c r="BY365" s="283">
        <v>42233</v>
      </c>
      <c r="BZ365"/>
      <c r="CB365" s="266">
        <v>1.52</v>
      </c>
      <c r="CC365"/>
      <c r="CD365" s="277">
        <v>5.5555555555555687</v>
      </c>
      <c r="CE365" s="291" t="s">
        <v>8399</v>
      </c>
      <c r="CF365"/>
      <c r="CG365"/>
      <c r="CH365">
        <v>2</v>
      </c>
      <c r="CI365">
        <v>2</v>
      </c>
      <c r="CK365"/>
      <c r="CL365">
        <v>1</v>
      </c>
      <c r="CM365" s="259">
        <v>42161</v>
      </c>
      <c r="CN365" s="137" t="s">
        <v>8406</v>
      </c>
    </row>
    <row r="366" spans="1:93">
      <c r="A366" s="258">
        <v>598</v>
      </c>
      <c r="B366" s="235">
        <v>598</v>
      </c>
      <c r="C366" s="236" t="s">
        <v>7794</v>
      </c>
      <c r="D366" s="236" t="s">
        <v>7592</v>
      </c>
      <c r="E366" s="236" t="s">
        <v>7794</v>
      </c>
      <c r="F366" s="236" t="s">
        <v>8603</v>
      </c>
      <c r="G366" s="235" t="str">
        <f t="shared" si="187"/>
        <v>Rapsodyn</v>
      </c>
      <c r="H366" s="235" t="s">
        <v>265</v>
      </c>
      <c r="I366" s="235">
        <v>2</v>
      </c>
      <c r="J366" s="236">
        <v>9165</v>
      </c>
      <c r="K366" s="236">
        <v>14</v>
      </c>
      <c r="L366" s="235">
        <f t="shared" si="186"/>
        <v>14</v>
      </c>
      <c r="M366" s="236">
        <v>9</v>
      </c>
      <c r="N366" s="236">
        <v>5</v>
      </c>
      <c r="O366" s="248">
        <v>42048</v>
      </c>
      <c r="P366">
        <v>4.75</v>
      </c>
      <c r="Q366" s="264">
        <v>42204</v>
      </c>
      <c r="R366"/>
      <c r="S366"/>
      <c r="T366"/>
      <c r="V366" s="219">
        <f t="shared" si="188"/>
        <v>14.903393102422656</v>
      </c>
      <c r="W366" s="219"/>
      <c r="X366">
        <v>15.55</v>
      </c>
      <c r="Y366"/>
      <c r="Z366"/>
      <c r="AA366"/>
      <c r="AB366" s="220">
        <f t="shared" si="189"/>
        <v>4.7016927471715171</v>
      </c>
      <c r="AC366" s="219"/>
      <c r="AD366" s="221">
        <f t="shared" si="190"/>
        <v>67146.952422691058</v>
      </c>
      <c r="AE366" s="219"/>
      <c r="AF366" s="220">
        <f t="shared" si="191"/>
        <v>28.806042589334464</v>
      </c>
      <c r="AG366" s="219"/>
      <c r="AH366" s="220">
        <f t="shared" si="192"/>
        <v>32.301012098379083</v>
      </c>
      <c r="AI366" s="219"/>
      <c r="AJ366">
        <v>4.29</v>
      </c>
      <c r="AK366" s="284" t="s">
        <v>8403</v>
      </c>
      <c r="AL366">
        <v>165</v>
      </c>
      <c r="AM366"/>
      <c r="AN366" s="241">
        <v>63</v>
      </c>
      <c r="AO366" s="243">
        <v>42067</v>
      </c>
      <c r="AP366" s="255">
        <v>104</v>
      </c>
      <c r="AQ366" s="242">
        <v>42108</v>
      </c>
      <c r="AR366" s="223">
        <v>130</v>
      </c>
      <c r="AS366" s="297">
        <f t="shared" si="193"/>
        <v>130</v>
      </c>
      <c r="AT366" s="290">
        <v>42134</v>
      </c>
      <c r="AU366" s="298"/>
      <c r="AV366"/>
      <c r="AW366"/>
      <c r="AX366"/>
      <c r="AY366"/>
      <c r="AZ366"/>
      <c r="BA366"/>
      <c r="BB366"/>
      <c r="BC366"/>
      <c r="BD366"/>
      <c r="BE366"/>
      <c r="BF366" s="277">
        <v>-1.8522219657897949</v>
      </c>
      <c r="BG366" s="283">
        <v>42233</v>
      </c>
      <c r="BH366"/>
      <c r="BI366"/>
      <c r="BJ366"/>
      <c r="BK366"/>
      <c r="BL366" s="277">
        <v>64.47149658203125</v>
      </c>
      <c r="BM366" s="283">
        <v>42233</v>
      </c>
      <c r="BN366"/>
      <c r="BO366"/>
      <c r="BP366" s="277">
        <v>3.6794610023498535</v>
      </c>
      <c r="BQ366" s="283">
        <v>42233</v>
      </c>
      <c r="BR366" s="277">
        <v>51.737037658691406</v>
      </c>
      <c r="BS366" s="283">
        <v>42233</v>
      </c>
      <c r="BT366" s="277">
        <v>16.321897506713867</v>
      </c>
      <c r="BU366" s="283">
        <v>42233</v>
      </c>
      <c r="BV366" s="277">
        <v>13.238478660583496</v>
      </c>
      <c r="BW366" s="283">
        <v>42233</v>
      </c>
      <c r="BX366" s="277">
        <v>5.2367324829101562</v>
      </c>
      <c r="BY366" s="283">
        <v>42233</v>
      </c>
      <c r="BZ366"/>
      <c r="CB366" s="266">
        <v>1.43</v>
      </c>
      <c r="CC366"/>
      <c r="CD366" s="277">
        <v>3.7735849056603805</v>
      </c>
      <c r="CE366" s="291" t="s">
        <v>8403</v>
      </c>
      <c r="CF366"/>
      <c r="CG366"/>
      <c r="CH366">
        <v>2</v>
      </c>
      <c r="CI366">
        <v>2</v>
      </c>
      <c r="CK366"/>
      <c r="CL366">
        <v>1</v>
      </c>
      <c r="CM366" s="259">
        <v>42161</v>
      </c>
      <c r="CN366" s="137" t="s">
        <v>8406</v>
      </c>
    </row>
    <row r="367" spans="1:93">
      <c r="A367" s="258">
        <v>600</v>
      </c>
      <c r="B367" s="235">
        <v>600</v>
      </c>
      <c r="C367" s="235" t="s">
        <v>8223</v>
      </c>
      <c r="D367" s="235" t="s">
        <v>7562</v>
      </c>
      <c r="E367" s="235" t="s">
        <v>8461</v>
      </c>
      <c r="F367" s="235" t="s">
        <v>8469</v>
      </c>
      <c r="G367" s="235" t="str">
        <f t="shared" si="187"/>
        <v>Complement</v>
      </c>
      <c r="H367" s="235" t="s">
        <v>265</v>
      </c>
      <c r="I367" s="235">
        <v>2</v>
      </c>
      <c r="J367" s="235">
        <v>9278</v>
      </c>
      <c r="K367" s="235">
        <v>16</v>
      </c>
      <c r="L367" s="235">
        <f t="shared" si="186"/>
        <v>16</v>
      </c>
      <c r="M367" s="235">
        <v>9</v>
      </c>
      <c r="N367" s="235">
        <v>7</v>
      </c>
      <c r="O367" s="248">
        <v>42048</v>
      </c>
      <c r="P367">
        <v>5.2</v>
      </c>
      <c r="Q367" s="264">
        <v>42204</v>
      </c>
      <c r="R367"/>
      <c r="S367"/>
      <c r="T367"/>
      <c r="V367" s="219">
        <f t="shared" si="188"/>
        <v>16.636306217000694</v>
      </c>
      <c r="W367" s="219"/>
      <c r="X367">
        <v>15.55</v>
      </c>
      <c r="Y367"/>
      <c r="Z367"/>
      <c r="AA367"/>
      <c r="AB367" s="220">
        <f t="shared" si="189"/>
        <v>4.8213852103377457</v>
      </c>
      <c r="AC367" s="219"/>
      <c r="AD367" s="221">
        <f t="shared" si="190"/>
        <v>63160.011692487569</v>
      </c>
      <c r="AE367" s="219"/>
      <c r="AF367" s="220">
        <f t="shared" si="191"/>
        <v>31.580005846243786</v>
      </c>
      <c r="AG367" s="219"/>
      <c r="AH367" s="220">
        <f t="shared" si="192"/>
        <v>35.411533803816752</v>
      </c>
      <c r="AI367" s="219"/>
      <c r="AJ367">
        <v>5</v>
      </c>
      <c r="AK367" s="284" t="s">
        <v>8400</v>
      </c>
      <c r="AL367">
        <v>160</v>
      </c>
      <c r="AM367"/>
      <c r="AN367" s="241">
        <v>72</v>
      </c>
      <c r="AO367" s="242">
        <v>42076</v>
      </c>
      <c r="AP367" s="255">
        <v>104</v>
      </c>
      <c r="AQ367" s="242">
        <v>42108</v>
      </c>
      <c r="AR367" s="223">
        <v>123</v>
      </c>
      <c r="AS367" s="297">
        <f t="shared" si="193"/>
        <v>123</v>
      </c>
      <c r="AT367" s="290">
        <v>42127</v>
      </c>
      <c r="AU367" s="298"/>
      <c r="AV367"/>
      <c r="AW367"/>
      <c r="AX367"/>
      <c r="AY367"/>
      <c r="AZ367"/>
      <c r="BA367"/>
      <c r="BB367"/>
      <c r="BC367"/>
      <c r="BD367"/>
      <c r="BE367"/>
      <c r="BF367" s="277">
        <v>-4.699343204498291</v>
      </c>
      <c r="BG367" s="283">
        <v>42230</v>
      </c>
      <c r="BH367"/>
      <c r="BI367"/>
      <c r="BJ367"/>
      <c r="BK367"/>
      <c r="BL367" s="277">
        <v>67.657203674316406</v>
      </c>
      <c r="BM367" s="283">
        <v>42230</v>
      </c>
      <c r="BN367"/>
      <c r="BO367"/>
      <c r="BP367" s="277">
        <v>3.1212079524993896</v>
      </c>
      <c r="BQ367" s="283">
        <v>42230</v>
      </c>
      <c r="BR367" s="277">
        <v>52.67987060546875</v>
      </c>
      <c r="BS367" s="283">
        <v>42230</v>
      </c>
      <c r="BT367" s="277">
        <v>15.267208099365234</v>
      </c>
      <c r="BU367" s="283">
        <v>42230</v>
      </c>
      <c r="BV367" s="277">
        <v>15.550270080566406</v>
      </c>
      <c r="BW367" s="283">
        <v>42230</v>
      </c>
      <c r="BX367" s="277">
        <v>5.1427001953125</v>
      </c>
      <c r="BY367" s="283">
        <v>42230</v>
      </c>
      <c r="BZ367"/>
      <c r="CB367" s="266">
        <v>2.0699999999999998</v>
      </c>
      <c r="CC367"/>
      <c r="CD367" s="277">
        <v>3.6363636363636398</v>
      </c>
      <c r="CE367" s="291" t="s">
        <v>8400</v>
      </c>
      <c r="CF367"/>
      <c r="CG367"/>
      <c r="CH367">
        <v>3</v>
      </c>
      <c r="CI367">
        <v>2</v>
      </c>
      <c r="CK367"/>
      <c r="CL367"/>
      <c r="CM367" s="259">
        <v>42161</v>
      </c>
      <c r="CN367" s="137" t="s">
        <v>8406</v>
      </c>
    </row>
    <row r="368" spans="1:93">
      <c r="A368" s="258">
        <v>601</v>
      </c>
      <c r="B368" s="235">
        <v>601</v>
      </c>
      <c r="C368" s="235" t="s">
        <v>7675</v>
      </c>
      <c r="D368" s="235" t="s">
        <v>7504</v>
      </c>
      <c r="E368" s="235" t="s">
        <v>7675</v>
      </c>
      <c r="F368" s="235" t="s">
        <v>8437</v>
      </c>
      <c r="G368" s="235" t="str">
        <f t="shared" si="187"/>
        <v>Rapsodyn</v>
      </c>
      <c r="H368" s="235" t="s">
        <v>265</v>
      </c>
      <c r="I368" s="235">
        <v>2</v>
      </c>
      <c r="J368" s="235">
        <v>9057</v>
      </c>
      <c r="K368" s="235">
        <v>17</v>
      </c>
      <c r="L368" s="235">
        <f t="shared" si="186"/>
        <v>17</v>
      </c>
      <c r="M368" s="235">
        <v>9</v>
      </c>
      <c r="N368" s="235">
        <v>7</v>
      </c>
      <c r="O368" s="248">
        <v>42048</v>
      </c>
      <c r="P368">
        <v>5.0999999999999996</v>
      </c>
      <c r="Q368" s="264">
        <v>42204</v>
      </c>
      <c r="R368"/>
      <c r="S368"/>
      <c r="T368"/>
      <c r="V368" s="219">
        <f t="shared" si="188"/>
        <v>15.289813556317318</v>
      </c>
      <c r="W368" s="219"/>
      <c r="X368">
        <v>15.55</v>
      </c>
      <c r="Y368"/>
      <c r="Z368"/>
      <c r="AA368"/>
      <c r="AB368" s="220">
        <f t="shared" si="189"/>
        <v>4.9355791860802638</v>
      </c>
      <c r="AC368" s="219"/>
      <c r="AD368" s="221">
        <f t="shared" si="190"/>
        <v>69947.258655367041</v>
      </c>
      <c r="AE368" s="219"/>
      <c r="AF368" s="220">
        <f t="shared" si="191"/>
        <v>30.287162997773926</v>
      </c>
      <c r="AG368" s="219"/>
      <c r="AH368" s="220">
        <f t="shared" si="192"/>
        <v>33.961833368214769</v>
      </c>
      <c r="AI368" s="219"/>
      <c r="AJ368">
        <v>4.33</v>
      </c>
      <c r="AK368" s="284" t="s">
        <v>8399</v>
      </c>
      <c r="AL368">
        <v>165</v>
      </c>
      <c r="AM368"/>
      <c r="AN368" s="241">
        <v>79</v>
      </c>
      <c r="AO368" s="242">
        <v>42083</v>
      </c>
      <c r="AP368" s="255">
        <v>106</v>
      </c>
      <c r="AQ368" s="242">
        <v>42110</v>
      </c>
      <c r="AR368" s="223">
        <v>131</v>
      </c>
      <c r="AS368" s="297">
        <f t="shared" si="193"/>
        <v>131</v>
      </c>
      <c r="AT368" s="290">
        <v>42135</v>
      </c>
      <c r="AU368" s="298"/>
      <c r="AV368"/>
      <c r="AW368"/>
      <c r="AX368"/>
      <c r="AY368"/>
      <c r="AZ368"/>
      <c r="BA368"/>
      <c r="BB368"/>
      <c r="BC368"/>
      <c r="BD368"/>
      <c r="BE368"/>
      <c r="BF368" s="277">
        <v>-4.7588081359863281</v>
      </c>
      <c r="BG368" s="283">
        <v>42230</v>
      </c>
      <c r="BH368"/>
      <c r="BI368"/>
      <c r="BJ368"/>
      <c r="BK368"/>
      <c r="BL368" s="277">
        <v>66.714836120605469</v>
      </c>
      <c r="BM368" s="283">
        <v>42230</v>
      </c>
      <c r="BN368"/>
      <c r="BO368"/>
      <c r="BP368" s="277">
        <v>3.4986960887908936</v>
      </c>
      <c r="BQ368" s="283">
        <v>42230</v>
      </c>
      <c r="BR368" s="277">
        <v>50.482818603515625</v>
      </c>
      <c r="BS368" s="283">
        <v>42230</v>
      </c>
      <c r="BT368" s="277">
        <v>16.295944213867188</v>
      </c>
      <c r="BU368" s="283">
        <v>42230</v>
      </c>
      <c r="BV368" s="277">
        <v>15.34156322479248</v>
      </c>
      <c r="BW368" s="283">
        <v>42230</v>
      </c>
      <c r="BX368" s="277">
        <v>5.3560638427734375</v>
      </c>
      <c r="BY368" s="283">
        <v>42230</v>
      </c>
      <c r="BZ368"/>
      <c r="CB368" s="266">
        <v>1.91</v>
      </c>
      <c r="CC368"/>
      <c r="CD368" s="277">
        <v>5.7692307692307656</v>
      </c>
      <c r="CE368" s="291" t="s">
        <v>8399</v>
      </c>
      <c r="CF368"/>
      <c r="CG368"/>
      <c r="CH368">
        <v>2</v>
      </c>
      <c r="CI368">
        <v>3</v>
      </c>
      <c r="CK368"/>
      <c r="CL368">
        <v>1</v>
      </c>
      <c r="CM368" s="259">
        <v>42161</v>
      </c>
      <c r="CN368" s="137" t="s">
        <v>8406</v>
      </c>
    </row>
    <row r="369" spans="1:94">
      <c r="A369" s="258">
        <v>604</v>
      </c>
      <c r="B369" s="96">
        <v>604</v>
      </c>
      <c r="C369" s="235" t="s">
        <v>7701</v>
      </c>
      <c r="D369" s="235" t="s">
        <v>7527</v>
      </c>
      <c r="E369" s="235" t="s">
        <v>7701</v>
      </c>
      <c r="F369" s="235" t="s">
        <v>8458</v>
      </c>
      <c r="G369" s="235" t="str">
        <f t="shared" si="187"/>
        <v>Rapsodyn</v>
      </c>
      <c r="H369" s="235" t="s">
        <v>265</v>
      </c>
      <c r="I369" s="235">
        <v>2</v>
      </c>
      <c r="J369" s="235">
        <v>9083</v>
      </c>
      <c r="K369" s="235">
        <v>20</v>
      </c>
      <c r="L369" s="235">
        <f t="shared" si="186"/>
        <v>20</v>
      </c>
      <c r="M369" s="235">
        <v>9</v>
      </c>
      <c r="N369" s="235">
        <v>7</v>
      </c>
      <c r="O369" s="248">
        <v>42048</v>
      </c>
      <c r="P369">
        <v>4.3</v>
      </c>
      <c r="Q369" s="264">
        <v>42204</v>
      </c>
      <c r="R369"/>
      <c r="S369"/>
      <c r="T369"/>
      <c r="V369" s="219">
        <f t="shared" si="188"/>
        <v>13.084012222412698</v>
      </c>
      <c r="W369" s="219"/>
      <c r="X369">
        <v>15.55</v>
      </c>
      <c r="Y369"/>
      <c r="Z369"/>
      <c r="AA369"/>
      <c r="AB369" s="220">
        <f t="shared" si="189"/>
        <v>4.2592468104101835</v>
      </c>
      <c r="AC369" s="219"/>
      <c r="AD369" s="221">
        <f t="shared" si="190"/>
        <v>53439.330874085186</v>
      </c>
      <c r="AE369" s="219"/>
      <c r="AF369" s="220">
        <f t="shared" si="191"/>
        <v>26.131832797427652</v>
      </c>
      <c r="AG369" s="219"/>
      <c r="AH369" s="220">
        <f t="shared" si="192"/>
        <v>29.302346711625535</v>
      </c>
      <c r="AI369" s="219"/>
      <c r="AJ369">
        <v>4.8899999999999997</v>
      </c>
      <c r="AK369" s="284" t="s">
        <v>8402</v>
      </c>
      <c r="AL369">
        <v>160</v>
      </c>
      <c r="AM369"/>
      <c r="AN369" s="241">
        <v>75</v>
      </c>
      <c r="AO369" s="242">
        <v>42079</v>
      </c>
      <c r="AP369" s="255">
        <v>106</v>
      </c>
      <c r="AQ369" s="242">
        <v>42110</v>
      </c>
      <c r="AR369" s="223">
        <v>132</v>
      </c>
      <c r="AS369" s="297">
        <f t="shared" si="193"/>
        <v>132</v>
      </c>
      <c r="AT369" s="290">
        <v>42136</v>
      </c>
      <c r="AU369" s="298"/>
      <c r="AV369"/>
      <c r="AW369"/>
      <c r="AX369"/>
      <c r="AY369"/>
      <c r="AZ369"/>
      <c r="BA369"/>
      <c r="BB369"/>
      <c r="BC369"/>
      <c r="BD369"/>
      <c r="BE369"/>
      <c r="BF369" s="277">
        <v>-0.54631602764129639</v>
      </c>
      <c r="BG369" s="283">
        <v>42233</v>
      </c>
      <c r="BH369"/>
      <c r="BI369"/>
      <c r="BJ369"/>
      <c r="BK369"/>
      <c r="BL369" s="277">
        <v>64.716865539550781</v>
      </c>
      <c r="BM369" s="283">
        <v>42233</v>
      </c>
      <c r="BN369"/>
      <c r="BO369"/>
      <c r="BP369" s="277">
        <v>3.603456974029541</v>
      </c>
      <c r="BQ369" s="283">
        <v>42233</v>
      </c>
      <c r="BR369" s="277">
        <v>50.069248199462891</v>
      </c>
      <c r="BS369" s="283">
        <v>42233</v>
      </c>
      <c r="BT369" s="277">
        <v>16.299074172973633</v>
      </c>
      <c r="BU369" s="283">
        <v>42233</v>
      </c>
      <c r="BV369" s="277">
        <v>14.296287536621094</v>
      </c>
      <c r="BW369" s="283">
        <v>42233</v>
      </c>
      <c r="BX369" s="277">
        <v>5.4254608154296875</v>
      </c>
      <c r="BY369" s="283">
        <v>42233</v>
      </c>
      <c r="BZ369"/>
      <c r="CB369" s="266">
        <v>1.91</v>
      </c>
      <c r="CC369"/>
      <c r="CD369" s="277">
        <v>3.5714285714285587</v>
      </c>
      <c r="CE369" s="291" t="s">
        <v>8402</v>
      </c>
      <c r="CF369"/>
      <c r="CG369"/>
      <c r="CH369">
        <v>2</v>
      </c>
      <c r="CI369">
        <v>5</v>
      </c>
      <c r="CK369"/>
      <c r="CL369">
        <v>3</v>
      </c>
      <c r="CM369" s="259">
        <v>42161</v>
      </c>
      <c r="CN369" s="137" t="s">
        <v>8406</v>
      </c>
    </row>
    <row r="370" spans="1:94">
      <c r="A370" s="258">
        <v>606</v>
      </c>
      <c r="B370" s="96">
        <v>606</v>
      </c>
      <c r="C370" s="235" t="s">
        <v>7647</v>
      </c>
      <c r="D370" s="235" t="s">
        <v>7479</v>
      </c>
      <c r="E370" s="235" t="s">
        <v>7647</v>
      </c>
      <c r="F370" s="235" t="s">
        <v>8527</v>
      </c>
      <c r="G370" s="235" t="str">
        <f t="shared" si="187"/>
        <v>Rapsodyn</v>
      </c>
      <c r="H370" s="235" t="s">
        <v>265</v>
      </c>
      <c r="I370" s="235">
        <v>2</v>
      </c>
      <c r="J370" s="235">
        <v>9033</v>
      </c>
      <c r="K370" s="235">
        <v>22</v>
      </c>
      <c r="L370" s="235">
        <f t="shared" si="186"/>
        <v>22</v>
      </c>
      <c r="M370" s="235">
        <v>9</v>
      </c>
      <c r="N370" s="235">
        <v>7</v>
      </c>
      <c r="O370" s="248">
        <v>42048</v>
      </c>
      <c r="P370" s="223">
        <v>3.4</v>
      </c>
      <c r="Q370" s="264">
        <v>42204</v>
      </c>
      <c r="R370" s="223"/>
      <c r="S370" s="223"/>
      <c r="T370" s="223"/>
      <c r="U370" s="225"/>
      <c r="V370" s="219">
        <f t="shared" si="188"/>
        <v>9.9022085288269395</v>
      </c>
      <c r="W370" s="224"/>
      <c r="X370">
        <v>15.55</v>
      </c>
      <c r="Y370" s="223"/>
      <c r="Z370" s="223"/>
      <c r="AA370" s="223"/>
      <c r="AB370" s="220">
        <f t="shared" si="189"/>
        <v>3.5616240398918921</v>
      </c>
      <c r="AC370" s="224"/>
      <c r="AD370" s="221">
        <f t="shared" si="190"/>
        <v>48648.953573644721</v>
      </c>
      <c r="AE370" s="224"/>
      <c r="AF370" s="220">
        <f t="shared" si="191"/>
        <v>20.675805268799007</v>
      </c>
      <c r="AG370" s="224"/>
      <c r="AH370" s="220">
        <f t="shared" si="192"/>
        <v>23.184352174028938</v>
      </c>
      <c r="AI370" s="224"/>
      <c r="AJ370">
        <v>4.25</v>
      </c>
      <c r="AK370" s="290" t="s">
        <v>8401</v>
      </c>
      <c r="AL370" s="223">
        <v>180</v>
      </c>
      <c r="AM370" s="223"/>
      <c r="AN370" s="241">
        <v>72</v>
      </c>
      <c r="AO370" s="242">
        <v>42076</v>
      </c>
      <c r="AP370" s="255">
        <v>106</v>
      </c>
      <c r="AQ370" s="242">
        <v>42110</v>
      </c>
      <c r="AR370" s="223">
        <v>135</v>
      </c>
      <c r="AS370" s="297">
        <f t="shared" si="193"/>
        <v>135</v>
      </c>
      <c r="AT370" s="290">
        <v>42139</v>
      </c>
      <c r="AU370" s="298"/>
      <c r="AV370" s="223"/>
      <c r="AW370" s="223"/>
      <c r="AX370" s="223"/>
      <c r="AY370" s="223"/>
      <c r="AZ370" s="223"/>
      <c r="BA370" s="223"/>
      <c r="BB370" s="223"/>
      <c r="BC370" s="223"/>
      <c r="BD370" s="223"/>
      <c r="BE370" s="223"/>
      <c r="BF370" s="281">
        <v>-4.8110899925231934</v>
      </c>
      <c r="BG370" s="283">
        <v>42233</v>
      </c>
      <c r="BH370" s="223"/>
      <c r="BI370" s="223"/>
      <c r="BJ370" s="223"/>
      <c r="BK370" s="223"/>
      <c r="BL370" s="281">
        <v>63.668983459472656</v>
      </c>
      <c r="BM370" s="283">
        <v>42233</v>
      </c>
      <c r="BN370" s="223"/>
      <c r="BO370" s="223"/>
      <c r="BP370" s="281">
        <v>3.4087278842926025</v>
      </c>
      <c r="BQ370" s="283">
        <v>42233</v>
      </c>
      <c r="BR370" s="281">
        <v>47.892734527587891</v>
      </c>
      <c r="BS370" s="283">
        <v>42233</v>
      </c>
      <c r="BT370" s="281">
        <v>17.226047515869141</v>
      </c>
      <c r="BU370" s="283">
        <v>42233</v>
      </c>
      <c r="BV370" s="281">
        <v>48.937179565429687</v>
      </c>
      <c r="BW370" s="283">
        <v>42233</v>
      </c>
      <c r="BX370" s="281">
        <v>5.6509170532226562</v>
      </c>
      <c r="BY370" s="283">
        <v>42233</v>
      </c>
      <c r="BZ370" s="223"/>
      <c r="CA370" s="226"/>
      <c r="CB370" s="266">
        <v>1.57</v>
      </c>
      <c r="CC370" s="223"/>
      <c r="CD370" s="281">
        <v>3.5087719298245648</v>
      </c>
      <c r="CE370" s="291" t="s">
        <v>8401</v>
      </c>
      <c r="CF370" s="223"/>
      <c r="CG370" s="223"/>
      <c r="CH370" s="223">
        <v>2</v>
      </c>
      <c r="CI370" s="223">
        <v>8</v>
      </c>
      <c r="CK370" s="223"/>
      <c r="CL370" s="223">
        <v>3</v>
      </c>
      <c r="CM370" s="259">
        <v>42161</v>
      </c>
      <c r="CO370" s="137" t="s">
        <v>8405</v>
      </c>
    </row>
    <row r="371" spans="1:94">
      <c r="A371" s="258">
        <v>607</v>
      </c>
      <c r="B371" s="235">
        <v>607</v>
      </c>
      <c r="C371" s="346" t="s">
        <v>8238</v>
      </c>
      <c r="D371" s="235" t="s">
        <v>7562</v>
      </c>
      <c r="E371" s="235" t="s">
        <v>8461</v>
      </c>
      <c r="F371" s="235" t="s">
        <v>8469</v>
      </c>
      <c r="G371" s="235" t="str">
        <f t="shared" si="187"/>
        <v>Rapsodyn</v>
      </c>
      <c r="H371" s="235" t="s">
        <v>265</v>
      </c>
      <c r="I371" s="235">
        <v>2</v>
      </c>
      <c r="J371" s="235">
        <v>9358</v>
      </c>
      <c r="K371" s="235">
        <v>23</v>
      </c>
      <c r="L371" s="235">
        <f t="shared" si="186"/>
        <v>23</v>
      </c>
      <c r="M371" s="235">
        <v>9</v>
      </c>
      <c r="N371" s="235">
        <v>7</v>
      </c>
      <c r="O371" s="248">
        <v>42048</v>
      </c>
      <c r="P371" t="s">
        <v>8379</v>
      </c>
      <c r="Q371" s="264">
        <v>42204</v>
      </c>
      <c r="R371" s="278">
        <v>18.126888217522659</v>
      </c>
      <c r="S371" s="190">
        <v>42185</v>
      </c>
      <c r="T371" s="277">
        <v>41.008475957823102</v>
      </c>
      <c r="U371" s="190">
        <v>42185</v>
      </c>
      <c r="V371" t="s">
        <v>8379</v>
      </c>
      <c r="W371" s="219"/>
      <c r="X371">
        <v>15.55</v>
      </c>
      <c r="Y371"/>
      <c r="Z371"/>
      <c r="AA371"/>
      <c r="AB371" t="s">
        <v>8379</v>
      </c>
      <c r="AC371" s="219"/>
      <c r="AD371" t="s">
        <v>8379</v>
      </c>
      <c r="AE371" s="219"/>
      <c r="AF371" t="s">
        <v>8379</v>
      </c>
      <c r="AG371" s="219"/>
      <c r="AH371" t="s">
        <v>8379</v>
      </c>
      <c r="AI371" s="219"/>
      <c r="AJ371">
        <v>4.68</v>
      </c>
      <c r="AK371" s="284" t="s">
        <v>8400</v>
      </c>
      <c r="AL371">
        <v>155</v>
      </c>
      <c r="AM371"/>
      <c r="AN371" s="241">
        <v>72</v>
      </c>
      <c r="AO371" s="242">
        <v>42076</v>
      </c>
      <c r="AP371" s="255">
        <v>104</v>
      </c>
      <c r="AQ371" s="242">
        <v>42108</v>
      </c>
      <c r="AR371" s="223">
        <v>131</v>
      </c>
      <c r="AS371" s="297">
        <f t="shared" si="193"/>
        <v>131</v>
      </c>
      <c r="AT371" s="290">
        <v>42135</v>
      </c>
      <c r="AU371" s="298"/>
      <c r="AV371"/>
      <c r="AW371"/>
      <c r="AX371"/>
      <c r="AY371"/>
      <c r="AZ371"/>
      <c r="BA371"/>
      <c r="BB371"/>
      <c r="BC371"/>
      <c r="BD371"/>
      <c r="BE371"/>
      <c r="BF371" s="277">
        <v>-1.5488109588623047</v>
      </c>
      <c r="BG371" s="283">
        <v>42230</v>
      </c>
      <c r="BH371"/>
      <c r="BI371"/>
      <c r="BJ371"/>
      <c r="BK371"/>
      <c r="BL371" s="277">
        <v>63.420169830322266</v>
      </c>
      <c r="BM371" s="283">
        <v>42230</v>
      </c>
      <c r="BN371"/>
      <c r="BO371"/>
      <c r="BP371" s="277">
        <v>3.9090909957885742</v>
      </c>
      <c r="BQ371" s="283">
        <v>42230</v>
      </c>
      <c r="BR371" s="277">
        <v>50.423866271972656</v>
      </c>
      <c r="BS371" s="283">
        <v>42230</v>
      </c>
      <c r="BT371" s="277">
        <v>16.512651443481445</v>
      </c>
      <c r="BU371" s="283">
        <v>42230</v>
      </c>
      <c r="BV371" s="277">
        <v>14.165478706359863</v>
      </c>
      <c r="BW371" s="283">
        <v>42230</v>
      </c>
      <c r="BX371" s="277">
        <v>5.3046417236328125</v>
      </c>
      <c r="BY371" s="283">
        <v>42230</v>
      </c>
      <c r="BZ371"/>
      <c r="CB371" s="266">
        <v>0.87</v>
      </c>
      <c r="CC371"/>
      <c r="CD371" s="277">
        <v>5.3571428571428541</v>
      </c>
      <c r="CE371" s="291" t="s">
        <v>8400</v>
      </c>
      <c r="CF371"/>
      <c r="CG371"/>
      <c r="CH371">
        <v>3</v>
      </c>
      <c r="CI371">
        <v>2</v>
      </c>
      <c r="CK371"/>
      <c r="CL371"/>
      <c r="CM371" s="259">
        <v>42161</v>
      </c>
      <c r="CP371" s="345" t="s">
        <v>8412</v>
      </c>
    </row>
    <row r="372" spans="1:94">
      <c r="A372" s="258">
        <v>608</v>
      </c>
      <c r="B372" s="235">
        <v>608</v>
      </c>
      <c r="C372" s="235" t="s">
        <v>7622</v>
      </c>
      <c r="D372" s="235" t="s">
        <v>7457</v>
      </c>
      <c r="E372" s="235" t="s">
        <v>7622</v>
      </c>
      <c r="F372" s="235" t="s">
        <v>8586</v>
      </c>
      <c r="G372" s="235" t="str">
        <f t="shared" si="187"/>
        <v>Rapsodyn</v>
      </c>
      <c r="H372" s="235" t="s">
        <v>265</v>
      </c>
      <c r="I372" s="235">
        <v>2</v>
      </c>
      <c r="J372" s="235">
        <v>9015</v>
      </c>
      <c r="K372" s="235">
        <v>24</v>
      </c>
      <c r="L372" s="235">
        <f t="shared" si="186"/>
        <v>24</v>
      </c>
      <c r="M372" s="235">
        <v>9</v>
      </c>
      <c r="N372" s="235">
        <v>7</v>
      </c>
      <c r="O372" s="248">
        <v>42048</v>
      </c>
      <c r="P372">
        <v>2.7</v>
      </c>
      <c r="Q372" s="264">
        <v>42204</v>
      </c>
      <c r="R372"/>
      <c r="S372"/>
      <c r="T372"/>
      <c r="V372" s="219">
        <f>+BR372*AF372/100</f>
        <v>7.5071029621098804</v>
      </c>
      <c r="W372" s="219"/>
      <c r="X372">
        <v>15.55</v>
      </c>
      <c r="Y372"/>
      <c r="Z372"/>
      <c r="AA372"/>
      <c r="AB372" s="220">
        <f>+AF372*BT372/100</f>
        <v>3.4270763168646337</v>
      </c>
      <c r="AC372" s="219"/>
      <c r="AD372" s="221">
        <f>+(AF372/AJ372)*10000</f>
        <v>28379.434355019825</v>
      </c>
      <c r="AE372" s="219"/>
      <c r="AF372" s="220">
        <f>($P372/$X372)*(((100-$CD372)/100*(100-2)/100))*100</f>
        <v>16.034380410586202</v>
      </c>
      <c r="AG372" s="219"/>
      <c r="AH372" s="220">
        <f>($P372/$X372)*(((100-$CD372)/(100-9)*(100-2)/(100-2))*100)</f>
        <v>17.979794136113707</v>
      </c>
      <c r="AI372" s="219"/>
      <c r="AJ372">
        <v>5.65</v>
      </c>
      <c r="AK372" s="284" t="s">
        <v>8400</v>
      </c>
      <c r="AL372">
        <v>180</v>
      </c>
      <c r="AM372"/>
      <c r="AN372" s="241">
        <v>70</v>
      </c>
      <c r="AO372" s="242">
        <v>42074</v>
      </c>
      <c r="AP372" s="255">
        <v>110</v>
      </c>
      <c r="AQ372" s="242">
        <v>42114</v>
      </c>
      <c r="AR372" s="223">
        <v>135</v>
      </c>
      <c r="AS372" s="297">
        <f t="shared" si="193"/>
        <v>135</v>
      </c>
      <c r="AT372" s="290">
        <v>42139</v>
      </c>
      <c r="AU372" s="298"/>
      <c r="AV372"/>
      <c r="AW372"/>
      <c r="AX372"/>
      <c r="AY372"/>
      <c r="AZ372"/>
      <c r="BA372"/>
      <c r="BB372"/>
      <c r="BC372"/>
      <c r="BD372"/>
      <c r="BE372"/>
      <c r="BF372" s="277">
        <v>27.297286987304688</v>
      </c>
      <c r="BG372" s="283">
        <v>42230</v>
      </c>
      <c r="BH372"/>
      <c r="BI372"/>
      <c r="BJ372"/>
      <c r="BK372"/>
      <c r="BL372" s="277">
        <v>62.082698822021484</v>
      </c>
      <c r="BM372" s="283">
        <v>42230</v>
      </c>
      <c r="BN372"/>
      <c r="BO372"/>
      <c r="BP372" s="277">
        <v>4.2850069999694824</v>
      </c>
      <c r="BQ372" s="283">
        <v>42230</v>
      </c>
      <c r="BR372" s="277">
        <v>46.818790435791016</v>
      </c>
      <c r="BS372" s="283">
        <v>42230</v>
      </c>
      <c r="BT372" s="277">
        <v>21.373300552368164</v>
      </c>
      <c r="BU372" s="283">
        <v>42230</v>
      </c>
      <c r="BV372" s="277">
        <v>67.78717041015625</v>
      </c>
      <c r="BW372" s="283">
        <v>42230</v>
      </c>
      <c r="BX372" s="277">
        <v>5.54815673828125</v>
      </c>
      <c r="BY372" s="283">
        <v>42230</v>
      </c>
      <c r="BZ372"/>
      <c r="CB372" s="266">
        <v>1.48</v>
      </c>
      <c r="CC372"/>
      <c r="CD372" s="277">
        <v>5.7692307692307656</v>
      </c>
      <c r="CE372" s="291" t="s">
        <v>8400</v>
      </c>
      <c r="CF372"/>
      <c r="CG372"/>
      <c r="CH372">
        <v>5</v>
      </c>
      <c r="CI372">
        <v>2</v>
      </c>
      <c r="CK372"/>
      <c r="CL372">
        <v>4</v>
      </c>
      <c r="CM372" s="259">
        <v>42161</v>
      </c>
      <c r="CN372" s="137" t="s">
        <v>8406</v>
      </c>
    </row>
    <row r="373" spans="1:94">
      <c r="A373" s="258">
        <v>609</v>
      </c>
      <c r="B373" s="235">
        <v>609</v>
      </c>
      <c r="C373" s="235" t="s">
        <v>7785</v>
      </c>
      <c r="D373" s="235" t="s">
        <v>7583</v>
      </c>
      <c r="E373" s="235" t="s">
        <v>7785</v>
      </c>
      <c r="F373" s="235" t="s">
        <v>8595</v>
      </c>
      <c r="G373" s="235" t="str">
        <f t="shared" si="187"/>
        <v>Rapsodyn</v>
      </c>
      <c r="H373" s="235" t="s">
        <v>265</v>
      </c>
      <c r="I373" s="235">
        <v>2</v>
      </c>
      <c r="J373" s="235">
        <v>9156</v>
      </c>
      <c r="K373" s="235">
        <v>25</v>
      </c>
      <c r="L373" s="235">
        <f t="shared" si="186"/>
        <v>25</v>
      </c>
      <c r="M373" s="235">
        <v>9</v>
      </c>
      <c r="N373" s="236">
        <v>5</v>
      </c>
      <c r="O373" s="248">
        <v>42048</v>
      </c>
      <c r="P373">
        <v>4.8</v>
      </c>
      <c r="Q373" s="264">
        <v>42204</v>
      </c>
      <c r="R373"/>
      <c r="S373"/>
      <c r="T373"/>
      <c r="V373" s="219">
        <f>+BR373*AF373/100</f>
        <v>14.286419155126422</v>
      </c>
      <c r="W373" s="219"/>
      <c r="X373">
        <v>15.55</v>
      </c>
      <c r="Y373"/>
      <c r="Z373"/>
      <c r="AA373"/>
      <c r="AB373" s="220">
        <f>+AF373*BT373/100</f>
        <v>4.9311108171495901</v>
      </c>
      <c r="AC373" s="219"/>
      <c r="AD373" s="221">
        <f>+(AF373/AJ373)*10000</f>
        <v>55213.822416394753</v>
      </c>
      <c r="AE373" s="219"/>
      <c r="AF373" s="220">
        <f>($P373/$X373)*(((100-$CD373)/100*(100-2)/100))*100</f>
        <v>28.600760011692483</v>
      </c>
      <c r="AG373" s="219"/>
      <c r="AH373" s="220">
        <f>($P373/$X373)*(((100-$CD373)/(100-9)*(100-2)/(100-2))*100)</f>
        <v>32.070823067607634</v>
      </c>
      <c r="AI373" s="219"/>
      <c r="AJ373">
        <v>5.18</v>
      </c>
      <c r="AK373" s="284" t="s">
        <v>8398</v>
      </c>
      <c r="AL373">
        <v>160</v>
      </c>
      <c r="AM373"/>
      <c r="AN373" s="241">
        <v>65</v>
      </c>
      <c r="AO373" s="242">
        <v>42069</v>
      </c>
      <c r="AP373" s="255">
        <v>100</v>
      </c>
      <c r="AQ373" s="242">
        <v>42104</v>
      </c>
      <c r="AR373" s="223">
        <v>123</v>
      </c>
      <c r="AS373" s="297">
        <f t="shared" si="193"/>
        <v>123</v>
      </c>
      <c r="AT373" s="290">
        <v>42127</v>
      </c>
      <c r="AU373" s="298"/>
      <c r="AV373"/>
      <c r="AW373"/>
      <c r="AX373"/>
      <c r="AY373"/>
      <c r="AZ373"/>
      <c r="BA373"/>
      <c r="BB373"/>
      <c r="BC373"/>
      <c r="BD373"/>
      <c r="BE373"/>
      <c r="BF373" s="277">
        <v>-4.0269598960876465</v>
      </c>
      <c r="BG373" s="283">
        <v>42230</v>
      </c>
      <c r="BH373"/>
      <c r="BI373"/>
      <c r="BJ373"/>
      <c r="BK373"/>
      <c r="BL373" s="277">
        <v>62.693958282470703</v>
      </c>
      <c r="BM373" s="283">
        <v>42230</v>
      </c>
      <c r="BN373"/>
      <c r="BO373"/>
      <c r="BP373" s="277">
        <v>4.0681300163269043</v>
      </c>
      <c r="BQ373" s="283">
        <v>42230</v>
      </c>
      <c r="BR373" s="277">
        <v>49.951187133789063</v>
      </c>
      <c r="BS373" s="283">
        <v>42230</v>
      </c>
      <c r="BT373" s="277">
        <v>17.241188049316406</v>
      </c>
      <c r="BU373" s="283">
        <v>42230</v>
      </c>
      <c r="BV373" s="277">
        <v>13.404962539672852</v>
      </c>
      <c r="BW373" s="283">
        <v>42230</v>
      </c>
      <c r="BX373" s="277">
        <v>5.6025619506835937</v>
      </c>
      <c r="BY373" s="283">
        <v>42230</v>
      </c>
      <c r="BZ373"/>
      <c r="CB373" s="266">
        <v>0.94</v>
      </c>
      <c r="CC373"/>
      <c r="CD373" s="277">
        <v>5.4545454545454515</v>
      </c>
      <c r="CE373" s="291" t="s">
        <v>8398</v>
      </c>
      <c r="CF373"/>
      <c r="CG373"/>
      <c r="CH373">
        <v>3</v>
      </c>
      <c r="CI373">
        <v>2</v>
      </c>
      <c r="CK373"/>
      <c r="CL373"/>
      <c r="CM373" s="259">
        <v>42161</v>
      </c>
      <c r="CN373" s="137" t="s">
        <v>8406</v>
      </c>
    </row>
    <row r="374" spans="1:94">
      <c r="A374" s="258">
        <v>611</v>
      </c>
      <c r="B374" s="235">
        <v>611</v>
      </c>
      <c r="C374" s="235" t="s">
        <v>7576</v>
      </c>
      <c r="D374" s="235"/>
      <c r="E374" s="235"/>
      <c r="F374" s="235"/>
      <c r="G374" s="235"/>
      <c r="H374" s="235" t="s">
        <v>265</v>
      </c>
      <c r="I374" s="235">
        <v>2</v>
      </c>
      <c r="K374" s="235">
        <v>27</v>
      </c>
      <c r="L374" s="235">
        <f t="shared" si="186"/>
        <v>27</v>
      </c>
      <c r="M374" s="235">
        <v>9</v>
      </c>
      <c r="O374" s="248">
        <v>42048</v>
      </c>
      <c r="P374"/>
      <c r="Q374" s="174"/>
      <c r="R374"/>
      <c r="S374"/>
      <c r="T374"/>
      <c r="V374" s="219"/>
      <c r="W374" s="219"/>
      <c r="X374">
        <v>15.55</v>
      </c>
      <c r="Y374"/>
      <c r="Z374"/>
      <c r="AA374"/>
      <c r="AB374" s="220"/>
      <c r="AC374" s="219"/>
      <c r="AD374" s="221"/>
      <c r="AE374" s="219"/>
      <c r="AF374" s="220"/>
      <c r="AG374" s="219"/>
      <c r="AH374" s="220"/>
      <c r="AI374" s="219"/>
      <c r="AJ374" s="286"/>
      <c r="AK374" s="284"/>
      <c r="AL374"/>
      <c r="AM374"/>
      <c r="AN374" s="241">
        <v>70</v>
      </c>
      <c r="AO374" s="242">
        <v>42074</v>
      </c>
      <c r="AP374" s="255">
        <v>104</v>
      </c>
      <c r="AQ374" s="242">
        <v>42108</v>
      </c>
      <c r="AR374"/>
      <c r="AS374" s="297"/>
      <c r="AT374" s="290"/>
      <c r="AU374" s="298"/>
      <c r="AV374"/>
      <c r="AW374"/>
      <c r="AX374"/>
      <c r="AY374"/>
      <c r="AZ374"/>
      <c r="BA374"/>
      <c r="BB374"/>
      <c r="BC374"/>
      <c r="BD374"/>
      <c r="BE374"/>
      <c r="BF374" s="277"/>
      <c r="BG374" s="235"/>
      <c r="BH374"/>
      <c r="BI374"/>
      <c r="BJ374"/>
      <c r="BK374"/>
      <c r="BL374" s="277"/>
      <c r="BM374" s="235"/>
      <c r="BN374"/>
      <c r="BO374"/>
      <c r="BP374" s="277"/>
      <c r="BQ374" s="235"/>
      <c r="BR374" s="277"/>
      <c r="BS374" s="235"/>
      <c r="BT374" s="277"/>
      <c r="BU374" s="235"/>
      <c r="BV374" s="277"/>
      <c r="BW374" s="235"/>
      <c r="BX374" s="277"/>
      <c r="BY374" s="235"/>
      <c r="BZ374"/>
      <c r="CB374" s="266"/>
      <c r="CC374"/>
      <c r="CD374" s="277"/>
      <c r="CE374" s="291"/>
      <c r="CF374"/>
      <c r="CG374"/>
      <c r="CH374"/>
      <c r="CI374"/>
      <c r="CK374"/>
      <c r="CL374"/>
      <c r="CM374" s="259">
        <v>42161</v>
      </c>
    </row>
    <row r="375" spans="1:94">
      <c r="A375" s="258">
        <v>612</v>
      </c>
      <c r="B375" s="235">
        <v>612</v>
      </c>
      <c r="C375" s="235" t="s">
        <v>7576</v>
      </c>
      <c r="D375" s="235"/>
      <c r="E375" s="235"/>
      <c r="F375" s="235"/>
      <c r="G375" s="235"/>
      <c r="H375" s="235" t="s">
        <v>265</v>
      </c>
      <c r="I375" s="235">
        <v>2</v>
      </c>
      <c r="K375" s="235">
        <v>28</v>
      </c>
      <c r="L375" s="235">
        <f t="shared" si="186"/>
        <v>28</v>
      </c>
      <c r="M375" s="235">
        <v>9</v>
      </c>
      <c r="O375" s="248">
        <v>42048</v>
      </c>
      <c r="P375"/>
      <c r="Q375" s="174"/>
      <c r="R375"/>
      <c r="S375"/>
      <c r="T375"/>
      <c r="V375" s="219"/>
      <c r="W375" s="219"/>
      <c r="X375">
        <v>15.55</v>
      </c>
      <c r="Y375"/>
      <c r="Z375"/>
      <c r="AA375"/>
      <c r="AB375" s="220"/>
      <c r="AC375" s="219"/>
      <c r="AD375" s="221"/>
      <c r="AE375" s="219"/>
      <c r="AF375" s="220"/>
      <c r="AG375" s="219"/>
      <c r="AH375" s="220"/>
      <c r="AI375" s="219"/>
      <c r="AJ375" s="286"/>
      <c r="AK375" s="284"/>
      <c r="AL375"/>
      <c r="AM375"/>
      <c r="AN375" s="241">
        <v>70</v>
      </c>
      <c r="AO375" s="242">
        <v>42074</v>
      </c>
      <c r="AP375" s="255">
        <v>104</v>
      </c>
      <c r="AQ375" s="242">
        <v>42108</v>
      </c>
      <c r="AR375"/>
      <c r="AS375" s="297"/>
      <c r="AT375" s="290"/>
      <c r="AU375" s="298"/>
      <c r="AV375"/>
      <c r="AW375"/>
      <c r="AX375"/>
      <c r="AY375"/>
      <c r="AZ375"/>
      <c r="BA375"/>
      <c r="BB375"/>
      <c r="BC375"/>
      <c r="BD375"/>
      <c r="BE375"/>
      <c r="BF375" s="277"/>
      <c r="BG375" s="235"/>
      <c r="BH375"/>
      <c r="BI375"/>
      <c r="BJ375"/>
      <c r="BK375"/>
      <c r="BL375" s="277"/>
      <c r="BM375" s="235"/>
      <c r="BN375"/>
      <c r="BO375"/>
      <c r="BP375" s="277"/>
      <c r="BQ375" s="235"/>
      <c r="BR375" s="277"/>
      <c r="BS375" s="235"/>
      <c r="BT375" s="277"/>
      <c r="BU375" s="235"/>
      <c r="BV375" s="277"/>
      <c r="BW375" s="235"/>
      <c r="BX375" s="277"/>
      <c r="BY375" s="235"/>
      <c r="BZ375"/>
      <c r="CB375" s="266"/>
      <c r="CC375"/>
      <c r="CD375" s="277"/>
      <c r="CE375" s="291"/>
      <c r="CF375"/>
      <c r="CG375"/>
      <c r="CH375"/>
      <c r="CI375"/>
      <c r="CK375"/>
      <c r="CL375"/>
      <c r="CM375" s="259">
        <v>42161</v>
      </c>
    </row>
    <row r="376" spans="1:94">
      <c r="A376" s="258">
        <v>613</v>
      </c>
      <c r="B376" s="235">
        <v>613</v>
      </c>
      <c r="C376" s="235" t="s">
        <v>7708</v>
      </c>
      <c r="D376" s="235" t="s">
        <v>7534</v>
      </c>
      <c r="E376" s="235" t="s">
        <v>7708</v>
      </c>
      <c r="F376" s="235" t="s">
        <v>8433</v>
      </c>
      <c r="G376" s="235" t="str">
        <f t="shared" ref="G376:G384" si="194">IF(MID(C376,1,3)="BGA","Complement","Rapsodyn")</f>
        <v>Rapsodyn</v>
      </c>
      <c r="H376" s="235" t="s">
        <v>265</v>
      </c>
      <c r="I376" s="235">
        <v>2</v>
      </c>
      <c r="J376" s="235">
        <v>9090</v>
      </c>
      <c r="K376" s="235">
        <v>29</v>
      </c>
      <c r="L376" s="235">
        <f t="shared" si="186"/>
        <v>29</v>
      </c>
      <c r="M376" s="235">
        <v>9</v>
      </c>
      <c r="N376" s="235">
        <v>7</v>
      </c>
      <c r="O376" s="248">
        <v>42048</v>
      </c>
      <c r="P376">
        <v>4.6500000000000004</v>
      </c>
      <c r="Q376" s="264">
        <v>42204</v>
      </c>
      <c r="R376"/>
      <c r="S376"/>
      <c r="T376"/>
      <c r="V376" s="219">
        <f t="shared" ref="V376:V384" si="195">+BR376*AF376/100</f>
        <v>13.952277896537014</v>
      </c>
      <c r="W376" s="219"/>
      <c r="X376">
        <v>15.55</v>
      </c>
      <c r="Y376"/>
      <c r="Z376"/>
      <c r="AA376"/>
      <c r="AB376" s="220">
        <f t="shared" ref="AB376:AB384" si="196">+AF376*BT376/100</f>
        <v>4.4896334351006857</v>
      </c>
      <c r="AC376" s="219"/>
      <c r="AD376" s="221">
        <f t="shared" ref="AD376:AD384" si="197">+(AF376/AJ376)*10000</f>
        <v>57591.047382242359</v>
      </c>
      <c r="AE376" s="219"/>
      <c r="AF376" s="220">
        <f t="shared" ref="AF376:AF384" si="198">($P376/$X376)*(((100-$CD376)/100*(100-2)/100))*100</f>
        <v>28.277204264681</v>
      </c>
      <c r="AG376" s="219"/>
      <c r="AH376" s="220">
        <f t="shared" ref="AH376:AH384" si="199">($P376/$X376)*(((100-$CD376)/(100-9)*(100-2)/(100-2))*100)</f>
        <v>31.708011061539583</v>
      </c>
      <c r="AI376" s="219"/>
      <c r="AJ376">
        <v>4.91</v>
      </c>
      <c r="AK376" s="284" t="s">
        <v>8403</v>
      </c>
      <c r="AL376">
        <v>155</v>
      </c>
      <c r="AM376"/>
      <c r="AN376" s="241">
        <v>75</v>
      </c>
      <c r="AO376" s="242">
        <v>42079</v>
      </c>
      <c r="AP376" s="255">
        <v>106</v>
      </c>
      <c r="AQ376" s="242">
        <v>42110</v>
      </c>
      <c r="AR376" s="223">
        <v>127</v>
      </c>
      <c r="AS376" s="297">
        <f t="shared" ref="AS376:AS384" si="200">IF(AR376=0,,AR376)</f>
        <v>127</v>
      </c>
      <c r="AT376" s="290">
        <v>42131</v>
      </c>
      <c r="AU376" s="298"/>
      <c r="AV376"/>
      <c r="AW376"/>
      <c r="AX376"/>
      <c r="AY376"/>
      <c r="AZ376"/>
      <c r="BA376"/>
      <c r="BB376"/>
      <c r="BC376"/>
      <c r="BD376"/>
      <c r="BE376"/>
      <c r="BF376" s="277">
        <v>-9.0235691070556641</v>
      </c>
      <c r="BG376" s="283">
        <v>42230</v>
      </c>
      <c r="BH376"/>
      <c r="BI376"/>
      <c r="BJ376"/>
      <c r="BK376"/>
      <c r="BL376" s="277">
        <v>61.85699462890625</v>
      </c>
      <c r="BM376" s="283">
        <v>42230</v>
      </c>
      <c r="BN376"/>
      <c r="BO376"/>
      <c r="BP376" s="277">
        <v>4.2834639549255371</v>
      </c>
      <c r="BQ376" s="283">
        <v>42230</v>
      </c>
      <c r="BR376" s="277">
        <v>49.341079711914063</v>
      </c>
      <c r="BS376" s="283">
        <v>42230</v>
      </c>
      <c r="BT376" s="277">
        <v>15.877218246459961</v>
      </c>
      <c r="BU376" s="283">
        <v>42230</v>
      </c>
      <c r="BV376" s="277">
        <v>9.0979766845703125</v>
      </c>
      <c r="BW376" s="283">
        <v>42230</v>
      </c>
      <c r="BX376" s="277">
        <v>5.6841659545898438</v>
      </c>
      <c r="BY376" s="283">
        <v>42230</v>
      </c>
      <c r="BZ376"/>
      <c r="CB376" s="266">
        <v>1.3</v>
      </c>
      <c r="CC376"/>
      <c r="CD376" s="277">
        <v>3.5087719298245648</v>
      </c>
      <c r="CE376" s="291" t="s">
        <v>8403</v>
      </c>
      <c r="CF376"/>
      <c r="CG376"/>
      <c r="CH376">
        <v>2</v>
      </c>
      <c r="CI376">
        <v>3</v>
      </c>
      <c r="CK376"/>
      <c r="CL376"/>
      <c r="CM376" s="259">
        <v>42161</v>
      </c>
      <c r="CN376" s="137" t="s">
        <v>8406</v>
      </c>
    </row>
    <row r="377" spans="1:94">
      <c r="A377" s="258">
        <v>614</v>
      </c>
      <c r="B377" s="235">
        <v>614</v>
      </c>
      <c r="C377" s="235" t="s">
        <v>7692</v>
      </c>
      <c r="D377" s="235" t="s">
        <v>7518</v>
      </c>
      <c r="E377" s="235" t="s">
        <v>7692</v>
      </c>
      <c r="F377" s="235" t="s">
        <v>8515</v>
      </c>
      <c r="G377" s="235" t="str">
        <f t="shared" si="194"/>
        <v>Rapsodyn</v>
      </c>
      <c r="H377" s="235" t="s">
        <v>265</v>
      </c>
      <c r="I377" s="235">
        <v>2</v>
      </c>
      <c r="J377" s="235">
        <v>9074</v>
      </c>
      <c r="K377" s="235">
        <v>30</v>
      </c>
      <c r="L377" s="235">
        <f t="shared" si="186"/>
        <v>30</v>
      </c>
      <c r="M377" s="235">
        <v>9</v>
      </c>
      <c r="N377" s="235">
        <v>9</v>
      </c>
      <c r="O377" s="248">
        <v>42048</v>
      </c>
      <c r="P377">
        <v>3.95</v>
      </c>
      <c r="Q377" s="264">
        <v>42204</v>
      </c>
      <c r="R377"/>
      <c r="S377"/>
      <c r="T377"/>
      <c r="V377" s="219">
        <f t="shared" si="195"/>
        <v>11.80538086479017</v>
      </c>
      <c r="W377" s="219"/>
      <c r="X377">
        <v>15.55</v>
      </c>
      <c r="Y377"/>
      <c r="Z377"/>
      <c r="AA377"/>
      <c r="AB377" s="220">
        <f t="shared" si="196"/>
        <v>4.1582395479221121</v>
      </c>
      <c r="AC377" s="219"/>
      <c r="AD377" s="221">
        <f t="shared" si="197"/>
        <v>45923.169969935443</v>
      </c>
      <c r="AE377" s="219"/>
      <c r="AF377" s="220">
        <f t="shared" si="198"/>
        <v>23.971894724306299</v>
      </c>
      <c r="AG377" s="219"/>
      <c r="AH377" s="220">
        <f t="shared" si="199"/>
        <v>26.880348423756782</v>
      </c>
      <c r="AI377" s="219"/>
      <c r="AJ377">
        <v>5.22</v>
      </c>
      <c r="AK377" s="284" t="s">
        <v>8403</v>
      </c>
      <c r="AL377">
        <v>155</v>
      </c>
      <c r="AM377"/>
      <c r="AN377" s="241">
        <v>79</v>
      </c>
      <c r="AO377" s="242">
        <v>42083</v>
      </c>
      <c r="AP377" s="255">
        <v>106</v>
      </c>
      <c r="AQ377" s="242">
        <v>42110</v>
      </c>
      <c r="AR377" s="223">
        <v>127</v>
      </c>
      <c r="AS377" s="297">
        <f t="shared" si="200"/>
        <v>127</v>
      </c>
      <c r="AT377" s="290">
        <v>42131</v>
      </c>
      <c r="AU377" s="298"/>
      <c r="AV377"/>
      <c r="AW377"/>
      <c r="AX377"/>
      <c r="AY377"/>
      <c r="AZ377"/>
      <c r="BA377"/>
      <c r="BB377"/>
      <c r="BC377"/>
      <c r="BD377"/>
      <c r="BE377"/>
      <c r="BF377" s="277">
        <v>-3.9642679691314697</v>
      </c>
      <c r="BG377" s="283">
        <v>42230</v>
      </c>
      <c r="BH377"/>
      <c r="BI377"/>
      <c r="BJ377"/>
      <c r="BK377"/>
      <c r="BL377" s="277">
        <v>63.802764892578125</v>
      </c>
      <c r="BM377" s="283">
        <v>42230</v>
      </c>
      <c r="BN377"/>
      <c r="BO377"/>
      <c r="BP377" s="277">
        <v>4.0130529403686523</v>
      </c>
      <c r="BQ377" s="283">
        <v>42230</v>
      </c>
      <c r="BR377" s="277">
        <v>49.246757507324219</v>
      </c>
      <c r="BS377" s="283">
        <v>42230</v>
      </c>
      <c r="BT377" s="277">
        <v>17.346311569213867</v>
      </c>
      <c r="BU377" s="283">
        <v>42230</v>
      </c>
      <c r="BV377" s="277">
        <v>17.224203109741211</v>
      </c>
      <c r="BW377" s="283">
        <v>42230</v>
      </c>
      <c r="BX377" s="277">
        <v>5.5803146362304687</v>
      </c>
      <c r="BY377" s="283">
        <v>42230</v>
      </c>
      <c r="BZ377"/>
      <c r="CB377" s="266">
        <v>1.1000000000000001</v>
      </c>
      <c r="CC377"/>
      <c r="CD377" s="277">
        <v>3.7037037037037068</v>
      </c>
      <c r="CE377" s="291" t="s">
        <v>8403</v>
      </c>
      <c r="CF377"/>
      <c r="CG377"/>
      <c r="CH377">
        <v>2</v>
      </c>
      <c r="CI377">
        <v>2</v>
      </c>
      <c r="CK377"/>
      <c r="CL377"/>
      <c r="CM377" s="259">
        <v>42161</v>
      </c>
      <c r="CN377" s="137" t="s">
        <v>8406</v>
      </c>
    </row>
    <row r="378" spans="1:94">
      <c r="A378" s="258">
        <v>617</v>
      </c>
      <c r="B378" s="235">
        <v>617</v>
      </c>
      <c r="C378" s="235" t="s">
        <v>7677</v>
      </c>
      <c r="D378" s="235" t="s">
        <v>258</v>
      </c>
      <c r="E378" s="235" t="s">
        <v>7677</v>
      </c>
      <c r="F378" s="235" t="s">
        <v>8608</v>
      </c>
      <c r="G378" s="235" t="str">
        <f t="shared" si="194"/>
        <v>Rapsodyn</v>
      </c>
      <c r="H378" s="235" t="s">
        <v>265</v>
      </c>
      <c r="I378" s="235">
        <v>2</v>
      </c>
      <c r="J378" s="235">
        <v>9059</v>
      </c>
      <c r="K378" s="235">
        <v>33</v>
      </c>
      <c r="L378" s="235">
        <f t="shared" si="186"/>
        <v>33</v>
      </c>
      <c r="M378" s="235">
        <v>9</v>
      </c>
      <c r="N378" s="235">
        <v>7</v>
      </c>
      <c r="O378" s="248">
        <v>42048</v>
      </c>
      <c r="P378">
        <v>4.3499999999999996</v>
      </c>
      <c r="Q378" s="264">
        <v>42204</v>
      </c>
      <c r="R378"/>
      <c r="S378"/>
      <c r="T378"/>
      <c r="V378" s="219">
        <f t="shared" si="195"/>
        <v>13.258597245350755</v>
      </c>
      <c r="W378" s="219"/>
      <c r="X378">
        <v>15.55</v>
      </c>
      <c r="Y378"/>
      <c r="Z378"/>
      <c r="AA378"/>
      <c r="AB378" s="220">
        <f t="shared" si="196"/>
        <v>4.5794436424288563</v>
      </c>
      <c r="AC378" s="219"/>
      <c r="AD378" s="221">
        <f t="shared" si="197"/>
        <v>52188.827330638807</v>
      </c>
      <c r="AE378" s="219"/>
      <c r="AF378" s="220">
        <f t="shared" si="198"/>
        <v>26.877246075278986</v>
      </c>
      <c r="AG378" s="219"/>
      <c r="AH378" s="220">
        <f t="shared" si="199"/>
        <v>30.138199232203394</v>
      </c>
      <c r="AI378" s="219"/>
      <c r="AJ378">
        <v>5.15</v>
      </c>
      <c r="AK378" s="284" t="s">
        <v>8402</v>
      </c>
      <c r="AL378">
        <v>170</v>
      </c>
      <c r="AM378"/>
      <c r="AN378" s="241">
        <v>65</v>
      </c>
      <c r="AO378" s="242">
        <v>42069</v>
      </c>
      <c r="AP378" s="255">
        <v>104</v>
      </c>
      <c r="AQ378" s="242">
        <v>42108</v>
      </c>
      <c r="AR378" s="223">
        <v>133</v>
      </c>
      <c r="AS378" s="297">
        <f t="shared" si="200"/>
        <v>133</v>
      </c>
      <c r="AT378" s="290">
        <v>42137</v>
      </c>
      <c r="AU378" s="298"/>
      <c r="AV378"/>
      <c r="AW378"/>
      <c r="AX378"/>
      <c r="AY378"/>
      <c r="AZ378"/>
      <c r="BA378"/>
      <c r="BB378"/>
      <c r="BC378"/>
      <c r="BD378"/>
      <c r="BE378"/>
      <c r="BF378" s="277">
        <v>-3.785897970199585</v>
      </c>
      <c r="BG378" s="283">
        <v>42230</v>
      </c>
      <c r="BH378"/>
      <c r="BI378"/>
      <c r="BJ378"/>
      <c r="BK378"/>
      <c r="BL378" s="277">
        <v>64.235450744628906</v>
      </c>
      <c r="BM378" s="283">
        <v>42230</v>
      </c>
      <c r="BN378"/>
      <c r="BO378"/>
      <c r="BP378" s="277">
        <v>4.0776691436767578</v>
      </c>
      <c r="BQ378" s="283">
        <v>42230</v>
      </c>
      <c r="BR378" s="277">
        <v>49.330192565917969</v>
      </c>
      <c r="BS378" s="283">
        <v>42230</v>
      </c>
      <c r="BT378" s="277">
        <v>17.038366317749023</v>
      </c>
      <c r="BU378" s="283">
        <v>42230</v>
      </c>
      <c r="BV378" s="277">
        <v>15.672630310058594</v>
      </c>
      <c r="BW378" s="283">
        <v>42230</v>
      </c>
      <c r="BX378" s="277">
        <v>5.4346694946289062</v>
      </c>
      <c r="BY378" s="283">
        <v>42230</v>
      </c>
      <c r="BZ378"/>
      <c r="CB378" s="266">
        <v>1.22</v>
      </c>
      <c r="CC378"/>
      <c r="CD378" s="277">
        <v>1.9607843137254832</v>
      </c>
      <c r="CE378" s="291" t="s">
        <v>8402</v>
      </c>
      <c r="CF378"/>
      <c r="CG378"/>
      <c r="CH378">
        <v>3</v>
      </c>
      <c r="CI378">
        <v>3</v>
      </c>
      <c r="CK378"/>
      <c r="CL378"/>
      <c r="CM378" s="259">
        <v>42161</v>
      </c>
      <c r="CN378" s="137" t="s">
        <v>8406</v>
      </c>
    </row>
    <row r="379" spans="1:94">
      <c r="A379" s="258">
        <v>618</v>
      </c>
      <c r="B379" s="235">
        <v>618</v>
      </c>
      <c r="C379" s="235" t="s">
        <v>7733</v>
      </c>
      <c r="D379" s="235" t="s">
        <v>7556</v>
      </c>
      <c r="E379" s="235" t="s">
        <v>7733</v>
      </c>
      <c r="F379" s="235" t="s">
        <v>8598</v>
      </c>
      <c r="G379" s="235" t="str">
        <f t="shared" si="194"/>
        <v>Rapsodyn</v>
      </c>
      <c r="H379" s="235" t="s">
        <v>265</v>
      </c>
      <c r="I379" s="235">
        <v>2</v>
      </c>
      <c r="J379" s="235">
        <v>9114</v>
      </c>
      <c r="K379" s="235">
        <v>34</v>
      </c>
      <c r="L379" s="235">
        <f t="shared" si="186"/>
        <v>34</v>
      </c>
      <c r="M379" s="235">
        <v>9</v>
      </c>
      <c r="N379" s="236">
        <v>5</v>
      </c>
      <c r="O379" s="248">
        <v>42048</v>
      </c>
      <c r="P379" s="223">
        <v>3.95</v>
      </c>
      <c r="Q379" s="264">
        <v>42204</v>
      </c>
      <c r="R379" s="223"/>
      <c r="S379" s="223"/>
      <c r="T379" s="223"/>
      <c r="U379" s="225"/>
      <c r="V379" s="219">
        <f t="shared" si="195"/>
        <v>11.885796171739139</v>
      </c>
      <c r="W379" s="224"/>
      <c r="X379">
        <v>15.55</v>
      </c>
      <c r="Y379" s="223"/>
      <c r="Z379" s="223"/>
      <c r="AA379" s="223"/>
      <c r="AB379" s="220">
        <f t="shared" si="196"/>
        <v>3.8307528785274756</v>
      </c>
      <c r="AC379" s="224"/>
      <c r="AD379" s="221">
        <f t="shared" si="197"/>
        <v>54841.143440609791</v>
      </c>
      <c r="AE379" s="224"/>
      <c r="AF379" s="220">
        <f t="shared" si="198"/>
        <v>24.020420826987085</v>
      </c>
      <c r="AG379" s="224"/>
      <c r="AH379" s="220">
        <f t="shared" si="199"/>
        <v>26.934762084533624</v>
      </c>
      <c r="AI379" s="224"/>
      <c r="AJ379">
        <v>4.38</v>
      </c>
      <c r="AK379" s="290" t="s">
        <v>8402</v>
      </c>
      <c r="AL379" s="223">
        <v>165</v>
      </c>
      <c r="AM379" s="223"/>
      <c r="AN379" s="241">
        <v>70</v>
      </c>
      <c r="AO379" s="242">
        <v>42074</v>
      </c>
      <c r="AP379" s="255">
        <v>106</v>
      </c>
      <c r="AQ379" s="242">
        <v>42110</v>
      </c>
      <c r="AR379" s="223">
        <v>132</v>
      </c>
      <c r="AS379" s="297">
        <f t="shared" si="200"/>
        <v>132</v>
      </c>
      <c r="AT379" s="290">
        <v>42136</v>
      </c>
      <c r="AU379" s="298"/>
      <c r="AV379" s="223"/>
      <c r="AW379" s="223"/>
      <c r="AX379" s="223"/>
      <c r="AY379" s="223"/>
      <c r="AZ379" s="223"/>
      <c r="BA379" s="223"/>
      <c r="BB379" s="223"/>
      <c r="BC379" s="223"/>
      <c r="BD379" s="223"/>
      <c r="BE379" s="223"/>
      <c r="BF379" s="281">
        <v>-3.883249044418335</v>
      </c>
      <c r="BG379" s="283">
        <v>42230</v>
      </c>
      <c r="BH379" s="223"/>
      <c r="BI379" s="223"/>
      <c r="BJ379" s="223"/>
      <c r="BK379" s="223"/>
      <c r="BL379" s="281">
        <v>58.870243072509766</v>
      </c>
      <c r="BM379" s="283">
        <v>42230</v>
      </c>
      <c r="BN379" s="223"/>
      <c r="BO379" s="223"/>
      <c r="BP379" s="281">
        <v>3.8559370040893555</v>
      </c>
      <c r="BQ379" s="283">
        <v>42230</v>
      </c>
      <c r="BR379" s="281">
        <v>49.482048034667969</v>
      </c>
      <c r="BS379" s="283">
        <v>42230</v>
      </c>
      <c r="BT379" s="281">
        <v>15.947900772094727</v>
      </c>
      <c r="BU379" s="283">
        <v>42230</v>
      </c>
      <c r="BV379" s="281">
        <v>16.455303192138672</v>
      </c>
      <c r="BW379" s="283">
        <v>42230</v>
      </c>
      <c r="BX379" s="281">
        <v>5.256317138671875</v>
      </c>
      <c r="BY379" s="283">
        <v>42230</v>
      </c>
      <c r="BZ379" s="223"/>
      <c r="CA379" s="226"/>
      <c r="CB379" s="266">
        <v>1.81</v>
      </c>
      <c r="CC379" s="223"/>
      <c r="CD379" s="281">
        <v>3.5087719298245648</v>
      </c>
      <c r="CE379" s="291" t="s">
        <v>8402</v>
      </c>
      <c r="CF379" s="223"/>
      <c r="CG379" s="223"/>
      <c r="CH379" s="223">
        <v>4</v>
      </c>
      <c r="CI379" s="223">
        <v>8</v>
      </c>
      <c r="CK379" s="223"/>
      <c r="CL379" s="223">
        <v>3</v>
      </c>
      <c r="CM379" s="259">
        <v>42161</v>
      </c>
      <c r="CO379" s="137" t="s">
        <v>8405</v>
      </c>
    </row>
    <row r="380" spans="1:94">
      <c r="A380" s="258">
        <v>625</v>
      </c>
      <c r="B380" s="235">
        <v>625</v>
      </c>
      <c r="C380" s="235" t="s">
        <v>7798</v>
      </c>
      <c r="D380" s="235" t="s">
        <v>7596</v>
      </c>
      <c r="E380" s="235" t="s">
        <v>7798</v>
      </c>
      <c r="F380" s="235" t="s">
        <v>8626</v>
      </c>
      <c r="G380" s="235" t="str">
        <f t="shared" si="194"/>
        <v>Rapsodyn</v>
      </c>
      <c r="H380" s="235" t="s">
        <v>265</v>
      </c>
      <c r="I380" s="235">
        <v>2</v>
      </c>
      <c r="J380" s="235">
        <v>9169</v>
      </c>
      <c r="K380" s="235">
        <v>41</v>
      </c>
      <c r="L380" s="235">
        <f t="shared" si="186"/>
        <v>41</v>
      </c>
      <c r="M380" s="235">
        <v>9</v>
      </c>
      <c r="N380" s="235">
        <v>7</v>
      </c>
      <c r="O380" s="248">
        <v>42048</v>
      </c>
      <c r="P380">
        <v>5.4</v>
      </c>
      <c r="Q380" s="264">
        <v>42204</v>
      </c>
      <c r="R380"/>
      <c r="S380"/>
      <c r="T380"/>
      <c r="V380" s="219">
        <f t="shared" si="195"/>
        <v>16.898905455002552</v>
      </c>
      <c r="W380" s="219"/>
      <c r="X380">
        <v>15.55</v>
      </c>
      <c r="Y380"/>
      <c r="Z380"/>
      <c r="AA380"/>
      <c r="AB380" s="220">
        <f t="shared" si="196"/>
        <v>4.7838051525287915</v>
      </c>
      <c r="AC380" s="219"/>
      <c r="AD380" s="221">
        <f t="shared" si="197"/>
        <v>70882.948271773115</v>
      </c>
      <c r="AE380" s="219"/>
      <c r="AF380" s="220">
        <f t="shared" si="198"/>
        <v>32.747922101559176</v>
      </c>
      <c r="AG380" s="219"/>
      <c r="AH380" s="220">
        <f t="shared" si="199"/>
        <v>36.721150596052013</v>
      </c>
      <c r="AI380" s="219"/>
      <c r="AJ380">
        <v>4.62</v>
      </c>
      <c r="AK380" s="284" t="s">
        <v>8401</v>
      </c>
      <c r="AL380">
        <v>170</v>
      </c>
      <c r="AM380"/>
      <c r="AN380" s="241">
        <v>70</v>
      </c>
      <c r="AO380" s="242">
        <v>42074</v>
      </c>
      <c r="AP380" s="255">
        <v>104</v>
      </c>
      <c r="AQ380" s="242">
        <v>42108</v>
      </c>
      <c r="AR380" s="223">
        <v>133</v>
      </c>
      <c r="AS380" s="297">
        <f t="shared" si="200"/>
        <v>133</v>
      </c>
      <c r="AT380" s="290">
        <v>42137</v>
      </c>
      <c r="AU380" s="298"/>
      <c r="AV380"/>
      <c r="AW380"/>
      <c r="AX380"/>
      <c r="AY380"/>
      <c r="AZ380"/>
      <c r="BA380"/>
      <c r="BB380"/>
      <c r="BC380"/>
      <c r="BD380"/>
      <c r="BE380"/>
      <c r="BF380" s="277">
        <v>-7.44073486328125</v>
      </c>
      <c r="BG380" s="283">
        <v>42233</v>
      </c>
      <c r="BH380"/>
      <c r="BI380"/>
      <c r="BJ380"/>
      <c r="BK380"/>
      <c r="BL380" s="277">
        <v>64.291549682617188</v>
      </c>
      <c r="BM380" s="283">
        <v>42233</v>
      </c>
      <c r="BN380"/>
      <c r="BO380"/>
      <c r="BP380" s="277">
        <v>3.8910529613494873</v>
      </c>
      <c r="BQ380" s="283">
        <v>42233</v>
      </c>
      <c r="BR380" s="277">
        <v>51.602985382080078</v>
      </c>
      <c r="BS380" s="283">
        <v>42233</v>
      </c>
      <c r="BT380" s="277">
        <v>14.607965469360352</v>
      </c>
      <c r="BU380" s="283">
        <v>42233</v>
      </c>
      <c r="BV380" s="277">
        <v>12.085676193237305</v>
      </c>
      <c r="BW380" s="283">
        <v>42233</v>
      </c>
      <c r="BX380" s="277">
        <v>5.2636871337890625</v>
      </c>
      <c r="BY380" s="283">
        <v>42233</v>
      </c>
      <c r="BZ380"/>
      <c r="CB380" s="266">
        <v>1.82</v>
      </c>
      <c r="CC380"/>
      <c r="CD380" s="277">
        <v>3.7735849056603805</v>
      </c>
      <c r="CE380" s="291" t="s">
        <v>8401</v>
      </c>
      <c r="CF380"/>
      <c r="CG380"/>
      <c r="CH380">
        <v>3</v>
      </c>
      <c r="CI380">
        <v>2</v>
      </c>
      <c r="CK380"/>
      <c r="CL380"/>
      <c r="CM380" s="259">
        <v>42161</v>
      </c>
      <c r="CN380" s="137" t="s">
        <v>8406</v>
      </c>
    </row>
    <row r="381" spans="1:94">
      <c r="A381" s="258">
        <v>626</v>
      </c>
      <c r="B381" s="235">
        <v>626</v>
      </c>
      <c r="C381" s="235" t="s">
        <v>7801</v>
      </c>
      <c r="D381" s="235" t="s">
        <v>7846</v>
      </c>
      <c r="E381" s="235" t="s">
        <v>7801</v>
      </c>
      <c r="F381" s="235" t="s">
        <v>8464</v>
      </c>
      <c r="G381" s="235" t="str">
        <f t="shared" si="194"/>
        <v>Rapsodyn</v>
      </c>
      <c r="H381" s="235" t="s">
        <v>265</v>
      </c>
      <c r="I381" s="235">
        <v>2</v>
      </c>
      <c r="J381" s="235">
        <v>9172</v>
      </c>
      <c r="K381" s="235">
        <v>42</v>
      </c>
      <c r="L381" s="235">
        <f t="shared" si="186"/>
        <v>42</v>
      </c>
      <c r="M381" s="235">
        <v>9</v>
      </c>
      <c r="N381" s="235">
        <v>7</v>
      </c>
      <c r="O381" s="248">
        <v>42048</v>
      </c>
      <c r="P381" s="223">
        <v>5.75</v>
      </c>
      <c r="Q381" s="264">
        <v>42204</v>
      </c>
      <c r="R381" s="223"/>
      <c r="S381" s="223"/>
      <c r="T381" s="223"/>
      <c r="U381" s="225"/>
      <c r="V381" s="219">
        <f t="shared" si="195"/>
        <v>17.448511285803917</v>
      </c>
      <c r="W381" s="224"/>
      <c r="X381">
        <v>15.55</v>
      </c>
      <c r="Y381" s="223"/>
      <c r="Z381" s="223"/>
      <c r="AA381" s="223"/>
      <c r="AB381" s="220">
        <f t="shared" si="196"/>
        <v>5.2409827540676259</v>
      </c>
      <c r="AC381" s="224"/>
      <c r="AD381" s="221">
        <f t="shared" si="197"/>
        <v>68208.357570704015</v>
      </c>
      <c r="AE381" s="224"/>
      <c r="AF381" s="220">
        <f t="shared" si="198"/>
        <v>33.694928639927788</v>
      </c>
      <c r="AG381" s="224"/>
      <c r="AH381" s="220">
        <f t="shared" si="199"/>
        <v>37.783055214092613</v>
      </c>
      <c r="AI381" s="224"/>
      <c r="AJ381">
        <v>4.9400000000000004</v>
      </c>
      <c r="AK381" s="290" t="s">
        <v>8401</v>
      </c>
      <c r="AL381" s="223">
        <v>165</v>
      </c>
      <c r="AM381" s="223"/>
      <c r="AN381" s="241">
        <v>70</v>
      </c>
      <c r="AO381" s="242">
        <v>42074</v>
      </c>
      <c r="AP381" s="255">
        <v>106</v>
      </c>
      <c r="AQ381" s="242">
        <v>42110</v>
      </c>
      <c r="AR381" s="223">
        <v>123</v>
      </c>
      <c r="AS381" s="297">
        <f t="shared" si="200"/>
        <v>123</v>
      </c>
      <c r="AT381" s="290">
        <v>42127</v>
      </c>
      <c r="AU381" s="298"/>
      <c r="AV381" s="223"/>
      <c r="AW381" s="223"/>
      <c r="AX381" s="223"/>
      <c r="AY381" s="223"/>
      <c r="AZ381" s="223"/>
      <c r="BA381" s="223"/>
      <c r="BB381" s="223"/>
      <c r="BC381" s="223"/>
      <c r="BD381" s="223"/>
      <c r="BE381" s="223"/>
      <c r="BF381" s="281">
        <v>-1.6114729642868042</v>
      </c>
      <c r="BG381" s="283">
        <v>42233</v>
      </c>
      <c r="BH381" s="223"/>
      <c r="BI381" s="223"/>
      <c r="BJ381" s="223"/>
      <c r="BK381" s="223"/>
      <c r="BL381" s="281">
        <v>63.686447143554688</v>
      </c>
      <c r="BM381" s="283">
        <v>42233</v>
      </c>
      <c r="BN381" s="223"/>
      <c r="BO381" s="223"/>
      <c r="BP381" s="281">
        <v>3.3109200000762939</v>
      </c>
      <c r="BQ381" s="283">
        <v>42233</v>
      </c>
      <c r="BR381" s="281">
        <v>51.783790588378906</v>
      </c>
      <c r="BS381" s="283">
        <v>42233</v>
      </c>
      <c r="BT381" s="281">
        <v>15.554218292236328</v>
      </c>
      <c r="BU381" s="283">
        <v>42233</v>
      </c>
      <c r="BV381" s="281">
        <v>15.501139640808105</v>
      </c>
      <c r="BW381" s="283">
        <v>42233</v>
      </c>
      <c r="BX381" s="281">
        <v>4.9288406372070313</v>
      </c>
      <c r="BY381" s="283">
        <v>42233</v>
      </c>
      <c r="BZ381" s="223"/>
      <c r="CA381" s="226"/>
      <c r="CB381" s="266">
        <v>2.86</v>
      </c>
      <c r="CC381" s="223"/>
      <c r="CD381" s="281">
        <v>7.0175438596491295</v>
      </c>
      <c r="CE381" s="291" t="s">
        <v>8401</v>
      </c>
      <c r="CF381" s="223"/>
      <c r="CG381" s="223"/>
      <c r="CH381" s="223">
        <v>2</v>
      </c>
      <c r="CI381" s="223">
        <v>2</v>
      </c>
      <c r="CK381" s="223"/>
      <c r="CL381" s="223"/>
      <c r="CM381" s="259">
        <v>42161</v>
      </c>
      <c r="CN381" s="137" t="s">
        <v>8406</v>
      </c>
    </row>
    <row r="382" spans="1:94">
      <c r="A382" s="258">
        <v>628</v>
      </c>
      <c r="B382" s="235">
        <v>628</v>
      </c>
      <c r="C382" s="235" t="s">
        <v>7656</v>
      </c>
      <c r="D382" s="235" t="s">
        <v>7486</v>
      </c>
      <c r="E382" s="235" t="s">
        <v>7656</v>
      </c>
      <c r="F382" s="235" t="s">
        <v>8503</v>
      </c>
      <c r="G382" s="235" t="str">
        <f t="shared" si="194"/>
        <v>Rapsodyn</v>
      </c>
      <c r="H382" s="235" t="s">
        <v>265</v>
      </c>
      <c r="I382" s="235">
        <v>2</v>
      </c>
      <c r="J382" s="235">
        <v>9039</v>
      </c>
      <c r="K382" s="235">
        <v>44</v>
      </c>
      <c r="L382" s="235">
        <f t="shared" si="186"/>
        <v>44</v>
      </c>
      <c r="M382" s="235">
        <v>9</v>
      </c>
      <c r="N382" s="235">
        <v>7</v>
      </c>
      <c r="O382" s="248">
        <v>42048</v>
      </c>
      <c r="P382">
        <v>4.9000000000000004</v>
      </c>
      <c r="Q382" s="264">
        <v>42204</v>
      </c>
      <c r="R382"/>
      <c r="S382"/>
      <c r="T382"/>
      <c r="V382" s="219">
        <f t="shared" si="195"/>
        <v>15.553809062870993</v>
      </c>
      <c r="W382" s="219"/>
      <c r="X382">
        <v>15.55</v>
      </c>
      <c r="Y382"/>
      <c r="Z382"/>
      <c r="AA382"/>
      <c r="AB382" s="220">
        <f t="shared" si="196"/>
        <v>4.3343419816849753</v>
      </c>
      <c r="AC382" s="219"/>
      <c r="AD382" s="221">
        <f t="shared" si="197"/>
        <v>57518.93061190455</v>
      </c>
      <c r="AE382" s="219"/>
      <c r="AF382" s="220">
        <f t="shared" si="198"/>
        <v>29.737287126354651</v>
      </c>
      <c r="AG382" s="219"/>
      <c r="AH382" s="220">
        <f t="shared" si="199"/>
        <v>33.345242348457781</v>
      </c>
      <c r="AI382" s="219"/>
      <c r="AJ382">
        <v>5.17</v>
      </c>
      <c r="AK382" s="284" t="s">
        <v>8403</v>
      </c>
      <c r="AL382">
        <v>170</v>
      </c>
      <c r="AM382"/>
      <c r="AN382" s="241">
        <v>70</v>
      </c>
      <c r="AO382" s="242">
        <v>42074</v>
      </c>
      <c r="AP382" s="255">
        <v>106</v>
      </c>
      <c r="AQ382" s="242">
        <v>42110</v>
      </c>
      <c r="AR382" s="223">
        <v>123</v>
      </c>
      <c r="AS382" s="297">
        <f t="shared" si="200"/>
        <v>123</v>
      </c>
      <c r="AT382" s="290">
        <v>42127</v>
      </c>
      <c r="AU382" s="298"/>
      <c r="AV382"/>
      <c r="AW382"/>
      <c r="AX382"/>
      <c r="AY382"/>
      <c r="AZ382"/>
      <c r="BA382"/>
      <c r="BB382"/>
      <c r="BC382"/>
      <c r="BD382"/>
      <c r="BE382"/>
      <c r="BF382" s="277">
        <v>-4.904818058013916</v>
      </c>
      <c r="BG382" s="283">
        <v>42230</v>
      </c>
      <c r="BH382"/>
      <c r="BI382"/>
      <c r="BJ382"/>
      <c r="BK382"/>
      <c r="BL382" s="277">
        <v>67.830223083496094</v>
      </c>
      <c r="BM382" s="283">
        <v>42230</v>
      </c>
      <c r="BN382"/>
      <c r="BO382"/>
      <c r="BP382" s="277">
        <v>4.2703089714050293</v>
      </c>
      <c r="BQ382" s="283">
        <v>42230</v>
      </c>
      <c r="BR382" s="277">
        <v>52.304061889648438</v>
      </c>
      <c r="BS382" s="283">
        <v>42230</v>
      </c>
      <c r="BT382" s="277">
        <v>14.575445175170898</v>
      </c>
      <c r="BU382" s="283">
        <v>42230</v>
      </c>
      <c r="BV382" s="277">
        <v>13.645613670349121</v>
      </c>
      <c r="BW382" s="283">
        <v>42230</v>
      </c>
      <c r="BX382" s="277">
        <v>5.1895828247070312</v>
      </c>
      <c r="BY382" s="283">
        <v>42230</v>
      </c>
      <c r="BZ382"/>
      <c r="CB382" s="266">
        <v>2.27</v>
      </c>
      <c r="CC382"/>
      <c r="CD382" s="277">
        <v>3.7037037037037068</v>
      </c>
      <c r="CE382" s="291" t="s">
        <v>8403</v>
      </c>
      <c r="CF382"/>
      <c r="CG382"/>
      <c r="CH382">
        <v>2</v>
      </c>
      <c r="CI382">
        <v>2</v>
      </c>
      <c r="CK382"/>
      <c r="CL382">
        <v>2</v>
      </c>
      <c r="CM382" s="259">
        <v>42161</v>
      </c>
      <c r="CN382" s="137" t="s">
        <v>8406</v>
      </c>
    </row>
    <row r="383" spans="1:94">
      <c r="A383" s="258">
        <v>631</v>
      </c>
      <c r="B383" s="235">
        <v>631</v>
      </c>
      <c r="C383" s="235" t="s">
        <v>7753</v>
      </c>
      <c r="D383" s="235" t="s">
        <v>7561</v>
      </c>
      <c r="E383" s="235" t="s">
        <v>7753</v>
      </c>
      <c r="F383" s="235" t="s">
        <v>8605</v>
      </c>
      <c r="G383" s="235" t="str">
        <f t="shared" si="194"/>
        <v>Rapsodyn</v>
      </c>
      <c r="H383" s="235" t="s">
        <v>265</v>
      </c>
      <c r="I383" s="235">
        <v>2</v>
      </c>
      <c r="J383" s="235">
        <v>9125</v>
      </c>
      <c r="K383" s="235">
        <v>47</v>
      </c>
      <c r="L383" s="235">
        <f t="shared" si="186"/>
        <v>47</v>
      </c>
      <c r="M383" s="235">
        <v>9</v>
      </c>
      <c r="N383" s="236">
        <v>5</v>
      </c>
      <c r="O383" s="248">
        <v>42048</v>
      </c>
      <c r="P383">
        <v>3.9</v>
      </c>
      <c r="Q383" s="264">
        <v>42204</v>
      </c>
      <c r="R383"/>
      <c r="S383"/>
      <c r="T383"/>
      <c r="V383" s="219">
        <f t="shared" si="195"/>
        <v>11.47071274859025</v>
      </c>
      <c r="W383" s="219"/>
      <c r="X383">
        <v>15.55</v>
      </c>
      <c r="Y383"/>
      <c r="Z383"/>
      <c r="AA383"/>
      <c r="AB383" s="220">
        <f t="shared" si="196"/>
        <v>4.2467963498853445</v>
      </c>
      <c r="AC383" s="219"/>
      <c r="AD383" s="221">
        <f t="shared" si="197"/>
        <v>53344.604470006394</v>
      </c>
      <c r="AE383" s="219"/>
      <c r="AF383" s="220">
        <f t="shared" si="198"/>
        <v>23.685004384682841</v>
      </c>
      <c r="AG383" s="219"/>
      <c r="AH383" s="220">
        <f t="shared" si="199"/>
        <v>26.558650352862568</v>
      </c>
      <c r="AI383" s="219"/>
      <c r="AJ383">
        <v>4.4400000000000004</v>
      </c>
      <c r="AK383" s="284" t="s">
        <v>8401</v>
      </c>
      <c r="AL383">
        <v>160</v>
      </c>
      <c r="AM383"/>
      <c r="AN383" s="241">
        <v>79</v>
      </c>
      <c r="AO383" s="242">
        <v>42083</v>
      </c>
      <c r="AP383" s="255">
        <v>106</v>
      </c>
      <c r="AQ383" s="242">
        <v>42110</v>
      </c>
      <c r="AR383" s="223">
        <v>135</v>
      </c>
      <c r="AS383" s="297">
        <f t="shared" si="200"/>
        <v>135</v>
      </c>
      <c r="AT383" s="290">
        <v>42139</v>
      </c>
      <c r="AU383" s="298"/>
      <c r="AV383"/>
      <c r="AW383"/>
      <c r="AX383"/>
      <c r="AY383"/>
      <c r="AZ383"/>
      <c r="BA383"/>
      <c r="BB383"/>
      <c r="BC383"/>
      <c r="BD383"/>
      <c r="BE383"/>
      <c r="BF383" s="277">
        <v>-4.3089661598205566</v>
      </c>
      <c r="BG383" s="283">
        <v>42230</v>
      </c>
      <c r="BH383"/>
      <c r="BI383"/>
      <c r="BJ383"/>
      <c r="BK383"/>
      <c r="BL383" s="277">
        <v>59.843360900878906</v>
      </c>
      <c r="BM383" s="283">
        <v>42230</v>
      </c>
      <c r="BN383"/>
      <c r="BO383"/>
      <c r="BP383" s="277">
        <v>3.7355260848999023</v>
      </c>
      <c r="BQ383" s="283">
        <v>42230</v>
      </c>
      <c r="BR383" s="277">
        <v>48.430274963378906</v>
      </c>
      <c r="BS383" s="283">
        <v>42230</v>
      </c>
      <c r="BT383" s="277">
        <v>17.930316925048828</v>
      </c>
      <c r="BU383" s="283">
        <v>42230</v>
      </c>
      <c r="BV383" s="277">
        <v>9.9595060348510742</v>
      </c>
      <c r="BW383" s="283">
        <v>42230</v>
      </c>
      <c r="BX383" s="277">
        <v>5.4068756103515625</v>
      </c>
      <c r="BY383" s="283">
        <v>42230</v>
      </c>
      <c r="BZ383"/>
      <c r="CB383" s="266">
        <v>0.84</v>
      </c>
      <c r="CC383"/>
      <c r="CD383" s="277">
        <v>3.6363636363636398</v>
      </c>
      <c r="CE383" s="291" t="s">
        <v>8401</v>
      </c>
      <c r="CF383"/>
      <c r="CG383"/>
      <c r="CH383">
        <v>2</v>
      </c>
      <c r="CI383">
        <v>3</v>
      </c>
      <c r="CK383"/>
      <c r="CL383"/>
      <c r="CM383" s="259">
        <v>42161</v>
      </c>
      <c r="CN383" s="137" t="s">
        <v>8406</v>
      </c>
    </row>
    <row r="384" spans="1:94">
      <c r="A384" s="258">
        <v>632</v>
      </c>
      <c r="B384" s="235">
        <v>632</v>
      </c>
      <c r="C384" s="235" t="s">
        <v>7707</v>
      </c>
      <c r="D384" s="235" t="s">
        <v>7533</v>
      </c>
      <c r="E384" s="235" t="s">
        <v>7707</v>
      </c>
      <c r="F384" s="235" t="s">
        <v>8467</v>
      </c>
      <c r="G384" s="235" t="str">
        <f t="shared" si="194"/>
        <v>Rapsodyn</v>
      </c>
      <c r="H384" s="235" t="s">
        <v>265</v>
      </c>
      <c r="I384" s="235">
        <v>2</v>
      </c>
      <c r="J384" s="235">
        <v>9089</v>
      </c>
      <c r="K384" s="235">
        <v>48</v>
      </c>
      <c r="L384" s="235">
        <f t="shared" si="186"/>
        <v>48</v>
      </c>
      <c r="M384" s="235">
        <v>9</v>
      </c>
      <c r="N384" s="235">
        <v>7</v>
      </c>
      <c r="O384" s="248">
        <v>42048</v>
      </c>
      <c r="P384">
        <v>4.6500000000000004</v>
      </c>
      <c r="Q384" s="264">
        <v>42204</v>
      </c>
      <c r="R384"/>
      <c r="S384"/>
      <c r="T384"/>
      <c r="V384" s="219">
        <f t="shared" si="195"/>
        <v>14.105472114612514</v>
      </c>
      <c r="W384" s="219"/>
      <c r="X384">
        <v>15.55</v>
      </c>
      <c r="Y384"/>
      <c r="Z384"/>
      <c r="AA384"/>
      <c r="AB384" s="220">
        <f t="shared" si="196"/>
        <v>4.9356619616300597</v>
      </c>
      <c r="AC384" s="219"/>
      <c r="AD384" s="221">
        <f t="shared" si="197"/>
        <v>64826.665718284472</v>
      </c>
      <c r="AE384" s="219"/>
      <c r="AF384" s="220">
        <f t="shared" si="198"/>
        <v>28.19959958745374</v>
      </c>
      <c r="AG384" s="219"/>
      <c r="AH384" s="220">
        <f t="shared" si="199"/>
        <v>31.620990791044786</v>
      </c>
      <c r="AI384" s="219"/>
      <c r="AJ384">
        <v>4.3499999999999996</v>
      </c>
      <c r="AK384" s="284" t="s">
        <v>8401</v>
      </c>
      <c r="AL384">
        <v>140</v>
      </c>
      <c r="AM384"/>
      <c r="AN384" s="241">
        <v>72</v>
      </c>
      <c r="AO384" s="242">
        <v>42076</v>
      </c>
      <c r="AP384" s="255">
        <v>104</v>
      </c>
      <c r="AQ384" s="242">
        <v>42108</v>
      </c>
      <c r="AR384" s="223">
        <v>126</v>
      </c>
      <c r="AS384" s="297">
        <f t="shared" si="200"/>
        <v>126</v>
      </c>
      <c r="AT384" s="290">
        <v>42130</v>
      </c>
      <c r="AU384" s="298"/>
      <c r="AV384"/>
      <c r="AW384"/>
      <c r="AX384"/>
      <c r="AY384"/>
      <c r="AZ384"/>
      <c r="BA384"/>
      <c r="BB384"/>
      <c r="BC384"/>
      <c r="BD384"/>
      <c r="BE384"/>
      <c r="BF384" s="277">
        <v>-6.9728279113769531</v>
      </c>
      <c r="BG384" s="283">
        <v>42230</v>
      </c>
      <c r="BH384"/>
      <c r="BI384"/>
      <c r="BJ384"/>
      <c r="BK384"/>
      <c r="BL384" s="277">
        <v>65.378860473632812</v>
      </c>
      <c r="BM384" s="283">
        <v>42230</v>
      </c>
      <c r="BN384"/>
      <c r="BO384"/>
      <c r="BP384" s="277">
        <v>3.6869409084320068</v>
      </c>
      <c r="BQ384" s="283">
        <v>42230</v>
      </c>
      <c r="BR384" s="277">
        <v>50.020114898681641</v>
      </c>
      <c r="BS384" s="283">
        <v>42230</v>
      </c>
      <c r="BT384" s="277">
        <v>17.502595901489258</v>
      </c>
      <c r="BU384" s="283">
        <v>42230</v>
      </c>
      <c r="BV384" s="277">
        <v>9.4896717071533203</v>
      </c>
      <c r="BW384" s="283">
        <v>42230</v>
      </c>
      <c r="BX384" s="277">
        <v>5.2473373413085937</v>
      </c>
      <c r="BY384" s="283">
        <v>42230</v>
      </c>
      <c r="BZ384"/>
      <c r="CB384" s="266">
        <v>1.26</v>
      </c>
      <c r="CC384"/>
      <c r="CD384" s="281">
        <v>3.7735849056603805</v>
      </c>
      <c r="CE384" s="291" t="s">
        <v>8401</v>
      </c>
      <c r="CF384"/>
      <c r="CG384"/>
      <c r="CH384">
        <v>2</v>
      </c>
      <c r="CI384">
        <v>3</v>
      </c>
      <c r="CK384"/>
      <c r="CL384"/>
      <c r="CM384" s="259">
        <v>42161</v>
      </c>
      <c r="CN384" s="137" t="s">
        <v>8406</v>
      </c>
    </row>
    <row r="385" spans="1:92">
      <c r="A385" s="258">
        <v>633</v>
      </c>
      <c r="B385" s="235">
        <v>633</v>
      </c>
      <c r="C385" s="235" t="s">
        <v>7576</v>
      </c>
      <c r="D385" s="235"/>
      <c r="E385" s="235"/>
      <c r="F385" s="235"/>
      <c r="G385" s="235"/>
      <c r="H385" s="235" t="s">
        <v>265</v>
      </c>
      <c r="I385" s="235">
        <v>2</v>
      </c>
      <c r="K385" s="235">
        <v>49</v>
      </c>
      <c r="L385" s="235">
        <f t="shared" si="186"/>
        <v>49</v>
      </c>
      <c r="M385" s="235">
        <v>9</v>
      </c>
      <c r="O385" s="248">
        <v>42048</v>
      </c>
      <c r="P385" s="223"/>
      <c r="Q385" s="262"/>
      <c r="R385" s="223"/>
      <c r="S385" s="223"/>
      <c r="T385" s="223"/>
      <c r="U385" s="225"/>
      <c r="V385" s="219"/>
      <c r="W385" s="224"/>
      <c r="X385">
        <v>15.55</v>
      </c>
      <c r="Y385" s="223"/>
      <c r="Z385" s="223"/>
      <c r="AA385" s="223"/>
      <c r="AB385" s="220"/>
      <c r="AC385" s="224"/>
      <c r="AD385" s="221"/>
      <c r="AE385" s="224"/>
      <c r="AF385" s="220"/>
      <c r="AG385" s="224"/>
      <c r="AH385" s="220"/>
      <c r="AI385" s="224"/>
      <c r="AJ385" s="286"/>
      <c r="AK385" s="290"/>
      <c r="AL385" s="223"/>
      <c r="AM385" s="223"/>
      <c r="AN385" s="241">
        <v>70</v>
      </c>
      <c r="AO385" s="242">
        <v>42074</v>
      </c>
      <c r="AP385" s="255">
        <v>104</v>
      </c>
      <c r="AQ385" s="242">
        <v>42108</v>
      </c>
      <c r="AR385" s="223"/>
      <c r="AS385" s="297"/>
      <c r="AT385" s="290"/>
      <c r="AU385" s="298"/>
      <c r="AV385" s="223"/>
      <c r="AW385" s="223"/>
      <c r="AX385" s="223"/>
      <c r="AY385" s="223"/>
      <c r="AZ385" s="223"/>
      <c r="BA385" s="223"/>
      <c r="BB385" s="223"/>
      <c r="BC385" s="223"/>
      <c r="BD385" s="223"/>
      <c r="BE385" s="223"/>
      <c r="BF385" s="281"/>
      <c r="BG385" s="235"/>
      <c r="BH385" s="223"/>
      <c r="BI385" s="223"/>
      <c r="BJ385" s="223"/>
      <c r="BK385" s="223"/>
      <c r="BL385" s="281"/>
      <c r="BM385" s="235"/>
      <c r="BN385" s="223"/>
      <c r="BO385" s="223"/>
      <c r="BP385" s="281"/>
      <c r="BQ385" s="235"/>
      <c r="BR385" s="281"/>
      <c r="BS385" s="235"/>
      <c r="BT385" s="281"/>
      <c r="BU385" s="235"/>
      <c r="BV385" s="281"/>
      <c r="BW385" s="235"/>
      <c r="BX385" s="281"/>
      <c r="BY385" s="235"/>
      <c r="BZ385" s="223"/>
      <c r="CA385" s="226"/>
      <c r="CB385" s="266"/>
      <c r="CC385" s="223"/>
      <c r="CD385" s="281"/>
      <c r="CE385" s="291"/>
      <c r="CF385" s="223"/>
      <c r="CG385" s="223"/>
      <c r="CH385" s="223"/>
      <c r="CI385" s="223"/>
      <c r="CK385" s="223"/>
      <c r="CL385" s="223"/>
      <c r="CM385" s="259">
        <v>42161</v>
      </c>
    </row>
    <row r="386" spans="1:92">
      <c r="A386" s="258">
        <v>634</v>
      </c>
      <c r="B386" s="235">
        <v>634</v>
      </c>
      <c r="C386" s="235" t="s">
        <v>7576</v>
      </c>
      <c r="D386" s="235"/>
      <c r="E386" s="235"/>
      <c r="F386" s="235"/>
      <c r="G386" s="235"/>
      <c r="H386" s="235" t="s">
        <v>265</v>
      </c>
      <c r="I386" s="235">
        <v>2</v>
      </c>
      <c r="K386" s="235">
        <v>50</v>
      </c>
      <c r="L386" s="235">
        <f t="shared" si="186"/>
        <v>50</v>
      </c>
      <c r="M386" s="235">
        <v>9</v>
      </c>
      <c r="O386" s="248">
        <v>42048</v>
      </c>
      <c r="P386"/>
      <c r="Q386" s="174"/>
      <c r="R386"/>
      <c r="S386"/>
      <c r="T386"/>
      <c r="V386" s="219"/>
      <c r="W386" s="219"/>
      <c r="X386">
        <v>15.55</v>
      </c>
      <c r="Y386"/>
      <c r="Z386"/>
      <c r="AA386"/>
      <c r="AB386" s="220"/>
      <c r="AC386" s="219"/>
      <c r="AD386" s="221"/>
      <c r="AE386" s="219"/>
      <c r="AF386" s="220"/>
      <c r="AG386" s="219"/>
      <c r="AH386" s="220"/>
      <c r="AI386" s="219"/>
      <c r="AJ386" s="286"/>
      <c r="AK386" s="284"/>
      <c r="AL386"/>
      <c r="AM386"/>
      <c r="AN386" s="241">
        <v>70</v>
      </c>
      <c r="AO386" s="242">
        <v>42074</v>
      </c>
      <c r="AP386" s="255">
        <v>104</v>
      </c>
      <c r="AQ386" s="242">
        <v>42108</v>
      </c>
      <c r="AR386"/>
      <c r="AS386" s="297"/>
      <c r="AT386" s="290"/>
      <c r="AU386" s="298"/>
      <c r="AV386"/>
      <c r="AW386"/>
      <c r="AX386"/>
      <c r="AY386"/>
      <c r="AZ386"/>
      <c r="BA386"/>
      <c r="BB386"/>
      <c r="BC386"/>
      <c r="BD386"/>
      <c r="BE386"/>
      <c r="BF386" s="277"/>
      <c r="BG386" s="235"/>
      <c r="BH386"/>
      <c r="BI386"/>
      <c r="BJ386"/>
      <c r="BK386"/>
      <c r="BL386" s="277"/>
      <c r="BM386" s="235"/>
      <c r="BN386"/>
      <c r="BO386"/>
      <c r="BP386" s="277"/>
      <c r="BQ386" s="235"/>
      <c r="BR386" s="277"/>
      <c r="BS386" s="235"/>
      <c r="BT386" s="277"/>
      <c r="BU386" s="235"/>
      <c r="BV386" s="277"/>
      <c r="BW386" s="235"/>
      <c r="BX386" s="277"/>
      <c r="BY386" s="235"/>
      <c r="BZ386"/>
      <c r="CB386" s="266"/>
      <c r="CC386"/>
      <c r="CD386" s="277"/>
      <c r="CE386" s="291"/>
      <c r="CF386"/>
      <c r="CG386"/>
      <c r="CH386"/>
      <c r="CI386"/>
      <c r="CK386"/>
      <c r="CL386"/>
      <c r="CM386" s="259">
        <v>42161</v>
      </c>
    </row>
    <row r="387" spans="1:92">
      <c r="A387" s="258">
        <v>635</v>
      </c>
      <c r="B387" s="235">
        <v>635</v>
      </c>
      <c r="C387" s="235" t="s">
        <v>7703</v>
      </c>
      <c r="D387" s="235" t="s">
        <v>7529</v>
      </c>
      <c r="E387" s="235" t="s">
        <v>7703</v>
      </c>
      <c r="F387" s="235" t="s">
        <v>8610</v>
      </c>
      <c r="G387" s="235" t="str">
        <f t="shared" ref="G387:G396" si="201">IF(MID(C387,1,3)="BGA","Complement","Rapsodyn")</f>
        <v>Rapsodyn</v>
      </c>
      <c r="H387" s="235" t="s">
        <v>265</v>
      </c>
      <c r="I387" s="235">
        <v>2</v>
      </c>
      <c r="J387" s="235">
        <v>9085</v>
      </c>
      <c r="K387" s="235">
        <v>51</v>
      </c>
      <c r="L387" s="235">
        <f t="shared" si="186"/>
        <v>51</v>
      </c>
      <c r="M387" s="235">
        <v>9</v>
      </c>
      <c r="N387" s="235">
        <v>5</v>
      </c>
      <c r="O387" s="248">
        <v>42048</v>
      </c>
      <c r="P387">
        <v>4.5999999999999996</v>
      </c>
      <c r="Q387" s="264">
        <v>42204</v>
      </c>
      <c r="R387"/>
      <c r="S387"/>
      <c r="T387"/>
      <c r="V387" s="219">
        <f t="shared" ref="V387:V396" si="202">+BR387*AF387/100</f>
        <v>13.680822879509144</v>
      </c>
      <c r="W387" s="219"/>
      <c r="X387">
        <v>15.55</v>
      </c>
      <c r="Y387"/>
      <c r="Z387"/>
      <c r="AA387"/>
      <c r="AB387" s="220">
        <f t="shared" ref="AB387:AB396" si="203">+AF387*BT387/100</f>
        <v>4.9480232597915306</v>
      </c>
      <c r="AC387" s="219"/>
      <c r="AD387" s="221">
        <f t="shared" ref="AD387:AD396" si="204">+(AF387/AJ387)*10000</f>
        <v>56091.315708476031</v>
      </c>
      <c r="AE387" s="219"/>
      <c r="AF387" s="220">
        <f t="shared" ref="AF387:AF396" si="205">($P387/$X387)*(((100-$CD387)/100*(100-2)/100))*100</f>
        <v>27.540836012861735</v>
      </c>
      <c r="AG387" s="219"/>
      <c r="AH387" s="220">
        <f t="shared" ref="AH387:AH396" si="206">($P387/$X387)*(((100-$CD387)/(100-9)*(100-2)/(100-2))*100)</f>
        <v>30.882300978764004</v>
      </c>
      <c r="AI387" s="219"/>
      <c r="AJ387">
        <v>4.91</v>
      </c>
      <c r="AK387" s="284" t="s">
        <v>8401</v>
      </c>
      <c r="AL387">
        <v>160</v>
      </c>
      <c r="AM387"/>
      <c r="AN387" s="241">
        <v>75</v>
      </c>
      <c r="AO387" s="242">
        <v>42079</v>
      </c>
      <c r="AP387" s="255">
        <v>104</v>
      </c>
      <c r="AQ387" s="242">
        <v>42108</v>
      </c>
      <c r="AR387" s="223">
        <v>127</v>
      </c>
      <c r="AS387" s="297">
        <f t="shared" ref="AS387:AS396" si="207">IF(AR387=0,,AR387)</f>
        <v>127</v>
      </c>
      <c r="AT387" s="290">
        <v>42131</v>
      </c>
      <c r="AU387" s="298"/>
      <c r="AV387"/>
      <c r="AW387"/>
      <c r="AX387"/>
      <c r="AY387"/>
      <c r="AZ387"/>
      <c r="BA387"/>
      <c r="BB387"/>
      <c r="BC387"/>
      <c r="BD387"/>
      <c r="BE387"/>
      <c r="BF387" s="277">
        <v>-5.5306048393249512</v>
      </c>
      <c r="BG387" s="283">
        <v>42233</v>
      </c>
      <c r="BH387"/>
      <c r="BI387"/>
      <c r="BJ387"/>
      <c r="BK387"/>
      <c r="BL387" s="277">
        <v>63.739952087402344</v>
      </c>
      <c r="BM387" s="283">
        <v>42233</v>
      </c>
      <c r="BN387"/>
      <c r="BO387"/>
      <c r="BP387" s="277">
        <v>3.6625890731811523</v>
      </c>
      <c r="BQ387" s="283">
        <v>42233</v>
      </c>
      <c r="BR387" s="277">
        <v>49.6746826171875</v>
      </c>
      <c r="BS387" s="283">
        <v>42233</v>
      </c>
      <c r="BT387" s="277">
        <v>17.966133117675781</v>
      </c>
      <c r="BU387" s="283">
        <v>42233</v>
      </c>
      <c r="BV387" s="277">
        <v>14.395402908325195</v>
      </c>
      <c r="BW387" s="283">
        <v>42233</v>
      </c>
      <c r="BX387" s="277">
        <v>5.0126724243164062</v>
      </c>
      <c r="BY387" s="283">
        <v>42233</v>
      </c>
      <c r="BZ387"/>
      <c r="CB387" s="266">
        <v>1.23</v>
      </c>
      <c r="CC387"/>
      <c r="CD387" s="277">
        <v>4.9999999999999964</v>
      </c>
      <c r="CE387" s="291" t="s">
        <v>8401</v>
      </c>
      <c r="CF387"/>
      <c r="CG387"/>
      <c r="CH387">
        <v>2</v>
      </c>
      <c r="CI387">
        <v>4</v>
      </c>
      <c r="CK387"/>
      <c r="CL387">
        <v>2</v>
      </c>
      <c r="CM387" s="259">
        <v>42161</v>
      </c>
      <c r="CN387" s="137" t="s">
        <v>8406</v>
      </c>
    </row>
    <row r="388" spans="1:92">
      <c r="A388" s="258">
        <v>636</v>
      </c>
      <c r="B388" s="235">
        <v>636</v>
      </c>
      <c r="C388" s="235" t="s">
        <v>7730</v>
      </c>
      <c r="D388" s="235" t="s">
        <v>7553</v>
      </c>
      <c r="E388" s="235" t="s">
        <v>7730</v>
      </c>
      <c r="F388" s="235" t="s">
        <v>8591</v>
      </c>
      <c r="G388" s="235" t="str">
        <f t="shared" si="201"/>
        <v>Rapsodyn</v>
      </c>
      <c r="H388" s="235" t="s">
        <v>265</v>
      </c>
      <c r="I388" s="235">
        <v>2</v>
      </c>
      <c r="J388" s="235">
        <v>9112</v>
      </c>
      <c r="K388" s="235">
        <v>52</v>
      </c>
      <c r="L388" s="235">
        <f t="shared" si="186"/>
        <v>52</v>
      </c>
      <c r="M388" s="235">
        <v>9</v>
      </c>
      <c r="N388" s="236">
        <v>5</v>
      </c>
      <c r="O388" s="248">
        <v>42048</v>
      </c>
      <c r="P388">
        <v>4.7</v>
      </c>
      <c r="Q388" s="264">
        <v>42204</v>
      </c>
      <c r="R388"/>
      <c r="S388"/>
      <c r="T388"/>
      <c r="V388" s="219">
        <f t="shared" si="202"/>
        <v>14.80143679285052</v>
      </c>
      <c r="W388" s="219"/>
      <c r="X388">
        <v>15.55</v>
      </c>
      <c r="Y388"/>
      <c r="Z388"/>
      <c r="AA388"/>
      <c r="AB388" s="220">
        <f t="shared" si="203"/>
        <v>4.3624971157898553</v>
      </c>
      <c r="AC388" s="219"/>
      <c r="AD388" s="221">
        <f t="shared" si="204"/>
        <v>69349.929655460088</v>
      </c>
      <c r="AE388" s="219"/>
      <c r="AF388" s="220">
        <f t="shared" si="205"/>
        <v>28.502821088394096</v>
      </c>
      <c r="AG388" s="219"/>
      <c r="AH388" s="220">
        <f t="shared" si="206"/>
        <v>31.961001444711933</v>
      </c>
      <c r="AI388" s="219"/>
      <c r="AJ388">
        <v>4.1100000000000003</v>
      </c>
      <c r="AK388" s="284" t="s">
        <v>8401</v>
      </c>
      <c r="AL388">
        <v>160</v>
      </c>
      <c r="AM388"/>
      <c r="AN388" s="241">
        <v>72</v>
      </c>
      <c r="AO388" s="242">
        <v>42076</v>
      </c>
      <c r="AP388" s="255">
        <v>104</v>
      </c>
      <c r="AQ388" s="242">
        <v>42108</v>
      </c>
      <c r="AR388" s="223">
        <v>132</v>
      </c>
      <c r="AS388" s="297">
        <f t="shared" si="207"/>
        <v>132</v>
      </c>
      <c r="AT388" s="290">
        <v>42136</v>
      </c>
      <c r="AU388" s="298"/>
      <c r="AV388"/>
      <c r="AW388"/>
      <c r="AX388"/>
      <c r="AY388"/>
      <c r="AZ388"/>
      <c r="BA388"/>
      <c r="BB388"/>
      <c r="BC388"/>
      <c r="BD388"/>
      <c r="BE388"/>
      <c r="BF388" s="277">
        <v>-5.1771469116210937</v>
      </c>
      <c r="BG388" s="283">
        <v>42233</v>
      </c>
      <c r="BH388"/>
      <c r="BI388"/>
      <c r="BJ388"/>
      <c r="BK388"/>
      <c r="BL388" s="277">
        <v>65.060783386230469</v>
      </c>
      <c r="BM388" s="283">
        <v>42233</v>
      </c>
      <c r="BN388"/>
      <c r="BO388"/>
      <c r="BP388" s="277">
        <v>4.2956528663635254</v>
      </c>
      <c r="BQ388" s="283">
        <v>42233</v>
      </c>
      <c r="BR388" s="277">
        <v>51.929725646972656</v>
      </c>
      <c r="BS388" s="283">
        <v>42233</v>
      </c>
      <c r="BT388" s="277">
        <v>15.305492401123047</v>
      </c>
      <c r="BU388" s="283">
        <v>42233</v>
      </c>
      <c r="BV388" s="277">
        <v>11.304047584533691</v>
      </c>
      <c r="BW388" s="283">
        <v>42233</v>
      </c>
      <c r="BX388" s="277">
        <v>5.2207870483398437</v>
      </c>
      <c r="BY388" s="283">
        <v>42233</v>
      </c>
      <c r="BZ388"/>
      <c r="CB388" s="266">
        <v>1.62</v>
      </c>
      <c r="CC388"/>
      <c r="CD388" s="277">
        <v>3.7735849056603805</v>
      </c>
      <c r="CE388" s="291" t="s">
        <v>8401</v>
      </c>
      <c r="CF388"/>
      <c r="CG388"/>
      <c r="CH388">
        <v>2</v>
      </c>
      <c r="CI388">
        <v>6</v>
      </c>
      <c r="CK388"/>
      <c r="CL388"/>
      <c r="CM388" s="259">
        <v>42161</v>
      </c>
      <c r="CN388" s="137" t="s">
        <v>8406</v>
      </c>
    </row>
    <row r="389" spans="1:92" s="227" customFormat="1">
      <c r="A389" s="258">
        <v>637</v>
      </c>
      <c r="B389" s="235">
        <v>637</v>
      </c>
      <c r="C389" s="235" t="s">
        <v>7760</v>
      </c>
      <c r="D389" s="235" t="s">
        <v>7837</v>
      </c>
      <c r="E389" s="235" t="s">
        <v>7760</v>
      </c>
      <c r="F389" s="235" t="s">
        <v>8542</v>
      </c>
      <c r="G389" s="235" t="str">
        <f t="shared" si="201"/>
        <v>Rapsodyn</v>
      </c>
      <c r="H389" s="235" t="s">
        <v>265</v>
      </c>
      <c r="I389" s="235">
        <v>2</v>
      </c>
      <c r="J389" s="235">
        <v>9131</v>
      </c>
      <c r="K389" s="235">
        <v>53</v>
      </c>
      <c r="L389" s="235">
        <f t="shared" si="186"/>
        <v>53</v>
      </c>
      <c r="M389" s="235">
        <v>9</v>
      </c>
      <c r="N389" s="235">
        <v>7</v>
      </c>
      <c r="O389" s="248">
        <v>42048</v>
      </c>
      <c r="P389">
        <v>5.9</v>
      </c>
      <c r="Q389" s="264">
        <v>42204</v>
      </c>
      <c r="R389"/>
      <c r="S389"/>
      <c r="T389"/>
      <c r="U389" s="153"/>
      <c r="V389" s="219">
        <f t="shared" si="202"/>
        <v>18.035368706115602</v>
      </c>
      <c r="W389" s="219"/>
      <c r="X389">
        <v>15.55</v>
      </c>
      <c r="Y389"/>
      <c r="Z389"/>
      <c r="AA389"/>
      <c r="AB389" s="220">
        <f t="shared" si="203"/>
        <v>5.1018251423737864</v>
      </c>
      <c r="AC389" s="219"/>
      <c r="AD389" s="221">
        <f t="shared" si="204"/>
        <v>79632.023924628418</v>
      </c>
      <c r="AE389" s="219"/>
      <c r="AF389" s="220">
        <f t="shared" si="205"/>
        <v>35.038090526836505</v>
      </c>
      <c r="AG389" s="219"/>
      <c r="AH389" s="220">
        <f t="shared" si="206"/>
        <v>39.289179778915134</v>
      </c>
      <c r="AI389" s="219"/>
      <c r="AJ389">
        <v>4.4000000000000004</v>
      </c>
      <c r="AK389" s="284" t="s">
        <v>8399</v>
      </c>
      <c r="AL389">
        <v>155</v>
      </c>
      <c r="AM389"/>
      <c r="AN389" s="241">
        <v>75</v>
      </c>
      <c r="AO389" s="242">
        <v>42079</v>
      </c>
      <c r="AP389" s="255">
        <v>104</v>
      </c>
      <c r="AQ389" s="242">
        <v>42108</v>
      </c>
      <c r="AR389" s="223">
        <v>132</v>
      </c>
      <c r="AS389" s="297">
        <f t="shared" si="207"/>
        <v>132</v>
      </c>
      <c r="AT389" s="290">
        <v>42136</v>
      </c>
      <c r="AU389" s="298"/>
      <c r="AV389"/>
      <c r="AW389"/>
      <c r="AX389"/>
      <c r="AY389"/>
      <c r="AZ389"/>
      <c r="BA389"/>
      <c r="BB389"/>
      <c r="BC389"/>
      <c r="BD389"/>
      <c r="BE389"/>
      <c r="BF389" s="277">
        <v>-1.071977972984314</v>
      </c>
      <c r="BG389" s="283">
        <v>42233</v>
      </c>
      <c r="BH389"/>
      <c r="BI389"/>
      <c r="BJ389"/>
      <c r="BK389"/>
      <c r="BL389" s="277">
        <v>68.032325744628906</v>
      </c>
      <c r="BM389" s="283">
        <v>42233</v>
      </c>
      <c r="BN389"/>
      <c r="BO389"/>
      <c r="BP389" s="277">
        <v>1.8219900131225586</v>
      </c>
      <c r="BQ389" s="283">
        <v>42233</v>
      </c>
      <c r="BR389" s="277">
        <v>51.473606109619141</v>
      </c>
      <c r="BS389" s="283">
        <v>42233</v>
      </c>
      <c r="BT389" s="277">
        <v>14.560796737670898</v>
      </c>
      <c r="BU389" s="283">
        <v>42233</v>
      </c>
      <c r="BV389" s="277">
        <v>11.376619338989258</v>
      </c>
      <c r="BW389" s="283">
        <v>42233</v>
      </c>
      <c r="BX389" s="277">
        <v>4.9054412841796875</v>
      </c>
      <c r="BY389" s="283">
        <v>42233</v>
      </c>
      <c r="BZ389"/>
      <c r="CA389" s="136"/>
      <c r="CB389" s="266">
        <v>2.61</v>
      </c>
      <c r="CC389"/>
      <c r="CD389" s="277">
        <v>5.7692307692307656</v>
      </c>
      <c r="CE389" s="291" t="s">
        <v>8399</v>
      </c>
      <c r="CF389"/>
      <c r="CG389"/>
      <c r="CH389">
        <v>2</v>
      </c>
      <c r="CI389">
        <v>6</v>
      </c>
      <c r="CK389"/>
      <c r="CL389"/>
      <c r="CM389" s="259">
        <v>42161</v>
      </c>
      <c r="CN389" s="137" t="s">
        <v>8406</v>
      </c>
    </row>
    <row r="390" spans="1:92">
      <c r="A390" s="258">
        <v>645</v>
      </c>
      <c r="B390" s="235">
        <v>645</v>
      </c>
      <c r="C390" s="235" t="s">
        <v>7741</v>
      </c>
      <c r="D390" s="235" t="s">
        <v>8416</v>
      </c>
      <c r="E390" s="235" t="s">
        <v>7741</v>
      </c>
      <c r="F390" s="235" t="s">
        <v>8623</v>
      </c>
      <c r="G390" s="235" t="str">
        <f t="shared" si="201"/>
        <v>Rapsodyn</v>
      </c>
      <c r="H390" s="235" t="s">
        <v>265</v>
      </c>
      <c r="I390" s="235">
        <v>2</v>
      </c>
      <c r="J390" s="235">
        <v>9120</v>
      </c>
      <c r="K390" s="235">
        <v>61</v>
      </c>
      <c r="L390" s="235">
        <f t="shared" ref="L390:L428" si="208">K390</f>
        <v>61</v>
      </c>
      <c r="M390" s="235">
        <v>9</v>
      </c>
      <c r="N390" s="235">
        <v>7</v>
      </c>
      <c r="O390" s="248">
        <v>42048</v>
      </c>
      <c r="P390">
        <v>3</v>
      </c>
      <c r="Q390" s="264">
        <v>42204</v>
      </c>
      <c r="R390"/>
      <c r="S390"/>
      <c r="T390"/>
      <c r="V390" s="219">
        <f t="shared" si="202"/>
        <v>8.8664373133878716</v>
      </c>
      <c r="W390" s="219"/>
      <c r="X390">
        <v>15.55</v>
      </c>
      <c r="Y390"/>
      <c r="Z390"/>
      <c r="AA390"/>
      <c r="AB390" s="220">
        <f t="shared" si="203"/>
        <v>3.708368566636068</v>
      </c>
      <c r="AC390" s="219"/>
      <c r="AD390" s="221">
        <f t="shared" si="204"/>
        <v>38970.632844535015</v>
      </c>
      <c r="AE390" s="219"/>
      <c r="AF390" s="220">
        <f t="shared" si="205"/>
        <v>18.550021233998667</v>
      </c>
      <c r="AG390" s="219"/>
      <c r="AH390" s="220">
        <f t="shared" si="206"/>
        <v>20.800651753754952</v>
      </c>
      <c r="AI390" s="219"/>
      <c r="AJ390">
        <v>4.76</v>
      </c>
      <c r="AK390" s="284" t="s">
        <v>8398</v>
      </c>
      <c r="AL390">
        <v>140</v>
      </c>
      <c r="AM390"/>
      <c r="AN390" s="241">
        <v>70</v>
      </c>
      <c r="AO390" s="242">
        <v>42074</v>
      </c>
      <c r="AP390" s="255">
        <v>104</v>
      </c>
      <c r="AQ390" s="242">
        <v>42108</v>
      </c>
      <c r="AR390" s="223">
        <v>125</v>
      </c>
      <c r="AS390" s="297">
        <f t="shared" si="207"/>
        <v>125</v>
      </c>
      <c r="AT390" s="290">
        <v>42129</v>
      </c>
      <c r="AU390" s="298"/>
      <c r="AV390"/>
      <c r="AW390"/>
      <c r="AX390"/>
      <c r="AY390"/>
      <c r="AZ390"/>
      <c r="BA390"/>
      <c r="BB390"/>
      <c r="BC390"/>
      <c r="BD390"/>
      <c r="BE390"/>
      <c r="BF390" s="277">
        <v>32.936267852783203</v>
      </c>
      <c r="BG390" s="283">
        <v>42230</v>
      </c>
      <c r="BH390"/>
      <c r="BI390"/>
      <c r="BJ390"/>
      <c r="BK390"/>
      <c r="BL390" s="277">
        <v>60.230995178222656</v>
      </c>
      <c r="BM390" s="283">
        <v>42230</v>
      </c>
      <c r="BN390"/>
      <c r="BO390"/>
      <c r="BP390" s="277">
        <v>3.1989860534667969</v>
      </c>
      <c r="BQ390" s="283">
        <v>42230</v>
      </c>
      <c r="BR390" s="277">
        <v>47.797451019287109</v>
      </c>
      <c r="BS390" s="283">
        <v>42230</v>
      </c>
      <c r="BT390" s="277">
        <v>19.991182327270508</v>
      </c>
      <c r="BU390" s="283">
        <v>42230</v>
      </c>
      <c r="BV390" s="277">
        <v>69.266632080078125</v>
      </c>
      <c r="BW390" s="283">
        <v>42230</v>
      </c>
      <c r="BX390" s="277">
        <v>5.469451904296875</v>
      </c>
      <c r="BY390" s="283">
        <v>42230</v>
      </c>
      <c r="BZ390"/>
      <c r="CB390" s="266">
        <v>1.53</v>
      </c>
      <c r="CC390"/>
      <c r="CD390" s="277">
        <v>1.886792452830182</v>
      </c>
      <c r="CE390" s="291" t="s">
        <v>8398</v>
      </c>
      <c r="CF390"/>
      <c r="CG390"/>
      <c r="CH390">
        <v>2</v>
      </c>
      <c r="CI390">
        <v>3</v>
      </c>
      <c r="CK390"/>
      <c r="CL390"/>
      <c r="CM390" s="259">
        <v>42161</v>
      </c>
      <c r="CN390" s="137" t="s">
        <v>8406</v>
      </c>
    </row>
    <row r="391" spans="1:92">
      <c r="A391" s="258">
        <v>646</v>
      </c>
      <c r="B391" s="235">
        <v>646</v>
      </c>
      <c r="C391" s="238" t="s">
        <v>7771</v>
      </c>
      <c r="D391" s="238" t="s">
        <v>7569</v>
      </c>
      <c r="E391" s="238" t="s">
        <v>7771</v>
      </c>
      <c r="F391" s="238" t="s">
        <v>8448</v>
      </c>
      <c r="G391" s="235" t="str">
        <f t="shared" si="201"/>
        <v>Rapsodyn</v>
      </c>
      <c r="H391" s="235" t="s">
        <v>265</v>
      </c>
      <c r="I391" s="235">
        <v>2</v>
      </c>
      <c r="J391" s="238">
        <v>9142</v>
      </c>
      <c r="K391" s="238">
        <v>62</v>
      </c>
      <c r="L391" s="235">
        <f t="shared" si="208"/>
        <v>62</v>
      </c>
      <c r="M391" s="238">
        <v>9</v>
      </c>
      <c r="N391" s="235">
        <v>7</v>
      </c>
      <c r="O391" s="248">
        <v>42048</v>
      </c>
      <c r="P391" s="223">
        <v>5.7</v>
      </c>
      <c r="Q391" s="264">
        <v>42204</v>
      </c>
      <c r="R391" s="223"/>
      <c r="S391" s="223"/>
      <c r="T391" s="223"/>
      <c r="U391" s="225"/>
      <c r="V391" s="219">
        <f t="shared" si="202"/>
        <v>18.411703571675293</v>
      </c>
      <c r="W391" s="224"/>
      <c r="X391">
        <v>15.55</v>
      </c>
      <c r="Y391" s="223"/>
      <c r="Z391" s="223"/>
      <c r="AA391" s="223"/>
      <c r="AB391" s="220">
        <f t="shared" si="203"/>
        <v>5.2287269916922847</v>
      </c>
      <c r="AC391" s="224"/>
      <c r="AD391" s="221">
        <f t="shared" si="204"/>
        <v>83154.698106466589</v>
      </c>
      <c r="AE391" s="224"/>
      <c r="AF391" s="220">
        <f t="shared" si="205"/>
        <v>34.592354412290106</v>
      </c>
      <c r="AG391" s="224"/>
      <c r="AH391" s="220">
        <f t="shared" si="206"/>
        <v>38.789363548205991</v>
      </c>
      <c r="AI391" s="224"/>
      <c r="AJ391">
        <v>4.16</v>
      </c>
      <c r="AK391" s="290" t="s">
        <v>8398</v>
      </c>
      <c r="AL391" s="223">
        <v>160</v>
      </c>
      <c r="AM391" s="223"/>
      <c r="AN391" s="241">
        <v>63</v>
      </c>
      <c r="AO391" s="246">
        <v>42067</v>
      </c>
      <c r="AP391" s="255">
        <v>97</v>
      </c>
      <c r="AQ391" s="242">
        <v>42101</v>
      </c>
      <c r="AR391" s="223">
        <v>127</v>
      </c>
      <c r="AS391" s="297">
        <f t="shared" si="207"/>
        <v>127</v>
      </c>
      <c r="AT391" s="290">
        <v>42131</v>
      </c>
      <c r="AU391" s="298"/>
      <c r="AV391" s="223"/>
      <c r="AW391" s="223"/>
      <c r="AX391" s="223"/>
      <c r="AY391" s="223"/>
      <c r="AZ391" s="223"/>
      <c r="BA391" s="223"/>
      <c r="BB391" s="223"/>
      <c r="BC391" s="223"/>
      <c r="BD391" s="223"/>
      <c r="BE391" s="223"/>
      <c r="BF391" s="281">
        <v>0.79507100582122803</v>
      </c>
      <c r="BG391" s="283">
        <v>42230</v>
      </c>
      <c r="BH391" s="223"/>
      <c r="BI391" s="223"/>
      <c r="BJ391" s="223"/>
      <c r="BK391" s="223"/>
      <c r="BL391" s="281">
        <v>65.896446228027344</v>
      </c>
      <c r="BM391" s="283">
        <v>42230</v>
      </c>
      <c r="BN391" s="223"/>
      <c r="BO391" s="223"/>
      <c r="BP391" s="281">
        <v>3.3798279762268066</v>
      </c>
      <c r="BQ391" s="283">
        <v>42230</v>
      </c>
      <c r="BR391" s="281">
        <v>53.224777221679687</v>
      </c>
      <c r="BS391" s="283">
        <v>42230</v>
      </c>
      <c r="BT391" s="281">
        <v>15.115267753601074</v>
      </c>
      <c r="BU391" s="283">
        <v>42230</v>
      </c>
      <c r="BV391" s="281">
        <v>14.901549339294434</v>
      </c>
      <c r="BW391" s="283">
        <v>42230</v>
      </c>
      <c r="BX391" s="281">
        <v>5.0348587036132812</v>
      </c>
      <c r="BY391" s="283">
        <v>42230</v>
      </c>
      <c r="BZ391" s="223"/>
      <c r="CA391" s="226"/>
      <c r="CB391" s="266">
        <v>2.65</v>
      </c>
      <c r="CC391" s="223"/>
      <c r="CD391" s="281">
        <v>3.7037037037037068</v>
      </c>
      <c r="CE391" s="291" t="s">
        <v>8398</v>
      </c>
      <c r="CF391" s="223"/>
      <c r="CG391" s="223"/>
      <c r="CH391" s="223">
        <v>2</v>
      </c>
      <c r="CI391" s="223">
        <v>3</v>
      </c>
      <c r="CK391" s="223"/>
      <c r="CL391" s="223"/>
      <c r="CM391" s="259">
        <v>42161</v>
      </c>
      <c r="CN391" s="137" t="s">
        <v>8406</v>
      </c>
    </row>
    <row r="392" spans="1:92">
      <c r="A392" s="258">
        <v>647</v>
      </c>
      <c r="B392" s="235">
        <v>647</v>
      </c>
      <c r="C392" s="235" t="s">
        <v>7674</v>
      </c>
      <c r="D392" s="235" t="s">
        <v>7503</v>
      </c>
      <c r="E392" s="235" t="s">
        <v>7674</v>
      </c>
      <c r="F392" s="235" t="s">
        <v>8501</v>
      </c>
      <c r="G392" s="235" t="str">
        <f t="shared" si="201"/>
        <v>Rapsodyn</v>
      </c>
      <c r="H392" s="235" t="s">
        <v>265</v>
      </c>
      <c r="I392" s="235">
        <v>2</v>
      </c>
      <c r="J392" s="235">
        <v>9056</v>
      </c>
      <c r="K392" s="235">
        <v>63</v>
      </c>
      <c r="L392" s="235">
        <f t="shared" si="208"/>
        <v>63</v>
      </c>
      <c r="M392" s="235">
        <v>9</v>
      </c>
      <c r="N392" s="235">
        <v>7</v>
      </c>
      <c r="O392" s="248">
        <v>42048</v>
      </c>
      <c r="P392">
        <v>3.55</v>
      </c>
      <c r="Q392" s="264">
        <v>42204</v>
      </c>
      <c r="R392"/>
      <c r="S392"/>
      <c r="T392"/>
      <c r="V392" s="219">
        <f t="shared" si="202"/>
        <v>10.484555544749053</v>
      </c>
      <c r="W392" s="219"/>
      <c r="X392">
        <v>15.55</v>
      </c>
      <c r="Y392"/>
      <c r="Z392"/>
      <c r="AA392"/>
      <c r="AB392" s="220">
        <f t="shared" si="203"/>
        <v>3.5736707178977203</v>
      </c>
      <c r="AC392" s="219"/>
      <c r="AD392" s="221">
        <f t="shared" si="204"/>
        <v>44107.62310751222</v>
      </c>
      <c r="AE392" s="219"/>
      <c r="AF392" s="220">
        <f t="shared" si="205"/>
        <v>21.215766714713379</v>
      </c>
      <c r="AG392" s="219"/>
      <c r="AH392" s="220">
        <f t="shared" si="206"/>
        <v>23.789825874314179</v>
      </c>
      <c r="AI392" s="219"/>
      <c r="AJ392">
        <v>4.8099999999999996</v>
      </c>
      <c r="AK392" s="284" t="s">
        <v>8401</v>
      </c>
      <c r="AL392">
        <v>140</v>
      </c>
      <c r="AM392"/>
      <c r="AN392" s="241">
        <v>72</v>
      </c>
      <c r="AO392" s="242">
        <v>42076</v>
      </c>
      <c r="AP392" s="255">
        <v>100</v>
      </c>
      <c r="AQ392" s="242">
        <v>42104</v>
      </c>
      <c r="AR392" s="223">
        <v>127</v>
      </c>
      <c r="AS392" s="297">
        <f t="shared" si="207"/>
        <v>127</v>
      </c>
      <c r="AT392" s="290">
        <v>42131</v>
      </c>
      <c r="AU392" s="298"/>
      <c r="AV392"/>
      <c r="AW392"/>
      <c r="AX392"/>
      <c r="AY392"/>
      <c r="AZ392"/>
      <c r="BA392"/>
      <c r="BB392"/>
      <c r="BC392"/>
      <c r="BD392"/>
      <c r="BE392"/>
      <c r="BF392" s="277">
        <v>-1.958387017250061</v>
      </c>
      <c r="BG392" s="283">
        <v>42233</v>
      </c>
      <c r="BH392"/>
      <c r="BI392"/>
      <c r="BJ392"/>
      <c r="BK392"/>
      <c r="BL392" s="277">
        <v>62.193546295166016</v>
      </c>
      <c r="BM392" s="283">
        <v>42233</v>
      </c>
      <c r="BN392"/>
      <c r="BO392"/>
      <c r="BP392" s="277">
        <v>4.0266351699829102</v>
      </c>
      <c r="BQ392" s="283">
        <v>42233</v>
      </c>
      <c r="BR392" s="277">
        <v>49.418697357177734</v>
      </c>
      <c r="BS392" s="283">
        <v>42233</v>
      </c>
      <c r="BT392" s="277">
        <v>16.844409942626953</v>
      </c>
      <c r="BU392" s="283">
        <v>42233</v>
      </c>
      <c r="BV392" s="277">
        <v>13.063810348510742</v>
      </c>
      <c r="BW392" s="283">
        <v>42233</v>
      </c>
      <c r="BX392" s="277">
        <v>5.2128372192382812</v>
      </c>
      <c r="BY392" s="283">
        <v>42233</v>
      </c>
      <c r="BZ392"/>
      <c r="CB392" s="266">
        <v>1.83</v>
      </c>
      <c r="CC392"/>
      <c r="CD392" s="277">
        <v>5.1724137931034457</v>
      </c>
      <c r="CE392" s="291" t="s">
        <v>8401</v>
      </c>
      <c r="CF392"/>
      <c r="CG392"/>
      <c r="CH392">
        <v>2</v>
      </c>
      <c r="CI392">
        <v>4</v>
      </c>
      <c r="CK392"/>
      <c r="CL392"/>
      <c r="CM392" s="259">
        <v>42161</v>
      </c>
      <c r="CN392" s="137" t="s">
        <v>8406</v>
      </c>
    </row>
    <row r="393" spans="1:92">
      <c r="A393" s="258">
        <v>649</v>
      </c>
      <c r="B393" s="235">
        <v>649</v>
      </c>
      <c r="C393" s="235" t="s">
        <v>7726</v>
      </c>
      <c r="D393" s="235" t="s">
        <v>7549</v>
      </c>
      <c r="E393" s="235" t="s">
        <v>7726</v>
      </c>
      <c r="F393" s="235" t="s">
        <v>8553</v>
      </c>
      <c r="G393" s="235" t="str">
        <f t="shared" si="201"/>
        <v>Rapsodyn</v>
      </c>
      <c r="H393" s="235" t="s">
        <v>265</v>
      </c>
      <c r="I393" s="235">
        <v>2</v>
      </c>
      <c r="J393" s="235">
        <v>9108</v>
      </c>
      <c r="K393" s="235">
        <v>65</v>
      </c>
      <c r="L393" s="235">
        <f t="shared" si="208"/>
        <v>65</v>
      </c>
      <c r="M393" s="235">
        <v>9</v>
      </c>
      <c r="N393" s="235">
        <v>5</v>
      </c>
      <c r="O393" s="248">
        <v>42048</v>
      </c>
      <c r="P393">
        <v>4.8</v>
      </c>
      <c r="Q393" s="264">
        <v>42204</v>
      </c>
      <c r="R393"/>
      <c r="S393"/>
      <c r="T393"/>
      <c r="V393" s="219">
        <f t="shared" si="202"/>
        <v>14.77360307895869</v>
      </c>
      <c r="W393" s="219"/>
      <c r="X393">
        <v>15.55</v>
      </c>
      <c r="Y393"/>
      <c r="Z393"/>
      <c r="AA393"/>
      <c r="AB393" s="220">
        <f t="shared" si="203"/>
        <v>4.8395187201300613</v>
      </c>
      <c r="AC393" s="219"/>
      <c r="AD393" s="221">
        <f t="shared" si="204"/>
        <v>62239.619739969246</v>
      </c>
      <c r="AE393" s="219"/>
      <c r="AF393" s="220">
        <f t="shared" si="205"/>
        <v>28.630225080385852</v>
      </c>
      <c r="AG393" s="219"/>
      <c r="AH393" s="220">
        <f t="shared" si="206"/>
        <v>32.103863063899809</v>
      </c>
      <c r="AI393" s="219"/>
      <c r="AJ393">
        <v>4.5999999999999996</v>
      </c>
      <c r="AK393" s="284" t="s">
        <v>8399</v>
      </c>
      <c r="AL393">
        <v>165</v>
      </c>
      <c r="AM393"/>
      <c r="AN393" s="241">
        <v>61</v>
      </c>
      <c r="AO393" s="242">
        <v>42065</v>
      </c>
      <c r="AP393" s="255">
        <v>104</v>
      </c>
      <c r="AQ393" s="242">
        <v>42108</v>
      </c>
      <c r="AR393" s="223">
        <v>123</v>
      </c>
      <c r="AS393" s="297">
        <f t="shared" si="207"/>
        <v>123</v>
      </c>
      <c r="AT393" s="290">
        <v>42127</v>
      </c>
      <c r="AU393" s="298"/>
      <c r="AV393"/>
      <c r="AW393"/>
      <c r="AX393"/>
      <c r="AY393"/>
      <c r="AZ393"/>
      <c r="BA393"/>
      <c r="BB393"/>
      <c r="BC393"/>
      <c r="BD393"/>
      <c r="BE393"/>
      <c r="BF393" s="277">
        <v>-2.7645719051361084</v>
      </c>
      <c r="BG393" s="283">
        <v>42233</v>
      </c>
      <c r="BH393"/>
      <c r="BI393"/>
      <c r="BJ393"/>
      <c r="BK393"/>
      <c r="BL393" s="277">
        <v>65.308219909667969</v>
      </c>
      <c r="BM393" s="283">
        <v>42233</v>
      </c>
      <c r="BN393"/>
      <c r="BO393"/>
      <c r="BP393" s="277">
        <v>2.5836129188537598</v>
      </c>
      <c r="BQ393" s="283">
        <v>42233</v>
      </c>
      <c r="BR393" s="277">
        <v>51.601421356201172</v>
      </c>
      <c r="BS393" s="283">
        <v>42233</v>
      </c>
      <c r="BT393" s="277">
        <v>16.903530120849609</v>
      </c>
      <c r="BU393" s="283">
        <v>42233</v>
      </c>
      <c r="BV393" s="277">
        <v>16.822511672973633</v>
      </c>
      <c r="BW393" s="283">
        <v>42233</v>
      </c>
      <c r="BX393" s="277">
        <v>5.1300048828125</v>
      </c>
      <c r="BY393" s="283">
        <v>42233</v>
      </c>
      <c r="BZ393"/>
      <c r="CB393" s="266">
        <v>1.97</v>
      </c>
      <c r="CC393"/>
      <c r="CD393" s="277">
        <v>5.3571428571428541</v>
      </c>
      <c r="CE393" s="291" t="s">
        <v>8399</v>
      </c>
      <c r="CF393"/>
      <c r="CG393"/>
      <c r="CH393">
        <v>2</v>
      </c>
      <c r="CI393">
        <v>3</v>
      </c>
      <c r="CK393"/>
      <c r="CL393"/>
      <c r="CM393" s="259">
        <v>42161</v>
      </c>
      <c r="CN393" s="137" t="s">
        <v>8406</v>
      </c>
    </row>
    <row r="394" spans="1:92">
      <c r="A394" s="258">
        <v>651</v>
      </c>
      <c r="B394" s="235">
        <v>651</v>
      </c>
      <c r="C394" s="235" t="s">
        <v>7791</v>
      </c>
      <c r="D394" s="235" t="s">
        <v>7589</v>
      </c>
      <c r="E394" s="235" t="s">
        <v>7791</v>
      </c>
      <c r="F394" s="235" t="s">
        <v>8550</v>
      </c>
      <c r="G394" s="235" t="str">
        <f t="shared" si="201"/>
        <v>Rapsodyn</v>
      </c>
      <c r="H394" s="235" t="s">
        <v>265</v>
      </c>
      <c r="I394" s="235">
        <v>2</v>
      </c>
      <c r="J394" s="235">
        <v>9162</v>
      </c>
      <c r="K394" s="235">
        <v>67</v>
      </c>
      <c r="L394" s="235">
        <f t="shared" si="208"/>
        <v>67</v>
      </c>
      <c r="M394" s="235">
        <v>9</v>
      </c>
      <c r="N394" s="235">
        <v>7</v>
      </c>
      <c r="O394" s="248">
        <v>42048</v>
      </c>
      <c r="P394">
        <v>5.3</v>
      </c>
      <c r="Q394" s="264">
        <v>42204</v>
      </c>
      <c r="R394"/>
      <c r="S394"/>
      <c r="T394"/>
      <c r="V394" s="219">
        <f t="shared" si="202"/>
        <v>16.343700793735778</v>
      </c>
      <c r="W394" s="219"/>
      <c r="X394">
        <v>15.55</v>
      </c>
      <c r="Y394"/>
      <c r="Z394"/>
      <c r="AA394"/>
      <c r="AB394" s="220">
        <f t="shared" si="203"/>
        <v>4.860949932657423</v>
      </c>
      <c r="AC394" s="219"/>
      <c r="AD394" s="221">
        <f t="shared" si="204"/>
        <v>73558.065145511384</v>
      </c>
      <c r="AE394" s="219"/>
      <c r="AF394" s="220">
        <f t="shared" si="205"/>
        <v>31.703526077715406</v>
      </c>
      <c r="AG394" s="219"/>
      <c r="AH394" s="220">
        <f t="shared" si="206"/>
        <v>35.550040454939897</v>
      </c>
      <c r="AI394" s="219"/>
      <c r="AJ394">
        <v>4.3099999999999996</v>
      </c>
      <c r="AK394" s="284" t="s">
        <v>8399</v>
      </c>
      <c r="AL394">
        <v>165</v>
      </c>
      <c r="AM394"/>
      <c r="AN394" s="241">
        <v>70</v>
      </c>
      <c r="AO394" s="242">
        <v>42074</v>
      </c>
      <c r="AP394" s="255">
        <v>104</v>
      </c>
      <c r="AQ394" s="242">
        <v>42108</v>
      </c>
      <c r="AR394" s="223">
        <v>125</v>
      </c>
      <c r="AS394" s="297">
        <f t="shared" si="207"/>
        <v>125</v>
      </c>
      <c r="AT394" s="290">
        <v>42129</v>
      </c>
      <c r="AU394" s="298"/>
      <c r="AV394"/>
      <c r="AW394"/>
      <c r="AX394"/>
      <c r="AY394"/>
      <c r="AZ394"/>
      <c r="BA394"/>
      <c r="BB394"/>
      <c r="BC394"/>
      <c r="BD394"/>
      <c r="BE394"/>
      <c r="BF394" s="277">
        <v>-3.0043740272521973</v>
      </c>
      <c r="BG394" s="283">
        <v>42233</v>
      </c>
      <c r="BH394"/>
      <c r="BI394"/>
      <c r="BJ394"/>
      <c r="BK394"/>
      <c r="BL394" s="277">
        <v>67.527931213378906</v>
      </c>
      <c r="BM394" s="283">
        <v>42233</v>
      </c>
      <c r="BN394"/>
      <c r="BO394"/>
      <c r="BP394" s="277">
        <v>3.1880300045013428</v>
      </c>
      <c r="BQ394" s="283">
        <v>42233</v>
      </c>
      <c r="BR394" s="277">
        <v>51.551681518554688</v>
      </c>
      <c r="BS394" s="283">
        <v>42233</v>
      </c>
      <c r="BT394" s="277">
        <v>15.332521438598633</v>
      </c>
      <c r="BU394" s="283">
        <v>42233</v>
      </c>
      <c r="BV394" s="277">
        <v>11.008443832397461</v>
      </c>
      <c r="BW394" s="283">
        <v>42233</v>
      </c>
      <c r="BX394" s="277">
        <v>5.2533340454101563</v>
      </c>
      <c r="BY394" s="283">
        <v>42233</v>
      </c>
      <c r="BZ394"/>
      <c r="CB394" s="266">
        <v>2.1</v>
      </c>
      <c r="CC394"/>
      <c r="CD394" s="277">
        <v>5.0847457627118757</v>
      </c>
      <c r="CE394" s="291" t="s">
        <v>8399</v>
      </c>
      <c r="CF394"/>
      <c r="CG394"/>
      <c r="CH394">
        <v>2</v>
      </c>
      <c r="CI394">
        <v>2</v>
      </c>
      <c r="CK394"/>
      <c r="CL394"/>
      <c r="CM394" s="259">
        <v>42161</v>
      </c>
      <c r="CN394" s="137" t="s">
        <v>8406</v>
      </c>
    </row>
    <row r="395" spans="1:92">
      <c r="A395" s="258">
        <v>653</v>
      </c>
      <c r="B395" s="235">
        <v>653</v>
      </c>
      <c r="C395" s="235" t="s">
        <v>7653</v>
      </c>
      <c r="D395" s="235" t="s">
        <v>7484</v>
      </c>
      <c r="E395" s="235" t="s">
        <v>7653</v>
      </c>
      <c r="F395" s="235" t="s">
        <v>8431</v>
      </c>
      <c r="G395" s="235" t="str">
        <f t="shared" si="201"/>
        <v>Rapsodyn</v>
      </c>
      <c r="H395" s="235" t="s">
        <v>265</v>
      </c>
      <c r="I395" s="235">
        <v>2</v>
      </c>
      <c r="J395" s="235">
        <v>9037</v>
      </c>
      <c r="K395" s="235">
        <v>69</v>
      </c>
      <c r="L395" s="235">
        <f t="shared" si="208"/>
        <v>69</v>
      </c>
      <c r="M395" s="235">
        <v>9</v>
      </c>
      <c r="N395" s="235">
        <v>7</v>
      </c>
      <c r="O395" s="248">
        <v>42048</v>
      </c>
      <c r="P395">
        <v>3.5</v>
      </c>
      <c r="Q395" s="264">
        <v>42204</v>
      </c>
      <c r="R395"/>
      <c r="S395"/>
      <c r="T395"/>
      <c r="V395" s="219">
        <f t="shared" si="202"/>
        <v>9.9187367001409399</v>
      </c>
      <c r="W395" s="219"/>
      <c r="X395">
        <v>15.55</v>
      </c>
      <c r="Y395"/>
      <c r="Z395"/>
      <c r="AA395"/>
      <c r="AB395" s="220">
        <f t="shared" si="203"/>
        <v>4.1222186158445417</v>
      </c>
      <c r="AC395" s="219"/>
      <c r="AD395" s="221">
        <f t="shared" si="204"/>
        <v>38343.003442113652</v>
      </c>
      <c r="AE395" s="219"/>
      <c r="AF395" s="220">
        <f t="shared" si="205"/>
        <v>20.89693687595194</v>
      </c>
      <c r="AG395" s="219"/>
      <c r="AH395" s="220">
        <f t="shared" si="206"/>
        <v>23.432313159847432</v>
      </c>
      <c r="AI395" s="219"/>
      <c r="AJ395">
        <v>5.45</v>
      </c>
      <c r="AK395" s="284" t="s">
        <v>8403</v>
      </c>
      <c r="AL395">
        <v>175</v>
      </c>
      <c r="AM395"/>
      <c r="AN395" s="241">
        <v>70</v>
      </c>
      <c r="AO395" s="242">
        <v>42074</v>
      </c>
      <c r="AP395" s="255">
        <v>104</v>
      </c>
      <c r="AQ395" s="242">
        <v>42108</v>
      </c>
      <c r="AR395" s="223">
        <v>127</v>
      </c>
      <c r="AS395" s="297">
        <f t="shared" si="207"/>
        <v>127</v>
      </c>
      <c r="AT395" s="290">
        <v>42131</v>
      </c>
      <c r="AU395" s="298"/>
      <c r="AV395"/>
      <c r="AW395"/>
      <c r="AX395"/>
      <c r="AY395"/>
      <c r="AZ395"/>
      <c r="BA395"/>
      <c r="BB395"/>
      <c r="BC395"/>
      <c r="BD395"/>
      <c r="BE395"/>
      <c r="BF395" s="277">
        <v>-5.1573729515075684</v>
      </c>
      <c r="BG395" s="283">
        <v>42233</v>
      </c>
      <c r="BH395"/>
      <c r="BI395"/>
      <c r="BJ395"/>
      <c r="BK395"/>
      <c r="BL395" s="277">
        <v>57.515426635742188</v>
      </c>
      <c r="BM395" s="283">
        <v>42233</v>
      </c>
      <c r="BN395"/>
      <c r="BO395"/>
      <c r="BP395" s="277">
        <v>3.5927610397338867</v>
      </c>
      <c r="BQ395" s="283">
        <v>42233</v>
      </c>
      <c r="BR395" s="277">
        <v>47.46502685546875</v>
      </c>
      <c r="BS395" s="283">
        <v>42233</v>
      </c>
      <c r="BT395" s="277">
        <v>19.726425170898437</v>
      </c>
      <c r="BU395" s="283">
        <v>42233</v>
      </c>
      <c r="BV395" s="277">
        <v>27.545627593994141</v>
      </c>
      <c r="BW395" s="283">
        <v>42233</v>
      </c>
      <c r="BX395" s="277">
        <v>5.1395950317382812</v>
      </c>
      <c r="BY395" s="283">
        <v>42233</v>
      </c>
      <c r="BZ395"/>
      <c r="CB395" s="266">
        <v>1.07</v>
      </c>
      <c r="CC395"/>
      <c r="CD395" s="277">
        <v>5.2631578947368389</v>
      </c>
      <c r="CE395" s="291" t="s">
        <v>8403</v>
      </c>
      <c r="CF395"/>
      <c r="CG395"/>
      <c r="CH395">
        <v>3</v>
      </c>
      <c r="CI395">
        <v>4</v>
      </c>
      <c r="CK395"/>
      <c r="CL395">
        <v>3</v>
      </c>
      <c r="CM395" s="259">
        <v>42161</v>
      </c>
      <c r="CN395" s="137" t="s">
        <v>8406</v>
      </c>
    </row>
    <row r="396" spans="1:92">
      <c r="A396" s="258">
        <v>654</v>
      </c>
      <c r="B396" s="235">
        <v>654</v>
      </c>
      <c r="C396" s="235" t="s">
        <v>7665</v>
      </c>
      <c r="D396" s="235" t="s">
        <v>7819</v>
      </c>
      <c r="E396" s="235" t="s">
        <v>7665</v>
      </c>
      <c r="F396" s="235" t="s">
        <v>8581</v>
      </c>
      <c r="G396" s="235" t="str">
        <f t="shared" si="201"/>
        <v>Rapsodyn</v>
      </c>
      <c r="H396" s="235" t="s">
        <v>265</v>
      </c>
      <c r="I396" s="235">
        <v>2</v>
      </c>
      <c r="J396" s="235">
        <v>9048</v>
      </c>
      <c r="K396" s="235">
        <v>70</v>
      </c>
      <c r="L396" s="235">
        <f t="shared" si="208"/>
        <v>70</v>
      </c>
      <c r="M396" s="235">
        <v>9</v>
      </c>
      <c r="N396" s="236">
        <v>5</v>
      </c>
      <c r="O396" s="248">
        <v>42048</v>
      </c>
      <c r="P396">
        <v>3.85</v>
      </c>
      <c r="Q396" s="264">
        <v>42204</v>
      </c>
      <c r="R396"/>
      <c r="S396"/>
      <c r="T396"/>
      <c r="V396" s="219">
        <f t="shared" si="202"/>
        <v>11.40827543694107</v>
      </c>
      <c r="W396" s="219"/>
      <c r="X396">
        <v>15.55</v>
      </c>
      <c r="Y396"/>
      <c r="Z396"/>
      <c r="AA396"/>
      <c r="AB396" s="220">
        <f t="shared" si="203"/>
        <v>4.3964711030426518</v>
      </c>
      <c r="AC396" s="219"/>
      <c r="AD396" s="221">
        <f t="shared" si="204"/>
        <v>53654.297384200923</v>
      </c>
      <c r="AE396" s="219"/>
      <c r="AF396" s="220">
        <f t="shared" si="205"/>
        <v>23.822508038585212</v>
      </c>
      <c r="AG396" s="219"/>
      <c r="AH396" s="220">
        <f t="shared" si="206"/>
        <v>26.71283700222607</v>
      </c>
      <c r="AI396" s="219"/>
      <c r="AJ396">
        <v>4.4400000000000004</v>
      </c>
      <c r="AK396" s="284" t="s">
        <v>8403</v>
      </c>
      <c r="AL396">
        <v>150</v>
      </c>
      <c r="AM396"/>
      <c r="AN396" s="241">
        <v>79</v>
      </c>
      <c r="AO396" s="242">
        <v>42083</v>
      </c>
      <c r="AP396" s="255">
        <v>106</v>
      </c>
      <c r="AQ396" s="242">
        <v>42110</v>
      </c>
      <c r="AR396" s="223">
        <v>133</v>
      </c>
      <c r="AS396" s="297">
        <f t="shared" si="207"/>
        <v>133</v>
      </c>
      <c r="AT396" s="290">
        <v>42137</v>
      </c>
      <c r="AU396" s="298"/>
      <c r="AV396"/>
      <c r="AW396"/>
      <c r="AX396"/>
      <c r="AY396"/>
      <c r="AZ396"/>
      <c r="BA396"/>
      <c r="BB396"/>
      <c r="BC396"/>
      <c r="BD396"/>
      <c r="BE396"/>
      <c r="BF396" s="277">
        <v>-4.3739190101623535</v>
      </c>
      <c r="BG396" s="283">
        <v>42233</v>
      </c>
      <c r="BH396"/>
      <c r="BI396"/>
      <c r="BJ396"/>
      <c r="BK396"/>
      <c r="BL396" s="277">
        <v>63.653995513916016</v>
      </c>
      <c r="BM396" s="283">
        <v>42233</v>
      </c>
      <c r="BN396"/>
      <c r="BO396"/>
      <c r="BP396" s="277">
        <v>3.8441259860992432</v>
      </c>
      <c r="BQ396" s="283">
        <v>42233</v>
      </c>
      <c r="BR396" s="277">
        <v>47.888641357421875</v>
      </c>
      <c r="BS396" s="283">
        <v>42233</v>
      </c>
      <c r="BT396" s="277">
        <v>18.455114364624023</v>
      </c>
      <c r="BU396" s="283">
        <v>42233</v>
      </c>
      <c r="BV396" s="277">
        <v>13.887337684631348</v>
      </c>
      <c r="BW396" s="283">
        <v>42233</v>
      </c>
      <c r="BX396" s="277">
        <v>5.254486083984375</v>
      </c>
      <c r="BY396" s="283">
        <v>42233</v>
      </c>
      <c r="BZ396"/>
      <c r="CB396" s="266">
        <v>1.65</v>
      </c>
      <c r="CC396"/>
      <c r="CD396" s="277">
        <v>1.8181818181818119</v>
      </c>
      <c r="CE396" s="291" t="s">
        <v>8403</v>
      </c>
      <c r="CF396"/>
      <c r="CG396"/>
      <c r="CH396">
        <v>3</v>
      </c>
      <c r="CI396">
        <v>2</v>
      </c>
      <c r="CK396"/>
      <c r="CL396"/>
      <c r="CM396" s="259">
        <v>42161</v>
      </c>
      <c r="CN396" s="137" t="s">
        <v>8406</v>
      </c>
    </row>
    <row r="397" spans="1:92">
      <c r="A397" s="258">
        <v>655</v>
      </c>
      <c r="B397" s="235">
        <v>655</v>
      </c>
      <c r="C397" s="235" t="s">
        <v>7576</v>
      </c>
      <c r="D397" s="235"/>
      <c r="E397" s="235"/>
      <c r="F397" s="235"/>
      <c r="G397" s="235"/>
      <c r="H397" s="235" t="s">
        <v>265</v>
      </c>
      <c r="I397" s="235">
        <v>2</v>
      </c>
      <c r="K397" s="235">
        <v>71</v>
      </c>
      <c r="L397" s="235">
        <f t="shared" si="208"/>
        <v>71</v>
      </c>
      <c r="M397" s="235">
        <v>9</v>
      </c>
      <c r="O397" s="248">
        <v>42048</v>
      </c>
      <c r="P397"/>
      <c r="Q397" s="174"/>
      <c r="R397"/>
      <c r="S397"/>
      <c r="T397"/>
      <c r="V397" s="219"/>
      <c r="W397" s="219"/>
      <c r="X397">
        <v>15.55</v>
      </c>
      <c r="Y397"/>
      <c r="Z397"/>
      <c r="AA397"/>
      <c r="AB397" s="220"/>
      <c r="AC397" s="219"/>
      <c r="AD397" s="221"/>
      <c r="AE397" s="219"/>
      <c r="AF397" s="220"/>
      <c r="AG397" s="219"/>
      <c r="AH397" s="220"/>
      <c r="AI397" s="219"/>
      <c r="AJ397" s="286"/>
      <c r="AK397" s="284"/>
      <c r="AL397"/>
      <c r="AM397"/>
      <c r="AN397" s="241">
        <v>70</v>
      </c>
      <c r="AO397" s="242">
        <v>42074</v>
      </c>
      <c r="AP397" s="255">
        <v>104</v>
      </c>
      <c r="AQ397" s="242">
        <v>42108</v>
      </c>
      <c r="AR397"/>
      <c r="AS397" s="297"/>
      <c r="AT397" s="290"/>
      <c r="AU397" s="298"/>
      <c r="AV397"/>
      <c r="AW397"/>
      <c r="AX397"/>
      <c r="AY397"/>
      <c r="AZ397"/>
      <c r="BA397"/>
      <c r="BB397"/>
      <c r="BC397"/>
      <c r="BD397"/>
      <c r="BE397"/>
      <c r="BF397" s="277"/>
      <c r="BG397" s="235"/>
      <c r="BH397"/>
      <c r="BI397"/>
      <c r="BJ397"/>
      <c r="BK397"/>
      <c r="BL397" s="277"/>
      <c r="BM397" s="235"/>
      <c r="BN397"/>
      <c r="BO397"/>
      <c r="BP397" s="277"/>
      <c r="BQ397" s="235"/>
      <c r="BR397" s="277"/>
      <c r="BS397" s="235"/>
      <c r="BT397" s="277"/>
      <c r="BU397" s="235"/>
      <c r="BV397" s="277"/>
      <c r="BW397" s="235"/>
      <c r="BX397" s="277"/>
      <c r="BY397" s="235"/>
      <c r="BZ397"/>
      <c r="CB397" s="266"/>
      <c r="CC397"/>
      <c r="CD397" s="277"/>
      <c r="CE397" s="291"/>
      <c r="CF397"/>
      <c r="CG397"/>
      <c r="CH397"/>
      <c r="CI397"/>
      <c r="CK397"/>
      <c r="CL397"/>
      <c r="CM397" s="259">
        <v>42161</v>
      </c>
    </row>
    <row r="398" spans="1:92">
      <c r="A398" s="258">
        <v>656</v>
      </c>
      <c r="B398" s="235">
        <v>656</v>
      </c>
      <c r="C398" s="235" t="s">
        <v>7576</v>
      </c>
      <c r="D398" s="235"/>
      <c r="E398" s="235"/>
      <c r="F398" s="235"/>
      <c r="G398" s="235"/>
      <c r="H398" s="235" t="s">
        <v>265</v>
      </c>
      <c r="I398" s="235">
        <v>2</v>
      </c>
      <c r="K398" s="235">
        <v>72</v>
      </c>
      <c r="L398" s="235">
        <f t="shared" si="208"/>
        <v>72</v>
      </c>
      <c r="M398" s="235">
        <v>9</v>
      </c>
      <c r="O398" s="248">
        <v>42048</v>
      </c>
      <c r="P398"/>
      <c r="Q398" s="174"/>
      <c r="R398"/>
      <c r="S398"/>
      <c r="T398"/>
      <c r="V398" s="219"/>
      <c r="W398" s="219"/>
      <c r="X398">
        <v>15.55</v>
      </c>
      <c r="Y398"/>
      <c r="Z398"/>
      <c r="AA398"/>
      <c r="AB398" s="220"/>
      <c r="AC398" s="219"/>
      <c r="AD398" s="221"/>
      <c r="AE398" s="219"/>
      <c r="AF398" s="220"/>
      <c r="AG398" s="219"/>
      <c r="AH398" s="220"/>
      <c r="AI398" s="219"/>
      <c r="AJ398" s="286"/>
      <c r="AK398" s="284"/>
      <c r="AL398"/>
      <c r="AM398"/>
      <c r="AN398" s="241">
        <v>70</v>
      </c>
      <c r="AO398" s="242">
        <v>42074</v>
      </c>
      <c r="AP398" s="255">
        <v>104</v>
      </c>
      <c r="AQ398" s="242">
        <v>42108</v>
      </c>
      <c r="AR398"/>
      <c r="AS398" s="297"/>
      <c r="AT398" s="290"/>
      <c r="AU398" s="298"/>
      <c r="AV398"/>
      <c r="AW398"/>
      <c r="AX398"/>
      <c r="AY398"/>
      <c r="AZ398"/>
      <c r="BA398"/>
      <c r="BB398"/>
      <c r="BC398"/>
      <c r="BD398"/>
      <c r="BE398"/>
      <c r="BF398" s="277"/>
      <c r="BG398" s="235"/>
      <c r="BH398"/>
      <c r="BI398"/>
      <c r="BJ398"/>
      <c r="BK398"/>
      <c r="BL398" s="277"/>
      <c r="BM398" s="235"/>
      <c r="BN398"/>
      <c r="BO398"/>
      <c r="BP398" s="277"/>
      <c r="BQ398" s="235"/>
      <c r="BR398" s="277"/>
      <c r="BS398" s="235"/>
      <c r="BT398" s="277"/>
      <c r="BU398" s="235"/>
      <c r="BV398" s="277"/>
      <c r="BW398" s="235"/>
      <c r="BX398" s="277"/>
      <c r="BY398" s="235"/>
      <c r="BZ398"/>
      <c r="CB398" s="266"/>
      <c r="CC398"/>
      <c r="CD398" s="277"/>
      <c r="CE398" s="291"/>
      <c r="CF398"/>
      <c r="CG398"/>
      <c r="CH398"/>
      <c r="CI398"/>
      <c r="CK398"/>
      <c r="CL398"/>
      <c r="CM398" s="259">
        <v>42161</v>
      </c>
    </row>
    <row r="399" spans="1:92">
      <c r="A399" s="258">
        <v>657</v>
      </c>
      <c r="B399" s="235">
        <v>657</v>
      </c>
      <c r="C399" s="235" t="s">
        <v>7576</v>
      </c>
      <c r="D399" s="235"/>
      <c r="E399" s="235"/>
      <c r="F399" s="235"/>
      <c r="G399" s="235"/>
      <c r="H399" s="235" t="s">
        <v>265</v>
      </c>
      <c r="I399" s="235">
        <v>2</v>
      </c>
      <c r="K399" s="235">
        <v>73</v>
      </c>
      <c r="L399" s="235">
        <f t="shared" si="208"/>
        <v>73</v>
      </c>
      <c r="M399" s="235">
        <v>9</v>
      </c>
      <c r="O399" s="248">
        <v>42048</v>
      </c>
      <c r="P399"/>
      <c r="Q399" s="174"/>
      <c r="R399"/>
      <c r="S399"/>
      <c r="T399"/>
      <c r="V399" s="219"/>
      <c r="W399" s="219"/>
      <c r="X399">
        <v>15.55</v>
      </c>
      <c r="Y399"/>
      <c r="Z399"/>
      <c r="AA399"/>
      <c r="AB399" s="220"/>
      <c r="AC399" s="219"/>
      <c r="AD399" s="221"/>
      <c r="AE399" s="219"/>
      <c r="AF399" s="220"/>
      <c r="AG399" s="219"/>
      <c r="AH399" s="220"/>
      <c r="AI399" s="219"/>
      <c r="AJ399" s="286"/>
      <c r="AK399" s="284"/>
      <c r="AL399"/>
      <c r="AM399"/>
      <c r="AN399" s="241">
        <v>70</v>
      </c>
      <c r="AO399" s="242">
        <v>42074</v>
      </c>
      <c r="AP399" s="255">
        <v>104</v>
      </c>
      <c r="AQ399" s="242">
        <v>42108</v>
      </c>
      <c r="AR399"/>
      <c r="AS399" s="297"/>
      <c r="AT399" s="290"/>
      <c r="AU399" s="298"/>
      <c r="AV399"/>
      <c r="AW399"/>
      <c r="AX399"/>
      <c r="AY399"/>
      <c r="AZ399"/>
      <c r="BA399"/>
      <c r="BB399"/>
      <c r="BC399"/>
      <c r="BD399"/>
      <c r="BE399"/>
      <c r="BF399" s="277"/>
      <c r="BG399" s="235"/>
      <c r="BH399"/>
      <c r="BI399"/>
      <c r="BJ399"/>
      <c r="BK399"/>
      <c r="BL399" s="277"/>
      <c r="BM399" s="235"/>
      <c r="BN399"/>
      <c r="BO399"/>
      <c r="BP399" s="277"/>
      <c r="BQ399" s="235"/>
      <c r="BR399" s="277"/>
      <c r="BS399" s="235"/>
      <c r="BT399" s="277"/>
      <c r="BU399" s="235"/>
      <c r="BV399" s="277"/>
      <c r="BW399" s="235"/>
      <c r="BX399" s="277"/>
      <c r="BY399" s="235"/>
      <c r="BZ399"/>
      <c r="CB399" s="266"/>
      <c r="CC399"/>
      <c r="CD399" s="277"/>
      <c r="CE399" s="291"/>
      <c r="CF399"/>
      <c r="CG399"/>
      <c r="CH399"/>
      <c r="CI399"/>
      <c r="CK399"/>
      <c r="CL399"/>
      <c r="CM399" s="259">
        <v>42161</v>
      </c>
    </row>
    <row r="400" spans="1:92">
      <c r="A400" s="258">
        <v>658</v>
      </c>
      <c r="B400" s="235">
        <v>658</v>
      </c>
      <c r="C400" s="235" t="s">
        <v>7576</v>
      </c>
      <c r="D400" s="235"/>
      <c r="E400" s="235"/>
      <c r="F400" s="235"/>
      <c r="G400" s="235"/>
      <c r="H400" s="235" t="s">
        <v>265</v>
      </c>
      <c r="I400" s="235">
        <v>2</v>
      </c>
      <c r="K400" s="235">
        <v>73</v>
      </c>
      <c r="L400" s="235">
        <f t="shared" si="208"/>
        <v>73</v>
      </c>
      <c r="M400" s="235">
        <v>10</v>
      </c>
      <c r="O400" s="248">
        <v>42048</v>
      </c>
      <c r="P400" s="223"/>
      <c r="Q400" s="262"/>
      <c r="R400" s="223"/>
      <c r="S400" s="223"/>
      <c r="T400" s="223"/>
      <c r="U400" s="225"/>
      <c r="V400" s="219"/>
      <c r="W400" s="224"/>
      <c r="X400">
        <v>15.55</v>
      </c>
      <c r="Y400" s="223"/>
      <c r="Z400" s="223"/>
      <c r="AA400" s="223"/>
      <c r="AB400" s="220"/>
      <c r="AC400" s="224"/>
      <c r="AD400" s="221"/>
      <c r="AE400" s="224"/>
      <c r="AF400" s="220"/>
      <c r="AG400" s="224"/>
      <c r="AH400" s="220"/>
      <c r="AI400" s="224"/>
      <c r="AJ400" s="286"/>
      <c r="AK400" s="290"/>
      <c r="AL400" s="223"/>
      <c r="AM400" s="223"/>
      <c r="AN400" s="241">
        <v>70</v>
      </c>
      <c r="AO400" s="242">
        <v>42074</v>
      </c>
      <c r="AP400" s="255">
        <v>104</v>
      </c>
      <c r="AQ400" s="242">
        <v>42108</v>
      </c>
      <c r="AR400" s="223"/>
      <c r="AS400" s="297"/>
      <c r="AT400" s="290"/>
      <c r="AU400" s="298"/>
      <c r="AV400" s="223"/>
      <c r="AW400" s="223"/>
      <c r="AX400" s="223"/>
      <c r="AY400" s="223"/>
      <c r="AZ400" s="223"/>
      <c r="BA400" s="223"/>
      <c r="BB400" s="223"/>
      <c r="BC400" s="223"/>
      <c r="BD400" s="223"/>
      <c r="BE400" s="223"/>
      <c r="BF400" s="281"/>
      <c r="BG400" s="235"/>
      <c r="BH400" s="223"/>
      <c r="BI400" s="223"/>
      <c r="BJ400" s="223"/>
      <c r="BK400" s="223"/>
      <c r="BL400" s="281"/>
      <c r="BM400" s="235"/>
      <c r="BN400" s="223"/>
      <c r="BO400" s="223"/>
      <c r="BP400" s="281"/>
      <c r="BQ400" s="235"/>
      <c r="BR400" s="281"/>
      <c r="BS400" s="235"/>
      <c r="BT400" s="281"/>
      <c r="BU400" s="235"/>
      <c r="BV400" s="281"/>
      <c r="BW400" s="235"/>
      <c r="BX400" s="281"/>
      <c r="BY400" s="235"/>
      <c r="BZ400" s="223"/>
      <c r="CA400" s="226"/>
      <c r="CB400" s="266"/>
      <c r="CC400" s="223"/>
      <c r="CD400" s="281"/>
      <c r="CE400" s="291"/>
      <c r="CF400" s="223"/>
      <c r="CG400" s="223"/>
      <c r="CH400" s="223"/>
      <c r="CI400" s="223"/>
      <c r="CK400" s="223"/>
      <c r="CL400" s="223"/>
      <c r="CM400" s="259">
        <v>42161</v>
      </c>
    </row>
    <row r="401" spans="1:92">
      <c r="A401" s="258">
        <v>659</v>
      </c>
      <c r="B401" s="235">
        <v>659</v>
      </c>
      <c r="C401" s="235" t="s">
        <v>7576</v>
      </c>
      <c r="D401" s="235"/>
      <c r="E401" s="235"/>
      <c r="F401" s="235"/>
      <c r="G401" s="235"/>
      <c r="H401" s="235" t="s">
        <v>265</v>
      </c>
      <c r="I401" s="235">
        <v>2</v>
      </c>
      <c r="K401" s="235">
        <v>72</v>
      </c>
      <c r="L401" s="235">
        <f t="shared" si="208"/>
        <v>72</v>
      </c>
      <c r="M401" s="235">
        <v>10</v>
      </c>
      <c r="O401" s="248">
        <v>42048</v>
      </c>
      <c r="P401"/>
      <c r="Q401" s="174"/>
      <c r="R401"/>
      <c r="S401"/>
      <c r="T401"/>
      <c r="V401" s="219"/>
      <c r="W401" s="219"/>
      <c r="X401">
        <v>15.55</v>
      </c>
      <c r="Y401"/>
      <c r="Z401"/>
      <c r="AA401"/>
      <c r="AB401" s="220"/>
      <c r="AC401" s="219"/>
      <c r="AD401" s="221"/>
      <c r="AE401" s="219"/>
      <c r="AF401" s="220"/>
      <c r="AG401" s="219"/>
      <c r="AH401" s="220"/>
      <c r="AI401" s="219"/>
      <c r="AJ401" s="286"/>
      <c r="AK401" s="284"/>
      <c r="AL401"/>
      <c r="AM401"/>
      <c r="AN401" s="241">
        <v>70</v>
      </c>
      <c r="AO401" s="242">
        <v>42074</v>
      </c>
      <c r="AP401" s="255">
        <v>104</v>
      </c>
      <c r="AQ401" s="242">
        <v>42108</v>
      </c>
      <c r="AR401"/>
      <c r="AS401" s="297"/>
      <c r="AT401" s="290"/>
      <c r="AU401" s="298"/>
      <c r="AV401"/>
      <c r="AW401"/>
      <c r="AX401"/>
      <c r="AY401"/>
      <c r="AZ401"/>
      <c r="BA401"/>
      <c r="BB401"/>
      <c r="BC401"/>
      <c r="BD401"/>
      <c r="BE401"/>
      <c r="BF401" s="277"/>
      <c r="BG401" s="235"/>
      <c r="BH401"/>
      <c r="BI401"/>
      <c r="BJ401"/>
      <c r="BK401"/>
      <c r="BL401" s="277"/>
      <c r="BM401" s="235"/>
      <c r="BN401"/>
      <c r="BO401"/>
      <c r="BP401" s="277"/>
      <c r="BQ401" s="235"/>
      <c r="BR401" s="277"/>
      <c r="BS401" s="235"/>
      <c r="BT401" s="277"/>
      <c r="BU401" s="235"/>
      <c r="BV401" s="277"/>
      <c r="BW401" s="235"/>
      <c r="BX401" s="277"/>
      <c r="BY401" s="235"/>
      <c r="BZ401"/>
      <c r="CB401" s="266"/>
      <c r="CC401"/>
      <c r="CD401" s="277"/>
      <c r="CE401" s="291"/>
      <c r="CF401"/>
      <c r="CG401"/>
      <c r="CH401"/>
      <c r="CI401"/>
      <c r="CK401"/>
      <c r="CL401"/>
      <c r="CM401" s="259">
        <v>42161</v>
      </c>
    </row>
    <row r="402" spans="1:92">
      <c r="A402" s="258">
        <v>660</v>
      </c>
      <c r="B402" s="235">
        <v>660</v>
      </c>
      <c r="C402" s="235" t="s">
        <v>7576</v>
      </c>
      <c r="D402" s="235"/>
      <c r="E402" s="235"/>
      <c r="F402" s="235"/>
      <c r="G402" s="235"/>
      <c r="H402" s="235" t="s">
        <v>265</v>
      </c>
      <c r="I402" s="235">
        <v>2</v>
      </c>
      <c r="K402" s="235">
        <v>71</v>
      </c>
      <c r="L402" s="235">
        <f t="shared" si="208"/>
        <v>71</v>
      </c>
      <c r="M402" s="235">
        <v>10</v>
      </c>
      <c r="O402" s="248">
        <v>42048</v>
      </c>
      <c r="P402"/>
      <c r="Q402" s="174"/>
      <c r="R402"/>
      <c r="S402"/>
      <c r="T402"/>
      <c r="V402" s="219"/>
      <c r="W402" s="219"/>
      <c r="X402">
        <v>15.55</v>
      </c>
      <c r="Y402"/>
      <c r="Z402"/>
      <c r="AA402"/>
      <c r="AB402" s="220"/>
      <c r="AC402" s="219"/>
      <c r="AD402" s="221"/>
      <c r="AE402" s="219"/>
      <c r="AF402" s="220"/>
      <c r="AG402" s="219"/>
      <c r="AH402" s="220"/>
      <c r="AI402" s="219"/>
      <c r="AJ402" s="286"/>
      <c r="AK402" s="284"/>
      <c r="AL402"/>
      <c r="AM402"/>
      <c r="AN402" s="241">
        <v>70</v>
      </c>
      <c r="AO402" s="242">
        <v>42074</v>
      </c>
      <c r="AP402" s="255">
        <v>104</v>
      </c>
      <c r="AQ402" s="242">
        <v>42108</v>
      </c>
      <c r="AR402"/>
      <c r="AS402" s="297"/>
      <c r="AT402" s="290"/>
      <c r="AU402" s="298"/>
      <c r="AV402"/>
      <c r="AW402"/>
      <c r="AX402"/>
      <c r="AY402"/>
      <c r="AZ402"/>
      <c r="BA402"/>
      <c r="BB402"/>
      <c r="BC402"/>
      <c r="BD402"/>
      <c r="BE402"/>
      <c r="BF402" s="277"/>
      <c r="BG402" s="235"/>
      <c r="BH402"/>
      <c r="BI402"/>
      <c r="BJ402"/>
      <c r="BK402"/>
      <c r="BL402" s="277"/>
      <c r="BM402" s="235"/>
      <c r="BN402"/>
      <c r="BO402"/>
      <c r="BP402" s="277"/>
      <c r="BQ402" s="235"/>
      <c r="BR402" s="277"/>
      <c r="BS402" s="235"/>
      <c r="BT402" s="277"/>
      <c r="BU402" s="235"/>
      <c r="BV402" s="277"/>
      <c r="BW402" s="235"/>
      <c r="BX402" s="277"/>
      <c r="BY402" s="235"/>
      <c r="BZ402"/>
      <c r="CB402" s="266"/>
      <c r="CC402"/>
      <c r="CD402" s="277"/>
      <c r="CE402" s="291"/>
      <c r="CF402"/>
      <c r="CG402"/>
      <c r="CH402"/>
      <c r="CI402"/>
      <c r="CK402"/>
      <c r="CL402"/>
      <c r="CM402" s="259">
        <v>42161</v>
      </c>
    </row>
    <row r="403" spans="1:92">
      <c r="A403" s="258">
        <v>661</v>
      </c>
      <c r="B403" s="235">
        <v>661</v>
      </c>
      <c r="C403" s="235" t="s">
        <v>7720</v>
      </c>
      <c r="D403" s="235" t="s">
        <v>7544</v>
      </c>
      <c r="E403" s="235" t="s">
        <v>7720</v>
      </c>
      <c r="F403" s="235" t="s">
        <v>8625</v>
      </c>
      <c r="G403" s="235" t="str">
        <f t="shared" ref="G403:G413" si="209">IF(MID(C403,1,3)="BGA","Complement","Rapsodyn")</f>
        <v>Rapsodyn</v>
      </c>
      <c r="H403" s="235" t="s">
        <v>265</v>
      </c>
      <c r="I403" s="235">
        <v>2</v>
      </c>
      <c r="J403" s="235">
        <v>9102</v>
      </c>
      <c r="K403" s="235">
        <v>70</v>
      </c>
      <c r="L403" s="235">
        <f t="shared" si="208"/>
        <v>70</v>
      </c>
      <c r="M403" s="235">
        <v>10</v>
      </c>
      <c r="N403" s="235">
        <v>7</v>
      </c>
      <c r="O403" s="248">
        <v>42048</v>
      </c>
      <c r="P403">
        <v>4.7</v>
      </c>
      <c r="Q403" s="264">
        <v>42204</v>
      </c>
      <c r="R403"/>
      <c r="S403"/>
      <c r="T403"/>
      <c r="V403" s="219">
        <f t="shared" ref="V403:V413" si="210">+BR403*AF403/100</f>
        <v>14.986280467749431</v>
      </c>
      <c r="W403" s="219"/>
      <c r="X403">
        <v>15.55</v>
      </c>
      <c r="Y403"/>
      <c r="Z403"/>
      <c r="AA403"/>
      <c r="AB403" s="220">
        <f t="shared" ref="AB403:AB413" si="211">+AF403*BT403/100</f>
        <v>4.2362483529567942</v>
      </c>
      <c r="AC403" s="219"/>
      <c r="AD403" s="221">
        <f t="shared" ref="AD403:AD413" si="212">+(AF403/AJ403)*10000</f>
        <v>56221.004640328239</v>
      </c>
      <c r="AE403" s="219"/>
      <c r="AF403" s="220">
        <f t="shared" ref="AF403:AF413" si="213">($P403/$X403)*(((100-$CD403)/100*(100-2)/100))*100</f>
        <v>28.616491361927075</v>
      </c>
      <c r="AG403" s="219"/>
      <c r="AH403" s="220">
        <f t="shared" ref="AH403:AH413" si="214">($P403/$X403)*(((100-$CD403)/(100-9)*(100-2)/(100-2))*100)</f>
        <v>32.088463065628034</v>
      </c>
      <c r="AI403" s="219"/>
      <c r="AJ403">
        <v>5.09</v>
      </c>
      <c r="AK403" s="284" t="s">
        <v>8403</v>
      </c>
      <c r="AL403">
        <v>155</v>
      </c>
      <c r="AM403"/>
      <c r="AN403" s="241">
        <v>70</v>
      </c>
      <c r="AO403" s="242">
        <v>42074</v>
      </c>
      <c r="AP403" s="255">
        <v>104</v>
      </c>
      <c r="AQ403" s="242">
        <v>42108</v>
      </c>
      <c r="AR403">
        <v>131</v>
      </c>
      <c r="AS403" s="297">
        <f t="shared" ref="AS403:AS413" si="215">IF(AR403=0,,AR403)</f>
        <v>131</v>
      </c>
      <c r="AT403" s="290">
        <v>42135</v>
      </c>
      <c r="AU403" s="298"/>
      <c r="AV403"/>
      <c r="AW403"/>
      <c r="AX403"/>
      <c r="AY403"/>
      <c r="AZ403"/>
      <c r="BA403"/>
      <c r="BB403"/>
      <c r="BC403"/>
      <c r="BD403"/>
      <c r="BE403"/>
      <c r="BF403" s="277">
        <v>0.58933299779891968</v>
      </c>
      <c r="BG403" s="283">
        <v>42233</v>
      </c>
      <c r="BH403"/>
      <c r="BI403"/>
      <c r="BJ403"/>
      <c r="BK403"/>
      <c r="BL403" s="277">
        <v>65.092742919921875</v>
      </c>
      <c r="BM403" s="283">
        <v>42233</v>
      </c>
      <c r="BN403"/>
      <c r="BO403"/>
      <c r="BP403" s="277">
        <v>3.4713549613952637</v>
      </c>
      <c r="BQ403" s="283">
        <v>42233</v>
      </c>
      <c r="BR403" s="277">
        <v>52.369384765625</v>
      </c>
      <c r="BS403" s="283">
        <v>42233</v>
      </c>
      <c r="BT403" s="277">
        <v>14.803521156311035</v>
      </c>
      <c r="BU403" s="283">
        <v>42233</v>
      </c>
      <c r="BV403" s="277">
        <v>17.001749038696289</v>
      </c>
      <c r="BW403" s="283">
        <v>42233</v>
      </c>
      <c r="BX403" s="277">
        <v>5.0931320190429687</v>
      </c>
      <c r="BY403" s="283">
        <v>42233</v>
      </c>
      <c r="BZ403"/>
      <c r="CB403" s="266">
        <v>2.62</v>
      </c>
      <c r="CC403"/>
      <c r="CD403" s="277">
        <v>3.3898305084745792</v>
      </c>
      <c r="CE403" s="291" t="s">
        <v>8403</v>
      </c>
      <c r="CF403"/>
      <c r="CG403"/>
      <c r="CH403">
        <v>2</v>
      </c>
      <c r="CI403">
        <v>3</v>
      </c>
      <c r="CK403"/>
      <c r="CL403">
        <v>2</v>
      </c>
      <c r="CM403" s="259">
        <v>42161</v>
      </c>
      <c r="CN403" s="137" t="s">
        <v>8406</v>
      </c>
    </row>
    <row r="404" spans="1:92">
      <c r="A404" s="258">
        <v>663</v>
      </c>
      <c r="B404" s="235">
        <v>663</v>
      </c>
      <c r="C404" s="240" t="s">
        <v>7789</v>
      </c>
      <c r="D404" s="240" t="s">
        <v>7587</v>
      </c>
      <c r="E404" s="240" t="s">
        <v>7789</v>
      </c>
      <c r="F404" s="240" t="s">
        <v>8541</v>
      </c>
      <c r="G404" s="235" t="str">
        <f t="shared" si="209"/>
        <v>Rapsodyn</v>
      </c>
      <c r="H404" s="235" t="s">
        <v>265</v>
      </c>
      <c r="I404" s="235">
        <v>2</v>
      </c>
      <c r="J404" s="240">
        <v>9160</v>
      </c>
      <c r="K404" s="240">
        <v>68</v>
      </c>
      <c r="L404" s="235">
        <f t="shared" si="208"/>
        <v>68</v>
      </c>
      <c r="M404" s="240">
        <v>10</v>
      </c>
      <c r="N404" s="235">
        <v>7</v>
      </c>
      <c r="O404" s="248">
        <v>42048</v>
      </c>
      <c r="P404">
        <v>5.05</v>
      </c>
      <c r="Q404" s="264">
        <v>42204</v>
      </c>
      <c r="R404"/>
      <c r="S404"/>
      <c r="T404"/>
      <c r="V404" s="219">
        <f t="shared" si="210"/>
        <v>15.861108170945798</v>
      </c>
      <c r="W404" s="219"/>
      <c r="X404">
        <v>15.55</v>
      </c>
      <c r="Y404"/>
      <c r="Z404"/>
      <c r="AA404"/>
      <c r="AB404" s="220">
        <f t="shared" si="211"/>
        <v>4.5729557532623595</v>
      </c>
      <c r="AC404" s="219"/>
      <c r="AD404" s="221">
        <f t="shared" si="212"/>
        <v>55355.865716314089</v>
      </c>
      <c r="AE404" s="219"/>
      <c r="AF404" s="220">
        <f t="shared" si="213"/>
        <v>30.05823508395855</v>
      </c>
      <c r="AG404" s="219"/>
      <c r="AH404" s="220">
        <f t="shared" si="214"/>
        <v>33.705130168152671</v>
      </c>
      <c r="AI404" s="219"/>
      <c r="AJ404">
        <v>5.43</v>
      </c>
      <c r="AK404" s="284" t="s">
        <v>8399</v>
      </c>
      <c r="AL404">
        <v>175</v>
      </c>
      <c r="AM404"/>
      <c r="AN404" s="241">
        <v>63</v>
      </c>
      <c r="AO404" s="245">
        <v>42067</v>
      </c>
      <c r="AP404" s="255">
        <v>104</v>
      </c>
      <c r="AQ404" s="242">
        <v>42108</v>
      </c>
      <c r="AR404">
        <v>125</v>
      </c>
      <c r="AS404" s="297">
        <f t="shared" si="215"/>
        <v>125</v>
      </c>
      <c r="AT404" s="290">
        <v>42129</v>
      </c>
      <c r="AU404" s="298"/>
      <c r="AV404"/>
      <c r="AW404"/>
      <c r="AX404"/>
      <c r="AY404"/>
      <c r="AZ404"/>
      <c r="BA404"/>
      <c r="BB404"/>
      <c r="BC404"/>
      <c r="BD404"/>
      <c r="BE404"/>
      <c r="BF404" s="277">
        <v>0.18282300233840942</v>
      </c>
      <c r="BG404" s="283">
        <v>42233</v>
      </c>
      <c r="BH404"/>
      <c r="BI404"/>
      <c r="BJ404"/>
      <c r="BK404"/>
      <c r="BL404" s="277">
        <v>65.354705810546875</v>
      </c>
      <c r="BM404" s="283">
        <v>42233</v>
      </c>
      <c r="BN404"/>
      <c r="BO404"/>
      <c r="BP404" s="277">
        <v>3.1674439907073975</v>
      </c>
      <c r="BQ404" s="283">
        <v>42233</v>
      </c>
      <c r="BR404" s="277">
        <v>52.767929077148438</v>
      </c>
      <c r="BS404" s="283">
        <v>42233</v>
      </c>
      <c r="BT404" s="277">
        <v>15.213653564453125</v>
      </c>
      <c r="BU404" s="283">
        <v>42233</v>
      </c>
      <c r="BV404" s="277">
        <v>15.373859405517578</v>
      </c>
      <c r="BW404" s="283">
        <v>42233</v>
      </c>
      <c r="BX404" s="277">
        <v>5.1732101440429687</v>
      </c>
      <c r="BY404" s="283">
        <v>42233</v>
      </c>
      <c r="BZ404"/>
      <c r="CB404" s="266">
        <v>2.6</v>
      </c>
      <c r="CC404"/>
      <c r="CD404" s="277">
        <v>5.5555555555555687</v>
      </c>
      <c r="CE404" s="291" t="s">
        <v>8399</v>
      </c>
      <c r="CF404"/>
      <c r="CG404"/>
      <c r="CH404">
        <v>3</v>
      </c>
      <c r="CI404">
        <v>2</v>
      </c>
      <c r="CK404"/>
      <c r="CL404"/>
      <c r="CM404" s="259">
        <v>42161</v>
      </c>
      <c r="CN404" s="137" t="s">
        <v>8406</v>
      </c>
    </row>
    <row r="405" spans="1:92">
      <c r="A405" s="258">
        <v>664</v>
      </c>
      <c r="B405" s="235">
        <v>664</v>
      </c>
      <c r="C405" s="235" t="s">
        <v>7755</v>
      </c>
      <c r="D405" s="235" t="s">
        <v>7563</v>
      </c>
      <c r="E405" s="235" t="s">
        <v>7755</v>
      </c>
      <c r="F405" s="235" t="s">
        <v>8601</v>
      </c>
      <c r="G405" s="235" t="str">
        <f t="shared" si="209"/>
        <v>Rapsodyn</v>
      </c>
      <c r="H405" s="235" t="s">
        <v>265</v>
      </c>
      <c r="I405" s="235">
        <v>2</v>
      </c>
      <c r="J405" s="235">
        <v>9127</v>
      </c>
      <c r="K405" s="235">
        <v>67</v>
      </c>
      <c r="L405" s="235">
        <f t="shared" si="208"/>
        <v>67</v>
      </c>
      <c r="M405" s="235">
        <v>10</v>
      </c>
      <c r="N405" s="235">
        <v>7</v>
      </c>
      <c r="O405" s="248">
        <v>42048</v>
      </c>
      <c r="P405">
        <v>4.3499999999999996</v>
      </c>
      <c r="Q405" s="264">
        <v>42204</v>
      </c>
      <c r="R405"/>
      <c r="S405"/>
      <c r="T405"/>
      <c r="V405" s="219">
        <f t="shared" si="210"/>
        <v>13.267247233314144</v>
      </c>
      <c r="W405" s="219"/>
      <c r="X405">
        <v>15.55</v>
      </c>
      <c r="Y405"/>
      <c r="Z405"/>
      <c r="AA405"/>
      <c r="AB405" s="220">
        <f t="shared" si="211"/>
        <v>4.296971386912551</v>
      </c>
      <c r="AC405" s="219"/>
      <c r="AD405" s="221">
        <f t="shared" si="212"/>
        <v>53830.169043775262</v>
      </c>
      <c r="AE405" s="219"/>
      <c r="AF405" s="220">
        <f t="shared" si="213"/>
        <v>25.946141479099676</v>
      </c>
      <c r="AG405" s="219"/>
      <c r="AH405" s="220">
        <f t="shared" si="214"/>
        <v>29.094125901659201</v>
      </c>
      <c r="AI405" s="219"/>
      <c r="AJ405">
        <v>4.82</v>
      </c>
      <c r="AK405" s="284" t="s">
        <v>8399</v>
      </c>
      <c r="AL405">
        <v>165</v>
      </c>
      <c r="AM405"/>
      <c r="AN405" s="241">
        <v>72</v>
      </c>
      <c r="AO405" s="242">
        <v>42076</v>
      </c>
      <c r="AP405" s="255">
        <v>106</v>
      </c>
      <c r="AQ405" s="242">
        <v>42110</v>
      </c>
      <c r="AR405">
        <v>133</v>
      </c>
      <c r="AS405" s="297">
        <f t="shared" si="215"/>
        <v>133</v>
      </c>
      <c r="AT405" s="290">
        <v>42137</v>
      </c>
      <c r="AU405" s="298"/>
      <c r="AV405"/>
      <c r="AW405"/>
      <c r="AX405"/>
      <c r="AY405"/>
      <c r="AZ405"/>
      <c r="BA405"/>
      <c r="BB405"/>
      <c r="BC405"/>
      <c r="BD405"/>
      <c r="BE405"/>
      <c r="BF405" s="277">
        <v>-3.9609699249267578</v>
      </c>
      <c r="BG405" s="283">
        <v>42233</v>
      </c>
      <c r="BH405"/>
      <c r="BI405"/>
      <c r="BJ405"/>
      <c r="BK405"/>
      <c r="BL405" s="277">
        <v>62.271873474121094</v>
      </c>
      <c r="BM405" s="283">
        <v>42233</v>
      </c>
      <c r="BN405"/>
      <c r="BO405"/>
      <c r="BP405" s="277">
        <v>3.5726981163024902</v>
      </c>
      <c r="BQ405" s="283">
        <v>42233</v>
      </c>
      <c r="BR405" s="277">
        <v>51.133796691894531</v>
      </c>
      <c r="BS405" s="283">
        <v>42233</v>
      </c>
      <c r="BT405" s="277">
        <v>16.561119079589844</v>
      </c>
      <c r="BU405" s="283">
        <v>42233</v>
      </c>
      <c r="BV405" s="277">
        <v>63.096351623535156</v>
      </c>
      <c r="BW405" s="283">
        <v>42233</v>
      </c>
      <c r="BX405" s="277">
        <v>5.33587646484375</v>
      </c>
      <c r="BY405" s="283">
        <v>42233</v>
      </c>
      <c r="BZ405"/>
      <c r="CB405" s="266">
        <v>2.62</v>
      </c>
      <c r="CC405"/>
      <c r="CD405" s="277">
        <v>5.3571428571428541</v>
      </c>
      <c r="CE405" s="291" t="s">
        <v>8399</v>
      </c>
      <c r="CF405"/>
      <c r="CG405"/>
      <c r="CH405">
        <v>2</v>
      </c>
      <c r="CI405">
        <v>3</v>
      </c>
      <c r="CK405"/>
      <c r="CL405">
        <v>3</v>
      </c>
      <c r="CM405" s="259">
        <v>42161</v>
      </c>
      <c r="CN405" s="137" t="s">
        <v>8406</v>
      </c>
    </row>
    <row r="406" spans="1:92">
      <c r="A406" s="258">
        <v>665</v>
      </c>
      <c r="B406" s="236">
        <v>665</v>
      </c>
      <c r="C406" s="235" t="s">
        <v>7754</v>
      </c>
      <c r="D406" s="235" t="s">
        <v>7562</v>
      </c>
      <c r="E406" s="235" t="s">
        <v>7754</v>
      </c>
      <c r="F406" s="235" t="s">
        <v>8534</v>
      </c>
      <c r="G406" s="235" t="str">
        <f t="shared" si="209"/>
        <v>Rapsodyn</v>
      </c>
      <c r="H406" s="235" t="s">
        <v>265</v>
      </c>
      <c r="I406" s="235">
        <v>2</v>
      </c>
      <c r="J406" s="235">
        <v>9126</v>
      </c>
      <c r="K406" s="235">
        <v>66</v>
      </c>
      <c r="L406" s="235">
        <f t="shared" si="208"/>
        <v>66</v>
      </c>
      <c r="M406" s="235">
        <v>10</v>
      </c>
      <c r="N406" s="235">
        <v>7</v>
      </c>
      <c r="O406" s="248">
        <v>42048</v>
      </c>
      <c r="P406" s="223">
        <v>4.7</v>
      </c>
      <c r="Q406" s="264">
        <v>42204</v>
      </c>
      <c r="R406" s="223"/>
      <c r="S406" s="223"/>
      <c r="T406" s="223"/>
      <c r="U406" s="225"/>
      <c r="V406" s="219">
        <f t="shared" si="210"/>
        <v>14.069117502649078</v>
      </c>
      <c r="W406" s="224"/>
      <c r="X406">
        <v>15.55</v>
      </c>
      <c r="Y406" s="223"/>
      <c r="Z406" s="223"/>
      <c r="AA406" s="223"/>
      <c r="AB406" s="220">
        <f t="shared" si="211"/>
        <v>4.7515149720076826</v>
      </c>
      <c r="AC406" s="224"/>
      <c r="AD406" s="221">
        <f t="shared" si="212"/>
        <v>59082.090389835917</v>
      </c>
      <c r="AE406" s="224"/>
      <c r="AF406" s="220">
        <f t="shared" si="213"/>
        <v>28.004910844782227</v>
      </c>
      <c r="AG406" s="224"/>
      <c r="AH406" s="220">
        <f t="shared" si="214"/>
        <v>31.40268092036581</v>
      </c>
      <c r="AI406" s="224"/>
      <c r="AJ406">
        <v>4.74</v>
      </c>
      <c r="AK406" s="290" t="s">
        <v>8399</v>
      </c>
      <c r="AL406" s="223">
        <v>155</v>
      </c>
      <c r="AM406" s="223"/>
      <c r="AN406" s="241">
        <v>72</v>
      </c>
      <c r="AO406" s="242">
        <v>42076</v>
      </c>
      <c r="AP406" s="255">
        <v>104</v>
      </c>
      <c r="AQ406" s="242">
        <v>42108</v>
      </c>
      <c r="AR406" s="223">
        <v>131</v>
      </c>
      <c r="AS406" s="297">
        <f t="shared" si="215"/>
        <v>131</v>
      </c>
      <c r="AT406" s="290">
        <v>42135</v>
      </c>
      <c r="AU406" s="298"/>
      <c r="AV406" s="223"/>
      <c r="AW406" s="223"/>
      <c r="AX406" s="223"/>
      <c r="AY406" s="223"/>
      <c r="AZ406" s="223"/>
      <c r="BA406" s="223"/>
      <c r="BB406" s="223"/>
      <c r="BC406" s="223"/>
      <c r="BD406" s="223"/>
      <c r="BE406" s="223"/>
      <c r="BF406" s="281">
        <v>-1.3594859838485718</v>
      </c>
      <c r="BG406" s="283">
        <v>42234</v>
      </c>
      <c r="BH406" s="223"/>
      <c r="BI406" s="223"/>
      <c r="BJ406" s="223"/>
      <c r="BK406" s="223"/>
      <c r="BL406" s="281">
        <v>64.022773742675781</v>
      </c>
      <c r="BM406" s="283">
        <v>42234</v>
      </c>
      <c r="BN406" s="223"/>
      <c r="BO406" s="223"/>
      <c r="BP406" s="281">
        <v>3.4259490966796875</v>
      </c>
      <c r="BQ406" s="283">
        <v>42234</v>
      </c>
      <c r="BR406" s="281">
        <v>50.238037109375</v>
      </c>
      <c r="BS406" s="283">
        <v>42234</v>
      </c>
      <c r="BT406" s="281">
        <v>16.966720581054688</v>
      </c>
      <c r="BU406" s="283">
        <v>42234</v>
      </c>
      <c r="BV406" s="281">
        <v>14.020821571350098</v>
      </c>
      <c r="BW406" s="283">
        <v>42234</v>
      </c>
      <c r="BX406" s="281">
        <v>4.9497604370117188</v>
      </c>
      <c r="BY406" s="283">
        <v>42234</v>
      </c>
      <c r="BZ406" s="223"/>
      <c r="CA406" s="226"/>
      <c r="CB406" s="266">
        <v>1.74</v>
      </c>
      <c r="CC406" s="223"/>
      <c r="CD406" s="281">
        <v>5.4545454545454515</v>
      </c>
      <c r="CE406" s="291" t="s">
        <v>8399</v>
      </c>
      <c r="CF406" s="223"/>
      <c r="CG406" s="223"/>
      <c r="CH406" s="223">
        <v>2</v>
      </c>
      <c r="CI406" s="223">
        <v>3</v>
      </c>
      <c r="CK406" s="223"/>
      <c r="CL406" s="223"/>
      <c r="CM406" s="259">
        <v>42161</v>
      </c>
      <c r="CN406" s="137" t="s">
        <v>8406</v>
      </c>
    </row>
    <row r="407" spans="1:92">
      <c r="A407" s="258">
        <v>669</v>
      </c>
      <c r="B407" s="235">
        <v>669</v>
      </c>
      <c r="C407" s="235" t="s">
        <v>7735</v>
      </c>
      <c r="D407" s="235" t="s">
        <v>7558</v>
      </c>
      <c r="E407" s="235" t="s">
        <v>7735</v>
      </c>
      <c r="F407" s="235" t="s">
        <v>8597</v>
      </c>
      <c r="G407" s="235" t="str">
        <f t="shared" si="209"/>
        <v>Rapsodyn</v>
      </c>
      <c r="H407" s="235" t="s">
        <v>265</v>
      </c>
      <c r="I407" s="235">
        <v>2</v>
      </c>
      <c r="J407" s="235">
        <v>9115</v>
      </c>
      <c r="K407" s="235">
        <v>62</v>
      </c>
      <c r="L407" s="235">
        <f t="shared" si="208"/>
        <v>62</v>
      </c>
      <c r="M407" s="235">
        <v>10</v>
      </c>
      <c r="N407" s="235">
        <v>7</v>
      </c>
      <c r="O407" s="248">
        <v>42048</v>
      </c>
      <c r="P407">
        <v>3.75</v>
      </c>
      <c r="Q407" s="264">
        <v>42204</v>
      </c>
      <c r="R407"/>
      <c r="S407"/>
      <c r="T407"/>
      <c r="V407" s="219">
        <f t="shared" si="210"/>
        <v>11.711686333318655</v>
      </c>
      <c r="W407" s="219"/>
      <c r="X407">
        <v>15.55</v>
      </c>
      <c r="Y407"/>
      <c r="Z407"/>
      <c r="AA407"/>
      <c r="AB407" s="220">
        <f t="shared" si="211"/>
        <v>4.0485834370088716</v>
      </c>
      <c r="AC407" s="219"/>
      <c r="AD407" s="221">
        <f t="shared" si="212"/>
        <v>53079.597731455236</v>
      </c>
      <c r="AE407" s="219"/>
      <c r="AF407" s="220">
        <f t="shared" si="213"/>
        <v>23.195784208645939</v>
      </c>
      <c r="AG407" s="219"/>
      <c r="AH407" s="220">
        <f t="shared" si="214"/>
        <v>26.010074241585489</v>
      </c>
      <c r="AI407" s="219"/>
      <c r="AJ407">
        <v>4.37</v>
      </c>
      <c r="AK407" s="284" t="s">
        <v>8398</v>
      </c>
      <c r="AL407">
        <v>165</v>
      </c>
      <c r="AM407"/>
      <c r="AN407" s="241">
        <v>72</v>
      </c>
      <c r="AO407" s="242">
        <v>42076</v>
      </c>
      <c r="AP407" s="255">
        <v>104</v>
      </c>
      <c r="AQ407" s="242">
        <v>42108</v>
      </c>
      <c r="AR407">
        <v>131</v>
      </c>
      <c r="AS407" s="297">
        <f t="shared" si="215"/>
        <v>131</v>
      </c>
      <c r="AT407" s="290">
        <v>42135</v>
      </c>
      <c r="AU407" s="298"/>
      <c r="AV407"/>
      <c r="AW407"/>
      <c r="AX407"/>
      <c r="AY407"/>
      <c r="AZ407"/>
      <c r="BA407"/>
      <c r="BB407"/>
      <c r="BC407"/>
      <c r="BD407"/>
      <c r="BE407"/>
      <c r="BF407" s="277">
        <v>39.593643188476563</v>
      </c>
      <c r="BG407" s="283">
        <v>42230</v>
      </c>
      <c r="BH407"/>
      <c r="BI407"/>
      <c r="BJ407"/>
      <c r="BK407"/>
      <c r="BL407" s="277">
        <v>59.154170989990234</v>
      </c>
      <c r="BM407" s="283">
        <v>42230</v>
      </c>
      <c r="BN407"/>
      <c r="BO407"/>
      <c r="BP407" s="277">
        <v>3.5505859851837158</v>
      </c>
      <c r="BQ407" s="283">
        <v>42230</v>
      </c>
      <c r="BR407" s="277">
        <v>50.490581512451172</v>
      </c>
      <c r="BS407" s="283">
        <v>42230</v>
      </c>
      <c r="BT407" s="277">
        <v>17.453962326049805</v>
      </c>
      <c r="BU407" s="283">
        <v>42230</v>
      </c>
      <c r="BV407" s="277">
        <v>62.507072448730469</v>
      </c>
      <c r="BW407" s="283">
        <v>42230</v>
      </c>
      <c r="BX407" s="277">
        <v>5.0623092651367187</v>
      </c>
      <c r="BY407" s="283">
        <v>42230</v>
      </c>
      <c r="BZ407"/>
      <c r="CB407" s="266">
        <v>2.62</v>
      </c>
      <c r="CC407"/>
      <c r="CD407" s="277">
        <v>1.8518518518518614</v>
      </c>
      <c r="CE407" s="291" t="s">
        <v>8398</v>
      </c>
      <c r="CF407"/>
      <c r="CG407"/>
      <c r="CH407">
        <v>2</v>
      </c>
      <c r="CI407">
        <v>2</v>
      </c>
      <c r="CK407"/>
      <c r="CL407">
        <v>2</v>
      </c>
      <c r="CM407" s="259">
        <v>42161</v>
      </c>
      <c r="CN407" s="137" t="s">
        <v>8406</v>
      </c>
    </row>
    <row r="408" spans="1:92">
      <c r="A408" s="258">
        <v>670</v>
      </c>
      <c r="B408" s="235">
        <v>670</v>
      </c>
      <c r="C408" s="235" t="s">
        <v>7684</v>
      </c>
      <c r="D408" s="235" t="s">
        <v>7511</v>
      </c>
      <c r="E408" s="235" t="s">
        <v>7684</v>
      </c>
      <c r="F408" s="235" t="s">
        <v>8451</v>
      </c>
      <c r="G408" s="235" t="str">
        <f t="shared" si="209"/>
        <v>Rapsodyn</v>
      </c>
      <c r="H408" s="235" t="s">
        <v>265</v>
      </c>
      <c r="I408" s="235">
        <v>2</v>
      </c>
      <c r="J408" s="235">
        <v>9066</v>
      </c>
      <c r="K408" s="235">
        <v>61</v>
      </c>
      <c r="L408" s="235">
        <f t="shared" si="208"/>
        <v>61</v>
      </c>
      <c r="M408" s="235">
        <v>10</v>
      </c>
      <c r="N408" s="235">
        <v>7</v>
      </c>
      <c r="O408" s="248">
        <v>42048</v>
      </c>
      <c r="P408" s="223">
        <v>5.3</v>
      </c>
      <c r="Q408" s="264">
        <v>42204</v>
      </c>
      <c r="R408" s="223"/>
      <c r="S408" s="223"/>
      <c r="T408" s="223"/>
      <c r="U408" s="225"/>
      <c r="V408" s="219">
        <f t="shared" si="210"/>
        <v>16.17753046655195</v>
      </c>
      <c r="W408" s="224"/>
      <c r="X408">
        <v>15.55</v>
      </c>
      <c r="Y408" s="223"/>
      <c r="Z408" s="223"/>
      <c r="AA408" s="223"/>
      <c r="AB408" s="220">
        <f t="shared" si="211"/>
        <v>5.6463591605265178</v>
      </c>
      <c r="AC408" s="224"/>
      <c r="AD408" s="221">
        <f t="shared" si="212"/>
        <v>63834.287467893904</v>
      </c>
      <c r="AE408" s="224"/>
      <c r="AF408" s="220">
        <f t="shared" si="213"/>
        <v>32.746989471029572</v>
      </c>
      <c r="AG408" s="224"/>
      <c r="AH408" s="220">
        <f t="shared" si="214"/>
        <v>36.720104811650117</v>
      </c>
      <c r="AI408" s="224"/>
      <c r="AJ408">
        <v>5.13</v>
      </c>
      <c r="AK408" s="290" t="s">
        <v>8398</v>
      </c>
      <c r="AL408" s="223">
        <v>155</v>
      </c>
      <c r="AM408" s="223"/>
      <c r="AN408" s="241">
        <v>70</v>
      </c>
      <c r="AO408" s="242">
        <v>42074</v>
      </c>
      <c r="AP408" s="255">
        <v>104</v>
      </c>
      <c r="AQ408" s="242">
        <v>42108</v>
      </c>
      <c r="AR408" s="223">
        <v>127</v>
      </c>
      <c r="AS408" s="297">
        <f t="shared" si="215"/>
        <v>127</v>
      </c>
      <c r="AT408" s="290">
        <v>42131</v>
      </c>
      <c r="AU408" s="298"/>
      <c r="AV408" s="223"/>
      <c r="AW408" s="223"/>
      <c r="AX408" s="223"/>
      <c r="AY408" s="223"/>
      <c r="AZ408" s="223"/>
      <c r="BA408" s="223"/>
      <c r="BB408" s="223"/>
      <c r="BC408" s="223"/>
      <c r="BD408" s="223"/>
      <c r="BE408" s="223"/>
      <c r="BF408" s="281">
        <v>-0.3904930055141449</v>
      </c>
      <c r="BG408" s="283">
        <v>42230</v>
      </c>
      <c r="BH408" s="223"/>
      <c r="BI408" s="223"/>
      <c r="BJ408" s="223"/>
      <c r="BK408" s="223"/>
      <c r="BL408" s="281">
        <v>62.3026123046875</v>
      </c>
      <c r="BM408" s="283">
        <v>42230</v>
      </c>
      <c r="BN408" s="223"/>
      <c r="BO408" s="223"/>
      <c r="BP408" s="281">
        <v>3.2597661018371582</v>
      </c>
      <c r="BQ408" s="283">
        <v>42230</v>
      </c>
      <c r="BR408" s="281">
        <v>49.401580810546875</v>
      </c>
      <c r="BS408" s="283">
        <v>42230</v>
      </c>
      <c r="BT408" s="281">
        <v>17.242376327514648</v>
      </c>
      <c r="BU408" s="283">
        <v>42230</v>
      </c>
      <c r="BV408" s="281">
        <v>15.648750305175781</v>
      </c>
      <c r="BW408" s="283">
        <v>42230</v>
      </c>
      <c r="BX408" s="281">
        <v>5.1091461181640625</v>
      </c>
      <c r="BY408" s="283">
        <v>42230</v>
      </c>
      <c r="BZ408" s="223"/>
      <c r="CA408" s="226"/>
      <c r="CB408" s="266">
        <v>2</v>
      </c>
      <c r="CC408" s="223"/>
      <c r="CD408" s="281">
        <v>1.9607843137254832</v>
      </c>
      <c r="CE408" s="291" t="s">
        <v>8398</v>
      </c>
      <c r="CF408" s="223"/>
      <c r="CG408" s="223"/>
      <c r="CH408" s="223">
        <v>2</v>
      </c>
      <c r="CI408" s="223">
        <v>3</v>
      </c>
      <c r="CK408" s="223"/>
      <c r="CL408" s="223"/>
      <c r="CM408" s="259">
        <v>42161</v>
      </c>
      <c r="CN408" s="137" t="s">
        <v>8406</v>
      </c>
    </row>
    <row r="409" spans="1:92">
      <c r="A409" s="258">
        <v>671</v>
      </c>
      <c r="B409" s="235">
        <v>671</v>
      </c>
      <c r="C409" s="235" t="s">
        <v>7606</v>
      </c>
      <c r="D409" s="235" t="s">
        <v>7811</v>
      </c>
      <c r="E409" s="235" t="s">
        <v>7606</v>
      </c>
      <c r="F409" s="235" t="s">
        <v>8441</v>
      </c>
      <c r="G409" s="235" t="str">
        <f t="shared" si="209"/>
        <v>Rapsodyn</v>
      </c>
      <c r="H409" s="235" t="s">
        <v>265</v>
      </c>
      <c r="I409" s="235">
        <v>2</v>
      </c>
      <c r="J409" s="235">
        <v>9002</v>
      </c>
      <c r="K409" s="235">
        <v>60</v>
      </c>
      <c r="L409" s="235">
        <f t="shared" si="208"/>
        <v>60</v>
      </c>
      <c r="M409" s="235">
        <v>10</v>
      </c>
      <c r="N409" s="235">
        <v>7</v>
      </c>
      <c r="O409" s="248">
        <v>42048</v>
      </c>
      <c r="P409">
        <v>2.5499999999999998</v>
      </c>
      <c r="Q409" s="264">
        <v>42204</v>
      </c>
      <c r="R409"/>
      <c r="S409"/>
      <c r="T409"/>
      <c r="V409" s="219">
        <f t="shared" si="210"/>
        <v>7.1225775600832106</v>
      </c>
      <c r="W409" s="219"/>
      <c r="X409">
        <v>15.55</v>
      </c>
      <c r="Y409"/>
      <c r="Z409"/>
      <c r="AA409"/>
      <c r="AB409" s="220">
        <f t="shared" si="211"/>
        <v>2.9738540893575047</v>
      </c>
      <c r="AC409" s="219"/>
      <c r="AD409" s="221">
        <f t="shared" si="212"/>
        <v>29496.254955288208</v>
      </c>
      <c r="AE409" s="219"/>
      <c r="AF409" s="220">
        <f t="shared" si="213"/>
        <v>15.161075047018139</v>
      </c>
      <c r="AG409" s="219"/>
      <c r="AH409" s="220">
        <f t="shared" si="214"/>
        <v>17.00053268335741</v>
      </c>
      <c r="AI409" s="219"/>
      <c r="AJ409">
        <v>5.14</v>
      </c>
      <c r="AK409" s="284" t="s">
        <v>8398</v>
      </c>
      <c r="AL409">
        <v>175</v>
      </c>
      <c r="AM409"/>
      <c r="AN409" s="241">
        <v>70</v>
      </c>
      <c r="AO409" s="242">
        <v>42074</v>
      </c>
      <c r="AP409" s="255">
        <v>110</v>
      </c>
      <c r="AQ409" s="242">
        <v>42114</v>
      </c>
      <c r="AR409">
        <v>133</v>
      </c>
      <c r="AS409" s="297">
        <f t="shared" si="215"/>
        <v>133</v>
      </c>
      <c r="AT409" s="290">
        <v>42137</v>
      </c>
      <c r="AU409" s="298"/>
      <c r="AV409"/>
      <c r="AW409"/>
      <c r="AX409"/>
      <c r="AY409"/>
      <c r="AZ409"/>
      <c r="BA409"/>
      <c r="BB409"/>
      <c r="BC409"/>
      <c r="BD409"/>
      <c r="BE409"/>
      <c r="BF409" s="277">
        <v>35.229911804199219</v>
      </c>
      <c r="BG409" s="283">
        <v>42230</v>
      </c>
      <c r="BH409"/>
      <c r="BI409"/>
      <c r="BJ409"/>
      <c r="BK409"/>
      <c r="BL409" s="277">
        <v>59.61126708984375</v>
      </c>
      <c r="BM409" s="283">
        <v>42230</v>
      </c>
      <c r="BN409"/>
      <c r="BO409"/>
      <c r="BP409" s="277">
        <v>3.3125190734863281</v>
      </c>
      <c r="BQ409" s="283">
        <v>42230</v>
      </c>
      <c r="BR409" s="277">
        <v>46.9793701171875</v>
      </c>
      <c r="BS409" s="283">
        <v>42230</v>
      </c>
      <c r="BT409" s="277">
        <v>19.615060806274414</v>
      </c>
      <c r="BU409" s="283">
        <v>42230</v>
      </c>
      <c r="BV409" s="277">
        <v>69.371742248535156</v>
      </c>
      <c r="BW409" s="283">
        <v>42230</v>
      </c>
      <c r="BX409" s="277">
        <v>5.7857284545898437</v>
      </c>
      <c r="BY409" s="283">
        <v>42230</v>
      </c>
      <c r="BZ409"/>
      <c r="CB409" s="266">
        <v>2.0499999999999998</v>
      </c>
      <c r="CC409"/>
      <c r="CD409" s="277">
        <v>5.660377358490563</v>
      </c>
      <c r="CE409" s="291" t="s">
        <v>8398</v>
      </c>
      <c r="CF409"/>
      <c r="CG409"/>
      <c r="CH409">
        <v>2</v>
      </c>
      <c r="CI409">
        <v>2</v>
      </c>
      <c r="CK409"/>
      <c r="CL409">
        <v>3</v>
      </c>
      <c r="CM409" s="259">
        <v>42161</v>
      </c>
      <c r="CN409" s="137" t="s">
        <v>8406</v>
      </c>
    </row>
    <row r="410" spans="1:92">
      <c r="A410" s="258">
        <v>672</v>
      </c>
      <c r="B410" s="235">
        <v>672</v>
      </c>
      <c r="C410" s="235" t="s">
        <v>7659</v>
      </c>
      <c r="D410" s="235" t="s">
        <v>7489</v>
      </c>
      <c r="E410" s="235" t="s">
        <v>7659</v>
      </c>
      <c r="F410" s="235" t="s">
        <v>8468</v>
      </c>
      <c r="G410" s="235" t="str">
        <f t="shared" si="209"/>
        <v>Rapsodyn</v>
      </c>
      <c r="H410" s="235" t="s">
        <v>265</v>
      </c>
      <c r="I410" s="235">
        <v>2</v>
      </c>
      <c r="J410" s="235">
        <v>9042</v>
      </c>
      <c r="K410" s="235">
        <v>59</v>
      </c>
      <c r="L410" s="235">
        <f t="shared" si="208"/>
        <v>59</v>
      </c>
      <c r="M410" s="235">
        <v>10</v>
      </c>
      <c r="N410" s="235">
        <v>7</v>
      </c>
      <c r="O410" s="248">
        <v>42048</v>
      </c>
      <c r="P410">
        <v>5.3</v>
      </c>
      <c r="Q410" s="264">
        <v>42204</v>
      </c>
      <c r="R410"/>
      <c r="S410"/>
      <c r="T410"/>
      <c r="V410" s="219">
        <f t="shared" si="210"/>
        <v>16.813926683562869</v>
      </c>
      <c r="W410" s="219"/>
      <c r="X410">
        <v>15.55</v>
      </c>
      <c r="Y410"/>
      <c r="Z410"/>
      <c r="AA410"/>
      <c r="AB410" s="220">
        <f t="shared" si="211"/>
        <v>4.9607321956793973</v>
      </c>
      <c r="AC410" s="219"/>
      <c r="AD410" s="221">
        <f t="shared" si="212"/>
        <v>69587.352625937827</v>
      </c>
      <c r="AE410" s="219"/>
      <c r="AF410" s="220">
        <f t="shared" si="213"/>
        <v>32.288531618435151</v>
      </c>
      <c r="AG410" s="219"/>
      <c r="AH410" s="220">
        <f t="shared" si="214"/>
        <v>36.206023344287011</v>
      </c>
      <c r="AI410" s="219"/>
      <c r="AJ410">
        <v>4.6399999999999997</v>
      </c>
      <c r="AK410" s="284" t="s">
        <v>8398</v>
      </c>
      <c r="AL410">
        <v>165</v>
      </c>
      <c r="AM410"/>
      <c r="AN410" s="241">
        <v>72</v>
      </c>
      <c r="AO410" s="242">
        <v>42076</v>
      </c>
      <c r="AP410" s="255">
        <v>106</v>
      </c>
      <c r="AQ410" s="242">
        <v>42110</v>
      </c>
      <c r="AR410">
        <v>131</v>
      </c>
      <c r="AS410" s="297">
        <f t="shared" si="215"/>
        <v>131</v>
      </c>
      <c r="AT410" s="290">
        <v>42135</v>
      </c>
      <c r="AU410" s="298"/>
      <c r="AV410"/>
      <c r="AW410"/>
      <c r="AX410"/>
      <c r="AY410"/>
      <c r="AZ410"/>
      <c r="BA410"/>
      <c r="BB410"/>
      <c r="BC410"/>
      <c r="BD410"/>
      <c r="BE410"/>
      <c r="BF410" s="277">
        <v>-1.4461560249328613</v>
      </c>
      <c r="BG410" s="283">
        <v>42230</v>
      </c>
      <c r="BH410"/>
      <c r="BI410"/>
      <c r="BJ410"/>
      <c r="BK410"/>
      <c r="BL410" s="277">
        <v>65.183525085449219</v>
      </c>
      <c r="BM410" s="283">
        <v>42230</v>
      </c>
      <c r="BN410"/>
      <c r="BO410"/>
      <c r="BP410" s="277">
        <v>3.5574610233306885</v>
      </c>
      <c r="BQ410" s="283">
        <v>42230</v>
      </c>
      <c r="BR410" s="277">
        <v>52.073989868164062</v>
      </c>
      <c r="BS410" s="283">
        <v>42230</v>
      </c>
      <c r="BT410" s="277">
        <v>15.36375904083252</v>
      </c>
      <c r="BU410" s="283">
        <v>42230</v>
      </c>
      <c r="BV410" s="277">
        <v>10.029712677001953</v>
      </c>
      <c r="BW410" s="283">
        <v>42230</v>
      </c>
      <c r="BX410" s="277">
        <v>5.3976821899414062</v>
      </c>
      <c r="BY410" s="283">
        <v>42230</v>
      </c>
      <c r="BZ410"/>
      <c r="CB410" s="266">
        <v>2.3199999999999998</v>
      </c>
      <c r="CC410"/>
      <c r="CD410" s="277">
        <v>3.3333333333333361</v>
      </c>
      <c r="CE410" s="291" t="s">
        <v>8398</v>
      </c>
      <c r="CF410"/>
      <c r="CG410"/>
      <c r="CH410">
        <v>1</v>
      </c>
      <c r="CI410">
        <v>4</v>
      </c>
      <c r="CK410"/>
      <c r="CL410"/>
      <c r="CM410" s="259">
        <v>42161</v>
      </c>
      <c r="CN410" s="137" t="s">
        <v>8406</v>
      </c>
    </row>
    <row r="411" spans="1:92">
      <c r="A411" s="258">
        <v>673</v>
      </c>
      <c r="B411" s="235">
        <v>673</v>
      </c>
      <c r="C411" s="235" t="s">
        <v>7739</v>
      </c>
      <c r="D411" s="235" t="s">
        <v>8418</v>
      </c>
      <c r="E411" s="235" t="s">
        <v>7739</v>
      </c>
      <c r="F411" s="235" t="s">
        <v>8490</v>
      </c>
      <c r="G411" s="235" t="str">
        <f t="shared" si="209"/>
        <v>Rapsodyn</v>
      </c>
      <c r="H411" s="235" t="s">
        <v>265</v>
      </c>
      <c r="I411" s="235">
        <v>2</v>
      </c>
      <c r="J411" s="235">
        <v>9119</v>
      </c>
      <c r="K411" s="235">
        <v>58</v>
      </c>
      <c r="L411" s="235">
        <f t="shared" si="208"/>
        <v>58</v>
      </c>
      <c r="M411" s="235">
        <v>10</v>
      </c>
      <c r="N411" s="235">
        <v>7</v>
      </c>
      <c r="O411" s="248">
        <v>42048</v>
      </c>
      <c r="P411">
        <v>3.6</v>
      </c>
      <c r="Q411" s="264">
        <v>42204</v>
      </c>
      <c r="R411"/>
      <c r="S411"/>
      <c r="T411"/>
      <c r="V411" s="219">
        <f t="shared" si="210"/>
        <v>10.678350884623347</v>
      </c>
      <c r="W411" s="219"/>
      <c r="X411">
        <v>15.55</v>
      </c>
      <c r="Y411"/>
      <c r="Z411"/>
      <c r="AA411"/>
      <c r="AB411" s="220">
        <f t="shared" si="211"/>
        <v>4.189084472926945</v>
      </c>
      <c r="AC411" s="219"/>
      <c r="AD411" s="221">
        <f t="shared" si="212"/>
        <v>51062.364844380587</v>
      </c>
      <c r="AE411" s="219"/>
      <c r="AF411" s="220">
        <f t="shared" si="213"/>
        <v>21.90575451823927</v>
      </c>
      <c r="AG411" s="219"/>
      <c r="AH411" s="220">
        <f t="shared" si="214"/>
        <v>24.563528277909029</v>
      </c>
      <c r="AI411" s="219"/>
      <c r="AJ411">
        <v>4.29</v>
      </c>
      <c r="AK411" s="284" t="s">
        <v>8401</v>
      </c>
      <c r="AL411">
        <v>180</v>
      </c>
      <c r="AM411"/>
      <c r="AN411" s="241">
        <v>72</v>
      </c>
      <c r="AO411" s="242">
        <v>42076</v>
      </c>
      <c r="AP411" s="255">
        <v>110</v>
      </c>
      <c r="AQ411" s="242">
        <v>42114</v>
      </c>
      <c r="AR411">
        <v>134</v>
      </c>
      <c r="AS411" s="297">
        <f t="shared" si="215"/>
        <v>134</v>
      </c>
      <c r="AT411" s="290">
        <v>42138</v>
      </c>
      <c r="AU411" s="298"/>
      <c r="AV411"/>
      <c r="AW411"/>
      <c r="AX411"/>
      <c r="AY411"/>
      <c r="AZ411"/>
      <c r="BA411"/>
      <c r="BB411"/>
      <c r="BC411"/>
      <c r="BD411"/>
      <c r="BE411"/>
      <c r="BF411" s="277">
        <v>44.923179626464844</v>
      </c>
      <c r="BG411" s="283">
        <v>42233</v>
      </c>
      <c r="BH411"/>
      <c r="BI411"/>
      <c r="BJ411"/>
      <c r="BK411"/>
      <c r="BL411" s="277">
        <v>60.868438720703125</v>
      </c>
      <c r="BM411" s="283">
        <v>42233</v>
      </c>
      <c r="BN411"/>
      <c r="BO411"/>
      <c r="BP411" s="277">
        <v>3.6965420246124268</v>
      </c>
      <c r="BQ411" s="283">
        <v>42233</v>
      </c>
      <c r="BR411" s="277">
        <v>48.746784210205078</v>
      </c>
      <c r="BS411" s="283">
        <v>42233</v>
      </c>
      <c r="BT411" s="277">
        <v>19.123214721679688</v>
      </c>
      <c r="BU411" s="283">
        <v>42233</v>
      </c>
      <c r="BV411" s="277">
        <v>70.012985229492187</v>
      </c>
      <c r="BW411" s="283">
        <v>42233</v>
      </c>
      <c r="BX411" s="277">
        <v>5.4957656860351563</v>
      </c>
      <c r="BY411" s="283">
        <v>42233</v>
      </c>
      <c r="BZ411"/>
      <c r="CB411" s="266">
        <v>1.76</v>
      </c>
      <c r="CC411"/>
      <c r="CD411" s="277">
        <v>3.4482758620689689</v>
      </c>
      <c r="CE411" s="291" t="s">
        <v>8401</v>
      </c>
      <c r="CF411"/>
      <c r="CG411"/>
      <c r="CH411">
        <v>2</v>
      </c>
      <c r="CI411">
        <v>3</v>
      </c>
      <c r="CK411"/>
      <c r="CL411">
        <v>2</v>
      </c>
      <c r="CM411" s="259">
        <v>42161</v>
      </c>
      <c r="CN411" s="137" t="s">
        <v>8406</v>
      </c>
    </row>
    <row r="412" spans="1:92">
      <c r="A412" s="258">
        <v>676</v>
      </c>
      <c r="B412" s="240">
        <v>676</v>
      </c>
      <c r="C412" s="235" t="s">
        <v>7717</v>
      </c>
      <c r="D412" s="235" t="s">
        <v>7541</v>
      </c>
      <c r="E412" s="235" t="s">
        <v>7717</v>
      </c>
      <c r="F412" s="235" t="s">
        <v>8540</v>
      </c>
      <c r="G412" s="235" t="str">
        <f t="shared" si="209"/>
        <v>Rapsodyn</v>
      </c>
      <c r="H412" s="235" t="s">
        <v>265</v>
      </c>
      <c r="I412" s="235">
        <v>2</v>
      </c>
      <c r="J412" s="235">
        <v>9099</v>
      </c>
      <c r="K412" s="235">
        <v>55</v>
      </c>
      <c r="L412" s="235">
        <f t="shared" si="208"/>
        <v>55</v>
      </c>
      <c r="M412" s="235">
        <v>10</v>
      </c>
      <c r="N412" s="235">
        <v>5</v>
      </c>
      <c r="O412" s="248">
        <v>42048</v>
      </c>
      <c r="P412">
        <v>4.1500000000000004</v>
      </c>
      <c r="Q412" s="264">
        <v>42204</v>
      </c>
      <c r="R412"/>
      <c r="S412"/>
      <c r="T412"/>
      <c r="V412" s="219">
        <f t="shared" si="210"/>
        <v>12.096996755843493</v>
      </c>
      <c r="W412" s="219"/>
      <c r="X412">
        <v>15.55</v>
      </c>
      <c r="Y412"/>
      <c r="Z412"/>
      <c r="AA412"/>
      <c r="AB412" s="220">
        <f t="shared" si="211"/>
        <v>4.4982817262058257</v>
      </c>
      <c r="AC412" s="219"/>
      <c r="AD412" s="221">
        <f t="shared" si="212"/>
        <v>55192.489234529923</v>
      </c>
      <c r="AE412" s="219"/>
      <c r="AF412" s="220">
        <f t="shared" si="213"/>
        <v>24.615850198600345</v>
      </c>
      <c r="AG412" s="219"/>
      <c r="AH412" s="220">
        <f t="shared" si="214"/>
        <v>27.602433503700766</v>
      </c>
      <c r="AI412" s="219"/>
      <c r="AJ412">
        <v>4.46</v>
      </c>
      <c r="AK412" s="284" t="s">
        <v>8399</v>
      </c>
      <c r="AL412">
        <v>150</v>
      </c>
      <c r="AM412"/>
      <c r="AN412" s="241">
        <v>70</v>
      </c>
      <c r="AO412" s="242">
        <v>42074</v>
      </c>
      <c r="AP412" s="255">
        <v>104</v>
      </c>
      <c r="AQ412" s="242">
        <v>42108</v>
      </c>
      <c r="AR412">
        <v>126</v>
      </c>
      <c r="AS412" s="297">
        <f t="shared" si="215"/>
        <v>126</v>
      </c>
      <c r="AT412" s="290">
        <v>42130</v>
      </c>
      <c r="AU412" s="298"/>
      <c r="AV412"/>
      <c r="AW412"/>
      <c r="AX412"/>
      <c r="AY412"/>
      <c r="AZ412"/>
      <c r="BA412"/>
      <c r="BB412"/>
      <c r="BC412"/>
      <c r="BD412"/>
      <c r="BE412"/>
      <c r="BF412" s="277">
        <v>-3.8975450992584229</v>
      </c>
      <c r="BG412" s="283">
        <v>42234</v>
      </c>
      <c r="BH412"/>
      <c r="BI412"/>
      <c r="BJ412"/>
      <c r="BK412"/>
      <c r="BL412" s="277">
        <v>64.001968383789063</v>
      </c>
      <c r="BM412" s="283">
        <v>42234</v>
      </c>
      <c r="BN412"/>
      <c r="BO412"/>
      <c r="BP412" s="277">
        <v>3.8939549922943115</v>
      </c>
      <c r="BQ412" s="283">
        <v>42234</v>
      </c>
      <c r="BR412" s="277">
        <v>49.143119812011719</v>
      </c>
      <c r="BS412" s="283">
        <v>42234</v>
      </c>
      <c r="BT412" s="277">
        <v>18.273923873901367</v>
      </c>
      <c r="BU412" s="283">
        <v>42234</v>
      </c>
      <c r="BV412" s="277">
        <v>17.938531875610352</v>
      </c>
      <c r="BW412" s="283">
        <v>42234</v>
      </c>
      <c r="BX412" s="277">
        <v>5.4574661254882812</v>
      </c>
      <c r="BY412" s="283">
        <v>42234</v>
      </c>
      <c r="BZ412"/>
      <c r="CB412" s="266">
        <v>1.77</v>
      </c>
      <c r="CC412"/>
      <c r="CD412" s="277">
        <v>5.8823529411764675</v>
      </c>
      <c r="CE412" s="291" t="s">
        <v>8399</v>
      </c>
      <c r="CF412"/>
      <c r="CG412"/>
      <c r="CH412">
        <v>3</v>
      </c>
      <c r="CI412">
        <v>2</v>
      </c>
      <c r="CK412"/>
      <c r="CL412"/>
      <c r="CM412" s="259">
        <v>42161</v>
      </c>
      <c r="CN412" s="137" t="s">
        <v>8406</v>
      </c>
    </row>
    <row r="413" spans="1:92">
      <c r="A413" s="258">
        <v>677</v>
      </c>
      <c r="B413" s="235">
        <v>677</v>
      </c>
      <c r="C413" s="235" t="s">
        <v>7671</v>
      </c>
      <c r="D413" s="235" t="s">
        <v>7500</v>
      </c>
      <c r="E413" s="235" t="s">
        <v>7671</v>
      </c>
      <c r="F413" s="235" t="s">
        <v>8544</v>
      </c>
      <c r="G413" s="235" t="str">
        <f t="shared" si="209"/>
        <v>Rapsodyn</v>
      </c>
      <c r="H413" s="235" t="s">
        <v>265</v>
      </c>
      <c r="I413" s="235">
        <v>2</v>
      </c>
      <c r="J413" s="235">
        <v>9053</v>
      </c>
      <c r="K413" s="235">
        <v>54</v>
      </c>
      <c r="L413" s="235">
        <f t="shared" si="208"/>
        <v>54</v>
      </c>
      <c r="M413" s="235">
        <v>10</v>
      </c>
      <c r="N413" s="235">
        <v>7</v>
      </c>
      <c r="O413" s="248">
        <v>42048</v>
      </c>
      <c r="P413">
        <v>5</v>
      </c>
      <c r="Q413" s="264">
        <v>42204</v>
      </c>
      <c r="R413"/>
      <c r="S413"/>
      <c r="T413"/>
      <c r="V413" s="219">
        <f t="shared" si="210"/>
        <v>15.167617592161728</v>
      </c>
      <c r="W413" s="219"/>
      <c r="X413">
        <v>15.55</v>
      </c>
      <c r="Y413"/>
      <c r="Z413"/>
      <c r="AA413"/>
      <c r="AB413" s="220">
        <f t="shared" si="211"/>
        <v>4.6673273461129803</v>
      </c>
      <c r="AC413" s="219"/>
      <c r="AD413" s="221">
        <f t="shared" si="212"/>
        <v>59986.458700285068</v>
      </c>
      <c r="AE413" s="219"/>
      <c r="AF413" s="220">
        <f t="shared" si="213"/>
        <v>29.693297056641111</v>
      </c>
      <c r="AG413" s="219"/>
      <c r="AH413" s="220">
        <f t="shared" si="214"/>
        <v>33.295915066877235</v>
      </c>
      <c r="AI413" s="219"/>
      <c r="AJ413">
        <v>4.95</v>
      </c>
      <c r="AK413" s="284" t="s">
        <v>8399</v>
      </c>
      <c r="AL413">
        <v>150</v>
      </c>
      <c r="AM413"/>
      <c r="AN413" s="241">
        <v>70</v>
      </c>
      <c r="AO413" s="242">
        <v>42074</v>
      </c>
      <c r="AP413" s="255">
        <v>106</v>
      </c>
      <c r="AQ413" s="242">
        <v>42110</v>
      </c>
      <c r="AR413">
        <v>141</v>
      </c>
      <c r="AS413" s="297">
        <f t="shared" si="215"/>
        <v>141</v>
      </c>
      <c r="AT413" s="290">
        <v>42145</v>
      </c>
      <c r="AU413" s="298"/>
      <c r="AV413"/>
      <c r="AW413"/>
      <c r="AX413"/>
      <c r="AY413"/>
      <c r="AZ413"/>
      <c r="BA413"/>
      <c r="BB413"/>
      <c r="BC413"/>
      <c r="BD413"/>
      <c r="BE413"/>
      <c r="BF413" s="277">
        <v>-1.1156619787216187</v>
      </c>
      <c r="BG413" s="283">
        <v>42233</v>
      </c>
      <c r="BH413"/>
      <c r="BI413"/>
      <c r="BJ413"/>
      <c r="BK413"/>
      <c r="BL413" s="277">
        <v>62.352439880371094</v>
      </c>
      <c r="BM413" s="283">
        <v>42233</v>
      </c>
      <c r="BN413"/>
      <c r="BO413"/>
      <c r="BP413" s="277">
        <v>2.565640926361084</v>
      </c>
      <c r="BQ413" s="283">
        <v>42233</v>
      </c>
      <c r="BR413" s="277">
        <v>51.080947875976563</v>
      </c>
      <c r="BS413" s="283">
        <v>42233</v>
      </c>
      <c r="BT413" s="277">
        <v>15.718454360961914</v>
      </c>
      <c r="BU413" s="283">
        <v>42233</v>
      </c>
      <c r="BV413" s="277">
        <v>11.930107116699219</v>
      </c>
      <c r="BW413" s="283">
        <v>42233</v>
      </c>
      <c r="BX413" s="277">
        <v>5.3378753662109375</v>
      </c>
      <c r="BY413" s="283">
        <v>42233</v>
      </c>
      <c r="BZ413"/>
      <c r="CB413" s="266">
        <v>1.78</v>
      </c>
      <c r="CC413"/>
      <c r="CD413" s="277">
        <v>5.7692307692307656</v>
      </c>
      <c r="CE413" s="291" t="s">
        <v>8399</v>
      </c>
      <c r="CF413"/>
      <c r="CG413"/>
      <c r="CH413">
        <v>2</v>
      </c>
      <c r="CI413">
        <v>3</v>
      </c>
      <c r="CK413"/>
      <c r="CL413"/>
      <c r="CM413" s="259">
        <v>42161</v>
      </c>
      <c r="CN413" s="137" t="s">
        <v>8406</v>
      </c>
    </row>
    <row r="414" spans="1:92">
      <c r="A414" s="258">
        <v>681</v>
      </c>
      <c r="B414" s="235">
        <v>681</v>
      </c>
      <c r="C414" s="235" t="s">
        <v>7576</v>
      </c>
      <c r="D414" s="235"/>
      <c r="E414" s="235"/>
      <c r="F414" s="235"/>
      <c r="G414" s="235"/>
      <c r="H414" s="235" t="s">
        <v>265</v>
      </c>
      <c r="I414" s="235">
        <v>2</v>
      </c>
      <c r="K414" s="235">
        <v>50</v>
      </c>
      <c r="L414" s="235">
        <f t="shared" si="208"/>
        <v>50</v>
      </c>
      <c r="M414" s="235">
        <v>10</v>
      </c>
      <c r="O414" s="248">
        <v>42048</v>
      </c>
      <c r="P414" s="223"/>
      <c r="Q414" s="262"/>
      <c r="R414" s="223"/>
      <c r="S414" s="223"/>
      <c r="T414" s="223"/>
      <c r="U414" s="225"/>
      <c r="V414" s="219"/>
      <c r="W414" s="224"/>
      <c r="X414">
        <v>15.55</v>
      </c>
      <c r="Y414" s="223"/>
      <c r="Z414" s="223"/>
      <c r="AA414" s="223"/>
      <c r="AB414" s="220"/>
      <c r="AC414" s="224"/>
      <c r="AD414" s="221"/>
      <c r="AE414" s="224"/>
      <c r="AF414" s="220"/>
      <c r="AG414" s="224"/>
      <c r="AH414" s="220"/>
      <c r="AI414" s="224"/>
      <c r="AJ414" s="286"/>
      <c r="AK414" s="290"/>
      <c r="AL414" s="223"/>
      <c r="AM414" s="223"/>
      <c r="AN414" s="241">
        <v>70</v>
      </c>
      <c r="AO414" s="242">
        <v>42074</v>
      </c>
      <c r="AP414" s="255">
        <v>104</v>
      </c>
      <c r="AQ414" s="242">
        <v>42108</v>
      </c>
      <c r="AR414" s="223"/>
      <c r="AS414" s="297"/>
      <c r="AT414" s="290"/>
      <c r="AU414" s="298"/>
      <c r="AV414" s="223"/>
      <c r="AW414" s="223"/>
      <c r="AX414" s="223"/>
      <c r="AY414" s="223"/>
      <c r="AZ414" s="223"/>
      <c r="BA414" s="223"/>
      <c r="BB414" s="223"/>
      <c r="BC414" s="223"/>
      <c r="BD414" s="223"/>
      <c r="BE414" s="223"/>
      <c r="BF414" s="281"/>
      <c r="BG414" s="235"/>
      <c r="BH414" s="223"/>
      <c r="BI414" s="223"/>
      <c r="BJ414" s="223"/>
      <c r="BK414" s="223"/>
      <c r="BL414" s="281"/>
      <c r="BM414" s="235"/>
      <c r="BN414" s="223"/>
      <c r="BO414" s="223"/>
      <c r="BP414" s="281"/>
      <c r="BQ414" s="235"/>
      <c r="BR414" s="281"/>
      <c r="BS414" s="235"/>
      <c r="BT414" s="281"/>
      <c r="BU414" s="235"/>
      <c r="BV414" s="281"/>
      <c r="BW414" s="235"/>
      <c r="BX414" s="281"/>
      <c r="BY414" s="235"/>
      <c r="BZ414" s="223"/>
      <c r="CA414" s="226"/>
      <c r="CB414" s="266"/>
      <c r="CC414" s="223"/>
      <c r="CD414" s="281"/>
      <c r="CE414" s="291"/>
      <c r="CF414" s="223"/>
      <c r="CG414" s="223"/>
      <c r="CH414" s="223"/>
      <c r="CI414" s="223"/>
      <c r="CK414" s="223"/>
      <c r="CL414" s="223"/>
      <c r="CM414" s="259">
        <v>42161</v>
      </c>
    </row>
    <row r="415" spans="1:92">
      <c r="A415" s="258">
        <v>682</v>
      </c>
      <c r="B415" s="235">
        <v>682</v>
      </c>
      <c r="C415" s="235" t="s">
        <v>7576</v>
      </c>
      <c r="D415" s="235"/>
      <c r="E415" s="235"/>
      <c r="F415" s="235"/>
      <c r="G415" s="235"/>
      <c r="H415" s="235" t="s">
        <v>265</v>
      </c>
      <c r="I415" s="235">
        <v>2</v>
      </c>
      <c r="K415" s="235">
        <v>49</v>
      </c>
      <c r="L415" s="235">
        <f t="shared" si="208"/>
        <v>49</v>
      </c>
      <c r="M415" s="235">
        <v>10</v>
      </c>
      <c r="O415" s="248">
        <v>42048</v>
      </c>
      <c r="P415" s="223"/>
      <c r="Q415" s="262"/>
      <c r="R415" s="223"/>
      <c r="S415" s="223"/>
      <c r="T415" s="223"/>
      <c r="U415" s="225"/>
      <c r="V415" s="219"/>
      <c r="W415" s="224"/>
      <c r="X415">
        <v>15.55</v>
      </c>
      <c r="Y415" s="223"/>
      <c r="Z415" s="223"/>
      <c r="AA415" s="223"/>
      <c r="AB415" s="220"/>
      <c r="AC415" s="224"/>
      <c r="AD415" s="221"/>
      <c r="AE415" s="224"/>
      <c r="AF415" s="220"/>
      <c r="AG415" s="224"/>
      <c r="AH415" s="220"/>
      <c r="AI415" s="224"/>
      <c r="AJ415" s="286"/>
      <c r="AK415" s="290"/>
      <c r="AL415" s="223"/>
      <c r="AM415" s="223"/>
      <c r="AN415" s="241">
        <v>70</v>
      </c>
      <c r="AO415" s="242">
        <v>42074</v>
      </c>
      <c r="AP415" s="255">
        <v>104</v>
      </c>
      <c r="AQ415" s="242">
        <v>42108</v>
      </c>
      <c r="AR415" s="223"/>
      <c r="AS415" s="297"/>
      <c r="AT415" s="290"/>
      <c r="AU415" s="298"/>
      <c r="AV415" s="223"/>
      <c r="AW415" s="223"/>
      <c r="AX415" s="223"/>
      <c r="AY415" s="223"/>
      <c r="AZ415" s="223"/>
      <c r="BA415" s="223"/>
      <c r="BB415" s="223"/>
      <c r="BC415" s="223"/>
      <c r="BD415" s="223"/>
      <c r="BE415" s="223"/>
      <c r="BF415" s="281"/>
      <c r="BG415" s="235"/>
      <c r="BH415" s="223"/>
      <c r="BI415" s="223"/>
      <c r="BJ415" s="223"/>
      <c r="BK415" s="223"/>
      <c r="BL415" s="281"/>
      <c r="BM415" s="235"/>
      <c r="BN415" s="223"/>
      <c r="BO415" s="223"/>
      <c r="BP415" s="281"/>
      <c r="BQ415" s="235"/>
      <c r="BR415" s="281"/>
      <c r="BS415" s="235"/>
      <c r="BT415" s="281"/>
      <c r="BU415" s="235"/>
      <c r="BV415" s="281"/>
      <c r="BW415" s="235"/>
      <c r="BX415" s="281"/>
      <c r="BY415" s="235"/>
      <c r="BZ415" s="223"/>
      <c r="CA415" s="226"/>
      <c r="CB415" s="266"/>
      <c r="CC415" s="223"/>
      <c r="CD415" s="281"/>
      <c r="CE415" s="291"/>
      <c r="CF415" s="223"/>
      <c r="CG415" s="223"/>
      <c r="CH415" s="223"/>
      <c r="CI415" s="223"/>
      <c r="CK415" s="223"/>
      <c r="CL415" s="223"/>
      <c r="CM415" s="259">
        <v>42161</v>
      </c>
    </row>
    <row r="416" spans="1:92">
      <c r="A416" s="258">
        <v>685</v>
      </c>
      <c r="B416" s="235">
        <v>685</v>
      </c>
      <c r="C416" s="235" t="s">
        <v>7732</v>
      </c>
      <c r="D416" s="235" t="s">
        <v>7555</v>
      </c>
      <c r="E416" s="235" t="s">
        <v>7732</v>
      </c>
      <c r="F416" s="235" t="s">
        <v>8554</v>
      </c>
      <c r="G416" s="235" t="str">
        <f t="shared" ref="G416:G425" si="216">IF(MID(C416,1,3)="BGA","Complement","Rapsodyn")</f>
        <v>Rapsodyn</v>
      </c>
      <c r="H416" s="235" t="s">
        <v>265</v>
      </c>
      <c r="I416" s="235">
        <v>2</v>
      </c>
      <c r="J416" s="235">
        <v>9113</v>
      </c>
      <c r="K416" s="235">
        <v>46</v>
      </c>
      <c r="L416" s="235">
        <f t="shared" si="208"/>
        <v>46</v>
      </c>
      <c r="M416" s="235">
        <v>10</v>
      </c>
      <c r="N416" s="235">
        <v>7</v>
      </c>
      <c r="O416" s="248">
        <v>42048</v>
      </c>
      <c r="P416">
        <v>4.55</v>
      </c>
      <c r="Q416" s="264">
        <v>42204</v>
      </c>
      <c r="R416"/>
      <c r="S416"/>
      <c r="T416"/>
      <c r="V416" s="219">
        <f t="shared" ref="V416:V425" si="217">+BR416*AF416/100</f>
        <v>13.982012689167279</v>
      </c>
      <c r="W416" s="219"/>
      <c r="X416">
        <v>15.55</v>
      </c>
      <c r="Y416"/>
      <c r="Z416"/>
      <c r="AA416"/>
      <c r="AB416" s="220">
        <f t="shared" ref="AB416:AB425" si="218">+AF416*BT416/100</f>
        <v>4.3275096650138929</v>
      </c>
      <c r="AC416" s="219"/>
      <c r="AD416" s="221">
        <f t="shared" ref="AD416:AD425" si="219">+(AF416/AJ416)*10000</f>
        <v>63274.886503270616</v>
      </c>
      <c r="AE416" s="219"/>
      <c r="AF416" s="220">
        <f t="shared" ref="AF416:AF425" si="220">($P416/$X416)*(((100-$CD416)/100*(100-2)/100))*100</f>
        <v>27.65112540192926</v>
      </c>
      <c r="AG416" s="219"/>
      <c r="AH416" s="220">
        <f t="shared" ref="AH416:AH425" si="221">($P416/$X416)*(((100-$CD416)/(100-9)*(100-2)/(100-2))*100)</f>
        <v>31.005971520440973</v>
      </c>
      <c r="AI416" s="219"/>
      <c r="AJ416">
        <v>4.37</v>
      </c>
      <c r="AK416" s="284" t="s">
        <v>8398</v>
      </c>
      <c r="AL416">
        <v>160</v>
      </c>
      <c r="AM416"/>
      <c r="AN416" s="241">
        <v>79</v>
      </c>
      <c r="AO416" s="242">
        <v>42083</v>
      </c>
      <c r="AP416" s="255">
        <v>106</v>
      </c>
      <c r="AQ416" s="242">
        <v>42110</v>
      </c>
      <c r="AR416" s="223">
        <v>131</v>
      </c>
      <c r="AS416" s="297">
        <f t="shared" ref="AS416:AS425" si="222">IF(AR416=0,,AR416)</f>
        <v>131</v>
      </c>
      <c r="AT416" s="290">
        <v>42135</v>
      </c>
      <c r="AU416" s="298"/>
      <c r="AV416"/>
      <c r="AW416"/>
      <c r="AX416"/>
      <c r="AY416"/>
      <c r="AZ416"/>
      <c r="BA416"/>
      <c r="BB416"/>
      <c r="BC416"/>
      <c r="BD416"/>
      <c r="BE416"/>
      <c r="BF416" s="277">
        <v>-5.2958030700683594</v>
      </c>
      <c r="BG416" s="283">
        <v>42233</v>
      </c>
      <c r="BH416"/>
      <c r="BI416"/>
      <c r="BJ416"/>
      <c r="BK416"/>
      <c r="BL416" s="277">
        <v>63.100353240966797</v>
      </c>
      <c r="BM416" s="283">
        <v>42233</v>
      </c>
      <c r="BN416"/>
      <c r="BO416"/>
      <c r="BP416" s="277">
        <v>3.6886050701141357</v>
      </c>
      <c r="BQ416" s="283">
        <v>42233</v>
      </c>
      <c r="BR416" s="277">
        <v>50.565799713134766</v>
      </c>
      <c r="BS416" s="283">
        <v>42233</v>
      </c>
      <c r="BT416" s="277">
        <v>15.650392532348633</v>
      </c>
      <c r="BU416" s="283">
        <v>42233</v>
      </c>
      <c r="BV416" s="277">
        <v>12.649969100952148</v>
      </c>
      <c r="BW416" s="283">
        <v>42233</v>
      </c>
      <c r="BX416" s="277">
        <v>5.1888427734375</v>
      </c>
      <c r="BY416" s="283">
        <v>42233</v>
      </c>
      <c r="BZ416"/>
      <c r="CB416" s="266">
        <v>1.89</v>
      </c>
      <c r="CC416"/>
      <c r="CD416" s="277">
        <v>3.5714285714285587</v>
      </c>
      <c r="CE416" s="291" t="s">
        <v>8398</v>
      </c>
      <c r="CF416"/>
      <c r="CG416"/>
      <c r="CH416">
        <v>1</v>
      </c>
      <c r="CI416">
        <v>3</v>
      </c>
      <c r="CK416"/>
      <c r="CL416"/>
      <c r="CM416" s="259">
        <v>42161</v>
      </c>
      <c r="CN416" s="137" t="s">
        <v>8406</v>
      </c>
    </row>
    <row r="417" spans="1:92">
      <c r="A417" s="258">
        <v>686</v>
      </c>
      <c r="B417" s="235">
        <v>686</v>
      </c>
      <c r="C417" s="235" t="s">
        <v>7790</v>
      </c>
      <c r="D417" s="235" t="s">
        <v>7588</v>
      </c>
      <c r="E417" s="235" t="s">
        <v>7790</v>
      </c>
      <c r="F417" s="235" t="s">
        <v>8536</v>
      </c>
      <c r="G417" s="235" t="str">
        <f t="shared" si="216"/>
        <v>Rapsodyn</v>
      </c>
      <c r="H417" s="235" t="s">
        <v>265</v>
      </c>
      <c r="I417" s="235">
        <v>2</v>
      </c>
      <c r="J417" s="235">
        <v>9161</v>
      </c>
      <c r="K417" s="235">
        <v>45</v>
      </c>
      <c r="L417" s="235">
        <f t="shared" si="208"/>
        <v>45</v>
      </c>
      <c r="M417" s="235">
        <v>10</v>
      </c>
      <c r="N417" s="235">
        <v>7</v>
      </c>
      <c r="O417" s="248">
        <v>42048</v>
      </c>
      <c r="P417" s="223">
        <v>5.25</v>
      </c>
      <c r="Q417" s="264">
        <v>42204</v>
      </c>
      <c r="R417" s="223"/>
      <c r="S417" s="223"/>
      <c r="T417" s="223"/>
      <c r="U417" s="225"/>
      <c r="V417" s="219">
        <f t="shared" si="217"/>
        <v>16.203221347818371</v>
      </c>
      <c r="W417" s="224"/>
      <c r="X417">
        <v>15.55</v>
      </c>
      <c r="Y417" s="223"/>
      <c r="Z417" s="223"/>
      <c r="AA417" s="223"/>
      <c r="AB417" s="220">
        <f t="shared" si="218"/>
        <v>5.6326438248945401</v>
      </c>
      <c r="AC417" s="224"/>
      <c r="AD417" s="221">
        <f t="shared" si="219"/>
        <v>67795.611465770999</v>
      </c>
      <c r="AE417" s="224"/>
      <c r="AF417" s="220">
        <f t="shared" si="220"/>
        <v>32.474097892104311</v>
      </c>
      <c r="AG417" s="224"/>
      <c r="AH417" s="220">
        <f t="shared" si="221"/>
        <v>36.414103938219682</v>
      </c>
      <c r="AI417" s="224"/>
      <c r="AJ417">
        <v>4.79</v>
      </c>
      <c r="AK417" s="290" t="s">
        <v>8398</v>
      </c>
      <c r="AL417" s="223">
        <v>170</v>
      </c>
      <c r="AM417" s="223"/>
      <c r="AN417" s="241">
        <v>70</v>
      </c>
      <c r="AO417" s="242">
        <v>42074</v>
      </c>
      <c r="AP417" s="255">
        <v>104</v>
      </c>
      <c r="AQ417" s="242">
        <v>42108</v>
      </c>
      <c r="AR417" s="223">
        <v>127</v>
      </c>
      <c r="AS417" s="297">
        <f t="shared" si="222"/>
        <v>127</v>
      </c>
      <c r="AT417" s="290">
        <v>42131</v>
      </c>
      <c r="AU417" s="298"/>
      <c r="AV417" s="223"/>
      <c r="AW417" s="223"/>
      <c r="AX417" s="223"/>
      <c r="AY417" s="223"/>
      <c r="AZ417" s="223"/>
      <c r="BA417" s="223"/>
      <c r="BB417" s="223"/>
      <c r="BC417" s="223"/>
      <c r="BD417" s="223"/>
      <c r="BE417" s="223"/>
      <c r="BF417" s="281">
        <v>-2.215919017791748</v>
      </c>
      <c r="BG417" s="283">
        <v>42233</v>
      </c>
      <c r="BH417" s="223"/>
      <c r="BI417" s="223"/>
      <c r="BJ417" s="223"/>
      <c r="BK417" s="223"/>
      <c r="BL417" s="281">
        <v>65.713432312011719</v>
      </c>
      <c r="BM417" s="283">
        <v>42233</v>
      </c>
      <c r="BN417" s="223"/>
      <c r="BO417" s="223"/>
      <c r="BP417" s="281">
        <v>3.7608990669250488</v>
      </c>
      <c r="BQ417" s="283">
        <v>42233</v>
      </c>
      <c r="BR417" s="281">
        <v>49.895832061767578</v>
      </c>
      <c r="BS417" s="283">
        <v>42233</v>
      </c>
      <c r="BT417" s="281">
        <v>17.345035552978516</v>
      </c>
      <c r="BU417" s="283">
        <v>42233</v>
      </c>
      <c r="BV417" s="281">
        <v>13.055505752563477</v>
      </c>
      <c r="BW417" s="283">
        <v>42233</v>
      </c>
      <c r="BX417" s="281">
        <v>5.3126907348632813</v>
      </c>
      <c r="BY417" s="283">
        <v>42233</v>
      </c>
      <c r="BZ417" s="223"/>
      <c r="CA417" s="226"/>
      <c r="CB417" s="266">
        <v>1.44</v>
      </c>
      <c r="CC417" s="223"/>
      <c r="CD417" s="281">
        <v>1.8518518518518614</v>
      </c>
      <c r="CE417" s="291" t="s">
        <v>8398</v>
      </c>
      <c r="CF417" s="223"/>
      <c r="CG417" s="223"/>
      <c r="CH417" s="223">
        <v>1</v>
      </c>
      <c r="CI417" s="223">
        <v>2</v>
      </c>
      <c r="CK417" s="223"/>
      <c r="CL417" s="223">
        <v>2</v>
      </c>
      <c r="CM417" s="259">
        <v>42161</v>
      </c>
      <c r="CN417" s="137" t="s">
        <v>8406</v>
      </c>
    </row>
    <row r="418" spans="1:92">
      <c r="A418" s="258">
        <v>687</v>
      </c>
      <c r="B418" s="235">
        <v>687</v>
      </c>
      <c r="C418" s="235" t="s">
        <v>7613</v>
      </c>
      <c r="D418" s="235" t="s">
        <v>7814</v>
      </c>
      <c r="E418" s="235" t="s">
        <v>7613</v>
      </c>
      <c r="F418" s="235" t="s">
        <v>8573</v>
      </c>
      <c r="G418" s="235" t="str">
        <f t="shared" si="216"/>
        <v>Rapsodyn</v>
      </c>
      <c r="H418" s="235" t="s">
        <v>265</v>
      </c>
      <c r="I418" s="235">
        <v>2</v>
      </c>
      <c r="J418" s="235">
        <v>9006</v>
      </c>
      <c r="K418" s="235">
        <v>44</v>
      </c>
      <c r="L418" s="235">
        <f t="shared" si="208"/>
        <v>44</v>
      </c>
      <c r="M418" s="235">
        <v>10</v>
      </c>
      <c r="N418" s="236">
        <v>9</v>
      </c>
      <c r="O418" s="248">
        <v>42048</v>
      </c>
      <c r="P418">
        <v>2.8</v>
      </c>
      <c r="Q418" s="264">
        <v>42204</v>
      </c>
      <c r="R418"/>
      <c r="S418"/>
      <c r="T418"/>
      <c r="V418" s="219">
        <f t="shared" si="217"/>
        <v>8.1971427355701891</v>
      </c>
      <c r="W418" s="219"/>
      <c r="X418">
        <v>15.55</v>
      </c>
      <c r="Y418"/>
      <c r="Z418"/>
      <c r="AA418"/>
      <c r="AB418" s="220">
        <f t="shared" si="218"/>
        <v>2.9887568330918093</v>
      </c>
      <c r="AC418" s="219"/>
      <c r="AD418" s="221">
        <f t="shared" si="219"/>
        <v>35234.102595411561</v>
      </c>
      <c r="AE418" s="219"/>
      <c r="AF418" s="220">
        <f t="shared" si="220"/>
        <v>16.70096463022508</v>
      </c>
      <c r="AG418" s="219"/>
      <c r="AH418" s="220">
        <f t="shared" si="221"/>
        <v>18.727253453941554</v>
      </c>
      <c r="AI418" s="219"/>
      <c r="AJ418">
        <v>4.74</v>
      </c>
      <c r="AK418" s="284" t="s">
        <v>8403</v>
      </c>
      <c r="AL418">
        <v>180</v>
      </c>
      <c r="AM418"/>
      <c r="AN418" s="241">
        <v>72</v>
      </c>
      <c r="AO418" s="242">
        <v>42076</v>
      </c>
      <c r="AP418" s="255">
        <v>106</v>
      </c>
      <c r="AQ418" s="242">
        <v>42110</v>
      </c>
      <c r="AR418" s="223">
        <v>131</v>
      </c>
      <c r="AS418" s="297">
        <f t="shared" si="222"/>
        <v>131</v>
      </c>
      <c r="AT418" s="290">
        <v>42135</v>
      </c>
      <c r="AU418" s="298"/>
      <c r="AV418"/>
      <c r="AW418"/>
      <c r="AX418"/>
      <c r="AY418"/>
      <c r="AZ418"/>
      <c r="BA418"/>
      <c r="BB418"/>
      <c r="BC418"/>
      <c r="BD418"/>
      <c r="BE418"/>
      <c r="BF418" s="277">
        <v>30.04461669921875</v>
      </c>
      <c r="BG418" s="283">
        <v>42230</v>
      </c>
      <c r="BH418"/>
      <c r="BI418"/>
      <c r="BJ418"/>
      <c r="BK418"/>
      <c r="BL418" s="277">
        <v>61.44903564453125</v>
      </c>
      <c r="BM418" s="283">
        <v>42230</v>
      </c>
      <c r="BN418"/>
      <c r="BO418"/>
      <c r="BP418" s="277">
        <v>4.0010209083557129</v>
      </c>
      <c r="BQ418" s="283">
        <v>42230</v>
      </c>
      <c r="BR418" s="277">
        <v>49.081851959228516</v>
      </c>
      <c r="BS418" s="283">
        <v>42230</v>
      </c>
      <c r="BT418" s="277">
        <v>17.895713806152344</v>
      </c>
      <c r="BU418" s="283">
        <v>42230</v>
      </c>
      <c r="BV418" s="277">
        <v>56.774055480957031</v>
      </c>
      <c r="BW418" s="283">
        <v>42230</v>
      </c>
      <c r="BX418" s="277">
        <v>5.6221847534179687</v>
      </c>
      <c r="BY418" s="283">
        <v>42230</v>
      </c>
      <c r="BZ418"/>
      <c r="CB418" s="266">
        <v>1.42</v>
      </c>
      <c r="CC418"/>
      <c r="CD418" s="277">
        <v>5.3571428571428541</v>
      </c>
      <c r="CE418" s="291" t="s">
        <v>8403</v>
      </c>
      <c r="CF418"/>
      <c r="CG418"/>
      <c r="CH418">
        <v>2</v>
      </c>
      <c r="CI418">
        <v>3</v>
      </c>
      <c r="CK418"/>
      <c r="CL418">
        <v>3</v>
      </c>
      <c r="CM418" s="259">
        <v>42161</v>
      </c>
      <c r="CN418" s="137" t="s">
        <v>8406</v>
      </c>
    </row>
    <row r="419" spans="1:92">
      <c r="A419" s="258">
        <v>688</v>
      </c>
      <c r="B419" s="235">
        <v>688</v>
      </c>
      <c r="C419" s="235" t="s">
        <v>7639</v>
      </c>
      <c r="D419" s="235" t="s">
        <v>7817</v>
      </c>
      <c r="E419" s="235" t="s">
        <v>7639</v>
      </c>
      <c r="F419" s="235" t="s">
        <v>8585</v>
      </c>
      <c r="G419" s="235" t="str">
        <f t="shared" si="216"/>
        <v>Rapsodyn</v>
      </c>
      <c r="H419" s="235" t="s">
        <v>265</v>
      </c>
      <c r="I419" s="235">
        <v>2</v>
      </c>
      <c r="J419" s="235">
        <v>9027</v>
      </c>
      <c r="K419" s="235">
        <v>43</v>
      </c>
      <c r="L419" s="235">
        <f t="shared" si="208"/>
        <v>43</v>
      </c>
      <c r="M419" s="235">
        <v>10</v>
      </c>
      <c r="N419" s="235">
        <v>3</v>
      </c>
      <c r="O419" s="248">
        <v>42048</v>
      </c>
      <c r="P419">
        <v>4.7</v>
      </c>
      <c r="Q419" s="264">
        <v>42204</v>
      </c>
      <c r="R419"/>
      <c r="S419"/>
      <c r="T419"/>
      <c r="V419" s="219">
        <f t="shared" si="217"/>
        <v>14.042089975696735</v>
      </c>
      <c r="W419" s="219"/>
      <c r="X419">
        <v>15.55</v>
      </c>
      <c r="Y419"/>
      <c r="Z419"/>
      <c r="AA419"/>
      <c r="AB419" s="220">
        <f t="shared" si="218"/>
        <v>4.3839240875842371</v>
      </c>
      <c r="AC419" s="219"/>
      <c r="AD419" s="221">
        <f t="shared" si="219"/>
        <v>67175.467489993913</v>
      </c>
      <c r="AE419" s="219"/>
      <c r="AF419" s="220">
        <f t="shared" si="220"/>
        <v>27.541941670897501</v>
      </c>
      <c r="AG419" s="219"/>
      <c r="AH419" s="220">
        <f t="shared" si="221"/>
        <v>30.883540783693093</v>
      </c>
      <c r="AI419" s="219"/>
      <c r="AJ419">
        <v>4.0999999999999996</v>
      </c>
      <c r="AK419" s="284" t="s">
        <v>8403</v>
      </c>
      <c r="AL419">
        <v>160</v>
      </c>
      <c r="AM419"/>
      <c r="AN419" s="241">
        <v>65</v>
      </c>
      <c r="AO419" s="242">
        <v>42069</v>
      </c>
      <c r="AP419" s="255">
        <v>100</v>
      </c>
      <c r="AQ419" s="242">
        <v>42104</v>
      </c>
      <c r="AR419" s="223">
        <v>127</v>
      </c>
      <c r="AS419" s="297">
        <f t="shared" si="222"/>
        <v>127</v>
      </c>
      <c r="AT419" s="290">
        <v>42131</v>
      </c>
      <c r="AU419" s="298"/>
      <c r="AV419"/>
      <c r="AW419"/>
      <c r="AX419"/>
      <c r="AY419"/>
      <c r="AZ419"/>
      <c r="BA419"/>
      <c r="BB419"/>
      <c r="BC419"/>
      <c r="BD419"/>
      <c r="BE419"/>
      <c r="BF419" s="277">
        <v>-3.79519984126091E-2</v>
      </c>
      <c r="BG419" s="283">
        <v>42230</v>
      </c>
      <c r="BH419"/>
      <c r="BI419"/>
      <c r="BJ419"/>
      <c r="BK419"/>
      <c r="BL419" s="277">
        <v>63.025627136230469</v>
      </c>
      <c r="BM419" s="283">
        <v>42230</v>
      </c>
      <c r="BN419"/>
      <c r="BO419"/>
      <c r="BP419" s="277">
        <v>3.3990540504455566</v>
      </c>
      <c r="BQ419" s="283">
        <v>42230</v>
      </c>
      <c r="BR419" s="277">
        <v>50.984386444091797</v>
      </c>
      <c r="BS419" s="283">
        <v>42230</v>
      </c>
      <c r="BT419" s="277">
        <v>15.917265892028809</v>
      </c>
      <c r="BU419" s="283">
        <v>42230</v>
      </c>
      <c r="BV419" s="277">
        <v>46.852851867675781</v>
      </c>
      <c r="BW419" s="283">
        <v>42230</v>
      </c>
      <c r="BX419" s="277">
        <v>5.4004287719726563</v>
      </c>
      <c r="BY419" s="283">
        <v>42230</v>
      </c>
      <c r="BZ419"/>
      <c r="CB419" s="266">
        <v>1.67</v>
      </c>
      <c r="CC419"/>
      <c r="CD419" s="277">
        <v>7.0175438596491295</v>
      </c>
      <c r="CE419" s="291" t="s">
        <v>8403</v>
      </c>
      <c r="CF419"/>
      <c r="CG419"/>
      <c r="CH419">
        <v>2</v>
      </c>
      <c r="CI419">
        <v>2</v>
      </c>
      <c r="CK419"/>
      <c r="CL419"/>
      <c r="CM419" s="259">
        <v>42161</v>
      </c>
      <c r="CN419" s="137" t="s">
        <v>8406</v>
      </c>
    </row>
    <row r="420" spans="1:92">
      <c r="A420" s="258">
        <v>690</v>
      </c>
      <c r="B420" s="235">
        <v>690</v>
      </c>
      <c r="C420" s="240" t="s">
        <v>7752</v>
      </c>
      <c r="D420" s="240" t="s">
        <v>7560</v>
      </c>
      <c r="E420" s="240" t="s">
        <v>7752</v>
      </c>
      <c r="F420" s="240" t="s">
        <v>8485</v>
      </c>
      <c r="G420" s="235" t="str">
        <f t="shared" si="216"/>
        <v>Rapsodyn</v>
      </c>
      <c r="H420" s="235" t="s">
        <v>265</v>
      </c>
      <c r="I420" s="235">
        <v>2</v>
      </c>
      <c r="J420" s="240">
        <v>9124</v>
      </c>
      <c r="K420" s="240">
        <v>41</v>
      </c>
      <c r="L420" s="235">
        <f t="shared" si="208"/>
        <v>41</v>
      </c>
      <c r="M420" s="240">
        <v>10</v>
      </c>
      <c r="N420" s="235">
        <v>7</v>
      </c>
      <c r="O420" s="248">
        <v>42048</v>
      </c>
      <c r="P420">
        <v>4.3</v>
      </c>
      <c r="Q420" s="264">
        <v>42204</v>
      </c>
      <c r="R420"/>
      <c r="S420"/>
      <c r="T420"/>
      <c r="V420" s="219">
        <f t="shared" si="217"/>
        <v>13.680715853332323</v>
      </c>
      <c r="W420" s="219"/>
      <c r="X420">
        <v>15.55</v>
      </c>
      <c r="Y420"/>
      <c r="Z420"/>
      <c r="AA420"/>
      <c r="AB420" s="220">
        <f t="shared" si="218"/>
        <v>4.0003792389259463</v>
      </c>
      <c r="AC420" s="219"/>
      <c r="AD420" s="221">
        <f t="shared" si="219"/>
        <v>58591.553357461104</v>
      </c>
      <c r="AE420" s="219"/>
      <c r="AF420" s="220">
        <f t="shared" si="220"/>
        <v>26.131832797427652</v>
      </c>
      <c r="AG420" s="219"/>
      <c r="AH420" s="220">
        <f t="shared" si="221"/>
        <v>29.302346711625535</v>
      </c>
      <c r="AI420" s="219"/>
      <c r="AJ420">
        <v>4.46</v>
      </c>
      <c r="AK420" s="284" t="s">
        <v>8401</v>
      </c>
      <c r="AL420">
        <v>160</v>
      </c>
      <c r="AM420"/>
      <c r="AN420" s="241">
        <v>63</v>
      </c>
      <c r="AO420" s="245">
        <v>42067</v>
      </c>
      <c r="AP420" s="255">
        <v>100</v>
      </c>
      <c r="AQ420" s="242">
        <v>42104</v>
      </c>
      <c r="AR420" s="223">
        <v>123</v>
      </c>
      <c r="AS420" s="297">
        <f t="shared" si="222"/>
        <v>123</v>
      </c>
      <c r="AT420" s="290">
        <v>42127</v>
      </c>
      <c r="AU420" s="298"/>
      <c r="AV420"/>
      <c r="AW420"/>
      <c r="AX420"/>
      <c r="AY420"/>
      <c r="AZ420"/>
      <c r="BA420"/>
      <c r="BB420"/>
      <c r="BC420"/>
      <c r="BD420"/>
      <c r="BE420"/>
      <c r="BF420" s="277">
        <v>-6.1489620208740234</v>
      </c>
      <c r="BG420" s="283">
        <v>42233</v>
      </c>
      <c r="BH420"/>
      <c r="BI420"/>
      <c r="BJ420"/>
      <c r="BK420"/>
      <c r="BL420" s="277">
        <v>65.267753601074219</v>
      </c>
      <c r="BM420" s="283">
        <v>42233</v>
      </c>
      <c r="BN420"/>
      <c r="BO420"/>
      <c r="BP420" s="277">
        <v>3.8249099254608154</v>
      </c>
      <c r="BQ420" s="283">
        <v>42233</v>
      </c>
      <c r="BR420" s="277">
        <v>52.352684020996094</v>
      </c>
      <c r="BS420" s="283">
        <v>42233</v>
      </c>
      <c r="BT420" s="277">
        <v>15.308452606201172</v>
      </c>
      <c r="BU420" s="283">
        <v>42233</v>
      </c>
      <c r="BV420" s="277">
        <v>14.411810874938965</v>
      </c>
      <c r="BW420" s="283">
        <v>42233</v>
      </c>
      <c r="BX420" s="277">
        <v>5.0803146362304687</v>
      </c>
      <c r="BY420" s="283">
        <v>42233</v>
      </c>
      <c r="BZ420"/>
      <c r="CB420" s="266">
        <v>1.76</v>
      </c>
      <c r="CC420"/>
      <c r="CD420" s="277">
        <v>3.5714285714285587</v>
      </c>
      <c r="CE420" s="291" t="s">
        <v>8401</v>
      </c>
      <c r="CF420"/>
      <c r="CG420"/>
      <c r="CH420">
        <v>2</v>
      </c>
      <c r="CI420">
        <v>4</v>
      </c>
      <c r="CK420"/>
      <c r="CL420">
        <v>2</v>
      </c>
      <c r="CM420" s="259">
        <v>42161</v>
      </c>
      <c r="CN420" s="137" t="s">
        <v>8406</v>
      </c>
    </row>
    <row r="421" spans="1:92">
      <c r="A421" s="258">
        <v>691</v>
      </c>
      <c r="B421" s="235">
        <v>691</v>
      </c>
      <c r="C421" s="235" t="s">
        <v>7619</v>
      </c>
      <c r="D421" s="235" t="s">
        <v>7455</v>
      </c>
      <c r="E421" s="235" t="s">
        <v>7619</v>
      </c>
      <c r="F421" s="235" t="s">
        <v>8574</v>
      </c>
      <c r="G421" s="235" t="str">
        <f t="shared" si="216"/>
        <v>Rapsodyn</v>
      </c>
      <c r="H421" s="235" t="s">
        <v>265</v>
      </c>
      <c r="I421" s="235">
        <v>2</v>
      </c>
      <c r="J421" s="235">
        <v>9012</v>
      </c>
      <c r="K421" s="235">
        <v>40</v>
      </c>
      <c r="L421" s="235">
        <f t="shared" si="208"/>
        <v>40</v>
      </c>
      <c r="M421" s="235">
        <v>10</v>
      </c>
      <c r="N421" s="235">
        <v>7</v>
      </c>
      <c r="O421" s="248">
        <v>42048</v>
      </c>
      <c r="P421">
        <v>2.85</v>
      </c>
      <c r="Q421" s="264">
        <v>42204</v>
      </c>
      <c r="R421"/>
      <c r="S421"/>
      <c r="T421"/>
      <c r="V421" s="219">
        <f t="shared" si="217"/>
        <v>8.3097330443811313</v>
      </c>
      <c r="W421" s="219"/>
      <c r="X421">
        <v>15.55</v>
      </c>
      <c r="Y421"/>
      <c r="Z421"/>
      <c r="AA421"/>
      <c r="AB421" s="220">
        <f t="shared" si="218"/>
        <v>3.4120408355095808</v>
      </c>
      <c r="AC421" s="219"/>
      <c r="AD421" s="221">
        <f t="shared" si="219"/>
        <v>36172.490694236134</v>
      </c>
      <c r="AE421" s="219"/>
      <c r="AF421" s="220">
        <f t="shared" si="220"/>
        <v>17.616002968092996</v>
      </c>
      <c r="AG421" s="219"/>
      <c r="AH421" s="220">
        <f t="shared" si="221"/>
        <v>19.753311244777976</v>
      </c>
      <c r="AI421" s="219"/>
      <c r="AJ421">
        <v>4.87</v>
      </c>
      <c r="AK421" s="284" t="s">
        <v>8400</v>
      </c>
      <c r="AL421">
        <v>155</v>
      </c>
      <c r="AM421"/>
      <c r="AN421" s="241">
        <v>72</v>
      </c>
      <c r="AO421" s="242">
        <v>42076</v>
      </c>
      <c r="AP421" s="255">
        <v>104</v>
      </c>
      <c r="AQ421" s="242">
        <v>42108</v>
      </c>
      <c r="AR421" s="223">
        <v>127</v>
      </c>
      <c r="AS421" s="297">
        <f t="shared" si="222"/>
        <v>127</v>
      </c>
      <c r="AT421" s="290">
        <v>42131</v>
      </c>
      <c r="AU421" s="298"/>
      <c r="AV421"/>
      <c r="AW421"/>
      <c r="AX421"/>
      <c r="AY421"/>
      <c r="AZ421"/>
      <c r="BA421"/>
      <c r="BB421"/>
      <c r="BC421"/>
      <c r="BD421"/>
      <c r="BE421"/>
      <c r="BF421" s="277">
        <v>36.467689514160156</v>
      </c>
      <c r="BG421" s="283">
        <v>42233</v>
      </c>
      <c r="BH421"/>
      <c r="BI421"/>
      <c r="BJ421"/>
      <c r="BK421"/>
      <c r="BL421" s="277">
        <v>55.889225006103516</v>
      </c>
      <c r="BM421" s="283">
        <v>42233</v>
      </c>
      <c r="BN421"/>
      <c r="BO421"/>
      <c r="BP421" s="277">
        <v>2.9464530944824219</v>
      </c>
      <c r="BQ421" s="283">
        <v>42233</v>
      </c>
      <c r="BR421" s="277">
        <v>47.171501159667969</v>
      </c>
      <c r="BS421" s="283">
        <v>42233</v>
      </c>
      <c r="BT421" s="277">
        <v>19.368984222412109</v>
      </c>
      <c r="BU421" s="283">
        <v>42233</v>
      </c>
      <c r="BV421" s="277">
        <v>60.239822387695313</v>
      </c>
      <c r="BW421" s="283">
        <v>42233</v>
      </c>
      <c r="BX421" s="277">
        <v>5.3703231811523437</v>
      </c>
      <c r="BY421" s="283">
        <v>42233</v>
      </c>
      <c r="BZ421"/>
      <c r="CB421" s="266">
        <v>1.5</v>
      </c>
      <c r="CC421"/>
      <c r="CD421" s="277">
        <v>1.9230769230769333</v>
      </c>
      <c r="CE421" s="291" t="s">
        <v>8400</v>
      </c>
      <c r="CF421"/>
      <c r="CG421"/>
      <c r="CH421">
        <v>1</v>
      </c>
      <c r="CI421">
        <v>3</v>
      </c>
      <c r="CK421"/>
      <c r="CL421"/>
      <c r="CM421" s="259">
        <v>42161</v>
      </c>
      <c r="CN421" s="137" t="s">
        <v>8406</v>
      </c>
    </row>
    <row r="422" spans="1:92">
      <c r="A422" s="258">
        <v>695</v>
      </c>
      <c r="B422" s="235">
        <v>695</v>
      </c>
      <c r="C422" s="235" t="s">
        <v>7693</v>
      </c>
      <c r="D422" s="235" t="s">
        <v>7519</v>
      </c>
      <c r="E422" s="235" t="s">
        <v>7693</v>
      </c>
      <c r="F422" s="235" t="s">
        <v>8526</v>
      </c>
      <c r="G422" s="235" t="str">
        <f t="shared" si="216"/>
        <v>Rapsodyn</v>
      </c>
      <c r="H422" s="235" t="s">
        <v>265</v>
      </c>
      <c r="I422" s="235">
        <v>2</v>
      </c>
      <c r="J422" s="235">
        <v>9075</v>
      </c>
      <c r="K422" s="235">
        <v>36</v>
      </c>
      <c r="L422" s="235">
        <f t="shared" si="208"/>
        <v>36</v>
      </c>
      <c r="M422" s="235">
        <v>10</v>
      </c>
      <c r="N422" s="235">
        <v>7</v>
      </c>
      <c r="O422" s="248">
        <v>42048</v>
      </c>
      <c r="P422">
        <v>4.75</v>
      </c>
      <c r="Q422" s="264">
        <v>42204</v>
      </c>
      <c r="R422"/>
      <c r="S422"/>
      <c r="T422"/>
      <c r="V422" s="219">
        <f t="shared" si="217"/>
        <v>14.256401582133378</v>
      </c>
      <c r="W422" s="219"/>
      <c r="X422">
        <v>15.55</v>
      </c>
      <c r="Y422"/>
      <c r="Z422"/>
      <c r="AA422"/>
      <c r="AB422" s="220">
        <f t="shared" si="218"/>
        <v>5.1970587671908781</v>
      </c>
      <c r="AC422" s="219"/>
      <c r="AD422" s="221">
        <f t="shared" si="219"/>
        <v>62035.16934335207</v>
      </c>
      <c r="AE422" s="219"/>
      <c r="AF422" s="220">
        <f t="shared" si="220"/>
        <v>28.784318575315361</v>
      </c>
      <c r="AG422" s="219"/>
      <c r="AH422" s="220">
        <f t="shared" si="221"/>
        <v>32.276652360748329</v>
      </c>
      <c r="AI422" s="219"/>
      <c r="AJ422">
        <v>4.6399999999999997</v>
      </c>
      <c r="AK422" s="284" t="s">
        <v>8402</v>
      </c>
      <c r="AL422">
        <v>135</v>
      </c>
      <c r="AM422"/>
      <c r="AN422" s="241">
        <v>72</v>
      </c>
      <c r="AO422" s="242">
        <v>42076</v>
      </c>
      <c r="AP422" s="255">
        <v>104</v>
      </c>
      <c r="AQ422" s="242">
        <v>42108</v>
      </c>
      <c r="AR422" s="223">
        <v>130</v>
      </c>
      <c r="AS422" s="297">
        <f t="shared" si="222"/>
        <v>130</v>
      </c>
      <c r="AT422" s="290">
        <v>42134</v>
      </c>
      <c r="AU422" s="298"/>
      <c r="AV422"/>
      <c r="AW422"/>
      <c r="AX422"/>
      <c r="AY422"/>
      <c r="AZ422"/>
      <c r="BA422"/>
      <c r="BB422"/>
      <c r="BC422"/>
      <c r="BD422"/>
      <c r="BE422"/>
      <c r="BF422" s="277">
        <v>-6.8134880065917969</v>
      </c>
      <c r="BG422" s="283">
        <v>42233</v>
      </c>
      <c r="BH422"/>
      <c r="BI422"/>
      <c r="BJ422"/>
      <c r="BK422"/>
      <c r="BL422" s="277">
        <v>64.22540283203125</v>
      </c>
      <c r="BM422" s="283">
        <v>42233</v>
      </c>
      <c r="BN422"/>
      <c r="BO422"/>
      <c r="BP422" s="277">
        <v>3.592026948928833</v>
      </c>
      <c r="BQ422" s="283">
        <v>42233</v>
      </c>
      <c r="BR422" s="277">
        <v>49.528362274169922</v>
      </c>
      <c r="BS422" s="283">
        <v>42233</v>
      </c>
      <c r="BT422" s="277">
        <v>18.055173873901367</v>
      </c>
      <c r="BU422" s="283">
        <v>42233</v>
      </c>
      <c r="BV422" s="277">
        <v>14.043108940124512</v>
      </c>
      <c r="BW422" s="283">
        <v>42233</v>
      </c>
      <c r="BX422" s="277">
        <v>5.4098052978515625</v>
      </c>
      <c r="BY422" s="283">
        <v>42233</v>
      </c>
      <c r="BZ422"/>
      <c r="CB422" s="266">
        <v>1.38</v>
      </c>
      <c r="CC422"/>
      <c r="CD422" s="277">
        <v>3.8461538461538494</v>
      </c>
      <c r="CE422" s="291" t="s">
        <v>8402</v>
      </c>
      <c r="CF422"/>
      <c r="CG422"/>
      <c r="CH422">
        <v>1</v>
      </c>
      <c r="CI422">
        <v>2</v>
      </c>
      <c r="CK422"/>
      <c r="CL422"/>
      <c r="CM422" s="259">
        <v>42161</v>
      </c>
      <c r="CN422" s="137" t="s">
        <v>8406</v>
      </c>
    </row>
    <row r="423" spans="1:92">
      <c r="A423" s="258">
        <v>696</v>
      </c>
      <c r="B423" s="235">
        <v>696</v>
      </c>
      <c r="C423" s="235" t="s">
        <v>7685</v>
      </c>
      <c r="D423" s="235" t="s">
        <v>7512</v>
      </c>
      <c r="E423" s="235" t="s">
        <v>7685</v>
      </c>
      <c r="F423" s="235" t="s">
        <v>8599</v>
      </c>
      <c r="G423" s="235" t="str">
        <f t="shared" si="216"/>
        <v>Rapsodyn</v>
      </c>
      <c r="H423" s="235" t="s">
        <v>265</v>
      </c>
      <c r="I423" s="235">
        <v>2</v>
      </c>
      <c r="J423" s="235">
        <v>9067</v>
      </c>
      <c r="K423" s="235">
        <v>35</v>
      </c>
      <c r="L423" s="235">
        <f t="shared" si="208"/>
        <v>35</v>
      </c>
      <c r="M423" s="235">
        <v>10</v>
      </c>
      <c r="N423" s="235">
        <v>7</v>
      </c>
      <c r="O423" s="248">
        <v>42048</v>
      </c>
      <c r="P423">
        <v>4.55</v>
      </c>
      <c r="Q423" s="264">
        <v>42204</v>
      </c>
      <c r="R423"/>
      <c r="S423"/>
      <c r="T423"/>
      <c r="V423" s="219">
        <f t="shared" si="217"/>
        <v>13.750154961539167</v>
      </c>
      <c r="W423" s="219"/>
      <c r="X423">
        <v>15.55</v>
      </c>
      <c r="Y423"/>
      <c r="Z423"/>
      <c r="AA423"/>
      <c r="AB423" s="220">
        <f t="shared" si="218"/>
        <v>4.8476750558151176</v>
      </c>
      <c r="AC423" s="219"/>
      <c r="AD423" s="221">
        <f t="shared" si="219"/>
        <v>59977.064087207473</v>
      </c>
      <c r="AE423" s="219"/>
      <c r="AF423" s="220">
        <f t="shared" si="220"/>
        <v>28.189220120987514</v>
      </c>
      <c r="AG423" s="219"/>
      <c r="AH423" s="220">
        <f t="shared" si="221"/>
        <v>31.609352008283821</v>
      </c>
      <c r="AI423" s="219"/>
      <c r="AJ423">
        <v>4.7</v>
      </c>
      <c r="AK423" s="284" t="s">
        <v>8402</v>
      </c>
      <c r="AL423">
        <v>155</v>
      </c>
      <c r="AM423"/>
      <c r="AN423" s="241">
        <v>70</v>
      </c>
      <c r="AO423" s="242">
        <v>42074</v>
      </c>
      <c r="AP423" s="255">
        <v>104</v>
      </c>
      <c r="AQ423" s="242">
        <v>42108</v>
      </c>
      <c r="AR423" s="223">
        <v>127</v>
      </c>
      <c r="AS423" s="297">
        <f t="shared" si="222"/>
        <v>127</v>
      </c>
      <c r="AT423" s="290">
        <v>42131</v>
      </c>
      <c r="AU423" s="298"/>
      <c r="AV423"/>
      <c r="AW423"/>
      <c r="AX423"/>
      <c r="AY423"/>
      <c r="AZ423"/>
      <c r="BA423"/>
      <c r="BB423"/>
      <c r="BC423"/>
      <c r="BD423"/>
      <c r="BE423"/>
      <c r="BF423" s="277">
        <v>-1.4527870416641235</v>
      </c>
      <c r="BG423" s="283">
        <v>42233</v>
      </c>
      <c r="BH423"/>
      <c r="BI423"/>
      <c r="BJ423"/>
      <c r="BK423"/>
      <c r="BL423" s="277">
        <v>66.116584777832031</v>
      </c>
      <c r="BM423" s="283">
        <v>42233</v>
      </c>
      <c r="BN423"/>
      <c r="BO423"/>
      <c r="BP423" s="277">
        <v>3.2726860046386719</v>
      </c>
      <c r="BQ423" s="283">
        <v>42233</v>
      </c>
      <c r="BR423" s="277">
        <v>48.778060913085937</v>
      </c>
      <c r="BS423" s="283">
        <v>42233</v>
      </c>
      <c r="BT423" s="277">
        <v>17.196910858154297</v>
      </c>
      <c r="BU423" s="283">
        <v>42233</v>
      </c>
      <c r="BV423" s="277">
        <v>16.509931564331055</v>
      </c>
      <c r="BW423" s="283">
        <v>42233</v>
      </c>
      <c r="BX423" s="277">
        <v>5.388916015625</v>
      </c>
      <c r="BY423" s="283">
        <v>42233</v>
      </c>
      <c r="BZ423"/>
      <c r="CB423" s="266">
        <v>2.17</v>
      </c>
      <c r="CC423"/>
      <c r="CD423" s="277">
        <v>1.6949152542372972</v>
      </c>
      <c r="CE423" s="291" t="s">
        <v>8402</v>
      </c>
      <c r="CF423"/>
      <c r="CG423"/>
      <c r="CH423">
        <v>3</v>
      </c>
      <c r="CI423">
        <v>3</v>
      </c>
      <c r="CK423"/>
      <c r="CL423"/>
      <c r="CM423" s="259">
        <v>42161</v>
      </c>
      <c r="CN423" s="137" t="s">
        <v>8406</v>
      </c>
    </row>
    <row r="424" spans="1:92">
      <c r="A424" s="258">
        <v>700</v>
      </c>
      <c r="B424" s="235">
        <v>700</v>
      </c>
      <c r="C424" s="235" t="s">
        <v>7673</v>
      </c>
      <c r="D424" s="235" t="s">
        <v>7502</v>
      </c>
      <c r="E424" s="235" t="s">
        <v>7673</v>
      </c>
      <c r="F424" s="235" t="s">
        <v>8538</v>
      </c>
      <c r="G424" s="235" t="str">
        <f t="shared" si="216"/>
        <v>Rapsodyn</v>
      </c>
      <c r="H424" s="235" t="s">
        <v>265</v>
      </c>
      <c r="I424" s="235">
        <v>2</v>
      </c>
      <c r="J424" s="235">
        <v>9055</v>
      </c>
      <c r="K424" s="235">
        <v>31</v>
      </c>
      <c r="L424" s="235">
        <f t="shared" si="208"/>
        <v>31</v>
      </c>
      <c r="M424" s="235">
        <v>10</v>
      </c>
      <c r="N424" s="235">
        <v>7</v>
      </c>
      <c r="O424" s="248">
        <v>42048</v>
      </c>
      <c r="P424">
        <v>5.85</v>
      </c>
      <c r="Q424" s="264">
        <v>42204</v>
      </c>
      <c r="R424"/>
      <c r="S424"/>
      <c r="T424"/>
      <c r="V424" s="219">
        <f t="shared" si="217"/>
        <v>17.669182283826892</v>
      </c>
      <c r="W424" s="219"/>
      <c r="X424">
        <v>15.55</v>
      </c>
      <c r="Y424"/>
      <c r="Z424"/>
      <c r="AA424"/>
      <c r="AB424" s="220">
        <f t="shared" si="218"/>
        <v>5.387549007711268</v>
      </c>
      <c r="AC424" s="219"/>
      <c r="AD424" s="221">
        <f t="shared" si="219"/>
        <v>74807.102738459886</v>
      </c>
      <c r="AE424" s="219"/>
      <c r="AF424" s="220">
        <f t="shared" si="220"/>
        <v>34.186845951476172</v>
      </c>
      <c r="AG424" s="219"/>
      <c r="AH424" s="220">
        <f t="shared" si="221"/>
        <v>38.334655697999743</v>
      </c>
      <c r="AI424" s="219"/>
      <c r="AJ424">
        <v>4.57</v>
      </c>
      <c r="AK424" s="284" t="s">
        <v>8401</v>
      </c>
      <c r="AL424">
        <v>165</v>
      </c>
      <c r="AM424"/>
      <c r="AN424" s="241">
        <v>75</v>
      </c>
      <c r="AO424" s="242">
        <v>42079</v>
      </c>
      <c r="AP424" s="255">
        <v>106</v>
      </c>
      <c r="AQ424" s="242">
        <v>42110</v>
      </c>
      <c r="AR424" s="223">
        <v>131</v>
      </c>
      <c r="AS424" s="297">
        <f t="shared" si="222"/>
        <v>131</v>
      </c>
      <c r="AT424" s="290">
        <v>42135</v>
      </c>
      <c r="AU424" s="298"/>
      <c r="AV424"/>
      <c r="AW424"/>
      <c r="AX424"/>
      <c r="AY424"/>
      <c r="AZ424"/>
      <c r="BA424"/>
      <c r="BB424"/>
      <c r="BC424"/>
      <c r="BD424"/>
      <c r="BE424"/>
      <c r="BF424" s="277">
        <v>-5.0052890777587891</v>
      </c>
      <c r="BG424" s="283">
        <v>42233</v>
      </c>
      <c r="BH424"/>
      <c r="BI424"/>
      <c r="BJ424"/>
      <c r="BK424"/>
      <c r="BL424" s="277">
        <v>63.616069793701172</v>
      </c>
      <c r="BM424" s="283">
        <v>42233</v>
      </c>
      <c r="BN424"/>
      <c r="BO424"/>
      <c r="BP424" s="277">
        <v>3.8476760387420654</v>
      </c>
      <c r="BQ424" s="283">
        <v>42233</v>
      </c>
      <c r="BR424" s="277">
        <v>51.684154510498047</v>
      </c>
      <c r="BS424" s="283">
        <v>42233</v>
      </c>
      <c r="BT424" s="277">
        <v>15.759128570556641</v>
      </c>
      <c r="BU424" s="283">
        <v>42233</v>
      </c>
      <c r="BV424" s="277">
        <v>15.239703178405762</v>
      </c>
      <c r="BW424" s="283">
        <v>42233</v>
      </c>
      <c r="BX424" s="277">
        <v>5.2802734375</v>
      </c>
      <c r="BY424" s="283">
        <v>42233</v>
      </c>
      <c r="BZ424"/>
      <c r="CB424" s="266">
        <v>2.02</v>
      </c>
      <c r="CC424"/>
      <c r="CD424" s="277">
        <v>7.2727272727272796</v>
      </c>
      <c r="CE424" s="291" t="s">
        <v>8401</v>
      </c>
      <c r="CF424"/>
      <c r="CG424"/>
      <c r="CH424">
        <v>2</v>
      </c>
      <c r="CI424">
        <v>3</v>
      </c>
      <c r="CK424"/>
      <c r="CL424"/>
      <c r="CM424" s="259">
        <v>42161</v>
      </c>
      <c r="CN424" s="137" t="s">
        <v>8406</v>
      </c>
    </row>
    <row r="425" spans="1:92">
      <c r="A425" s="258">
        <v>701</v>
      </c>
      <c r="B425" s="235">
        <v>701</v>
      </c>
      <c r="C425" s="235" t="s">
        <v>7683</v>
      </c>
      <c r="D425" s="235" t="s">
        <v>7510</v>
      </c>
      <c r="E425" s="235" t="s">
        <v>7683</v>
      </c>
      <c r="F425" s="235" t="s">
        <v>8482</v>
      </c>
      <c r="G425" s="235" t="str">
        <f t="shared" si="216"/>
        <v>Rapsodyn</v>
      </c>
      <c r="H425" s="235" t="s">
        <v>265</v>
      </c>
      <c r="I425" s="235">
        <v>2</v>
      </c>
      <c r="J425" s="235">
        <v>9065</v>
      </c>
      <c r="K425" s="235">
        <v>30</v>
      </c>
      <c r="L425" s="235">
        <f t="shared" si="208"/>
        <v>30</v>
      </c>
      <c r="M425" s="235">
        <v>10</v>
      </c>
      <c r="N425" s="235">
        <v>7</v>
      </c>
      <c r="O425" s="248">
        <v>42048</v>
      </c>
      <c r="P425">
        <v>4.8</v>
      </c>
      <c r="Q425" s="264">
        <v>42204</v>
      </c>
      <c r="R425"/>
      <c r="S425"/>
      <c r="T425"/>
      <c r="V425" s="219">
        <f t="shared" si="217"/>
        <v>14.927752172396843</v>
      </c>
      <c r="W425" s="219"/>
      <c r="X425">
        <v>15.55</v>
      </c>
      <c r="Y425"/>
      <c r="Z425"/>
      <c r="AA425"/>
      <c r="AB425" s="220">
        <f t="shared" si="218"/>
        <v>4.8211585704245934</v>
      </c>
      <c r="AC425" s="219"/>
      <c r="AD425" s="221">
        <f t="shared" si="219"/>
        <v>62332.471285385065</v>
      </c>
      <c r="AE425" s="219"/>
      <c r="AF425" s="220">
        <f t="shared" si="220"/>
        <v>29.109264090274824</v>
      </c>
      <c r="AG425" s="219"/>
      <c r="AH425" s="220">
        <f t="shared" si="221"/>
        <v>32.641022752046226</v>
      </c>
      <c r="AI425" s="219"/>
      <c r="AJ425">
        <v>4.67</v>
      </c>
      <c r="AK425" s="284" t="s">
        <v>8403</v>
      </c>
      <c r="AL425">
        <v>160</v>
      </c>
      <c r="AM425"/>
      <c r="AN425" s="241">
        <v>72</v>
      </c>
      <c r="AO425" s="242">
        <v>42076</v>
      </c>
      <c r="AP425" s="255">
        <v>106</v>
      </c>
      <c r="AQ425" s="242">
        <v>42110</v>
      </c>
      <c r="AR425" s="223">
        <v>135</v>
      </c>
      <c r="AS425" s="297">
        <f t="shared" si="222"/>
        <v>135</v>
      </c>
      <c r="AT425" s="290">
        <v>42139</v>
      </c>
      <c r="AU425" s="298"/>
      <c r="AV425"/>
      <c r="AW425"/>
      <c r="AX425"/>
      <c r="AY425"/>
      <c r="AZ425"/>
      <c r="BA425"/>
      <c r="BB425"/>
      <c r="BC425"/>
      <c r="BD425"/>
      <c r="BE425"/>
      <c r="BF425" s="277">
        <v>-3.9540519714355469</v>
      </c>
      <c r="BG425" s="283">
        <v>42230</v>
      </c>
      <c r="BH425"/>
      <c r="BI425"/>
      <c r="BJ425"/>
      <c r="BK425"/>
      <c r="BL425" s="277">
        <v>62.819782257080078</v>
      </c>
      <c r="BM425" s="283">
        <v>42230</v>
      </c>
      <c r="BN425"/>
      <c r="BO425"/>
      <c r="BP425" s="277">
        <v>3.6467680931091309</v>
      </c>
      <c r="BQ425" s="283">
        <v>42230</v>
      </c>
      <c r="BR425" s="277">
        <v>51.281791687011719</v>
      </c>
      <c r="BS425" s="283">
        <v>42230</v>
      </c>
      <c r="BT425" s="277">
        <v>16.562282562255859</v>
      </c>
      <c r="BU425" s="283">
        <v>42230</v>
      </c>
      <c r="BV425" s="277">
        <v>11.538968086242676</v>
      </c>
      <c r="BW425" s="283">
        <v>42230</v>
      </c>
      <c r="BX425" s="277">
        <v>5.2217025756835937</v>
      </c>
      <c r="BY425" s="283">
        <v>42230</v>
      </c>
      <c r="BZ425"/>
      <c r="CB425" s="266">
        <v>1.52</v>
      </c>
      <c r="CC425"/>
      <c r="CD425" s="277">
        <v>3.7735849056603805</v>
      </c>
      <c r="CE425" s="291" t="s">
        <v>8403</v>
      </c>
      <c r="CF425"/>
      <c r="CG425"/>
      <c r="CH425">
        <v>3</v>
      </c>
      <c r="CI425">
        <v>2</v>
      </c>
      <c r="CK425"/>
      <c r="CL425">
        <v>2</v>
      </c>
      <c r="CM425" s="259">
        <v>42161</v>
      </c>
      <c r="CN425" s="137" t="s">
        <v>8406</v>
      </c>
    </row>
    <row r="426" spans="1:92">
      <c r="A426" s="258">
        <v>703</v>
      </c>
      <c r="B426" s="235">
        <v>703</v>
      </c>
      <c r="C426" s="235" t="s">
        <v>7576</v>
      </c>
      <c r="D426" s="235"/>
      <c r="E426" s="235"/>
      <c r="F426" s="235"/>
      <c r="G426" s="235"/>
      <c r="H426" s="235" t="s">
        <v>265</v>
      </c>
      <c r="I426" s="235">
        <v>2</v>
      </c>
      <c r="K426" s="235">
        <v>28</v>
      </c>
      <c r="L426" s="235">
        <f t="shared" si="208"/>
        <v>28</v>
      </c>
      <c r="M426" s="235">
        <v>10</v>
      </c>
      <c r="O426" s="248">
        <v>42048</v>
      </c>
      <c r="P426"/>
      <c r="Q426" s="174"/>
      <c r="R426"/>
      <c r="S426"/>
      <c r="T426"/>
      <c r="V426" s="219"/>
      <c r="W426" s="219"/>
      <c r="X426">
        <v>15.55</v>
      </c>
      <c r="Y426"/>
      <c r="Z426"/>
      <c r="AA426"/>
      <c r="AB426" s="220"/>
      <c r="AC426" s="219"/>
      <c r="AD426" s="221"/>
      <c r="AE426" s="219"/>
      <c r="AF426" s="220"/>
      <c r="AG426" s="219"/>
      <c r="AH426" s="220"/>
      <c r="AI426" s="219"/>
      <c r="AJ426" s="286"/>
      <c r="AK426" s="284"/>
      <c r="AL426"/>
      <c r="AM426"/>
      <c r="AN426" s="241">
        <v>70</v>
      </c>
      <c r="AO426" s="242">
        <v>42074</v>
      </c>
      <c r="AP426" s="255">
        <v>104</v>
      </c>
      <c r="AQ426" s="242">
        <v>42108</v>
      </c>
      <c r="AR426"/>
      <c r="AS426" s="297"/>
      <c r="AT426" s="290"/>
      <c r="AU426" s="298"/>
      <c r="AV426"/>
      <c r="AW426"/>
      <c r="AX426"/>
      <c r="AY426"/>
      <c r="AZ426"/>
      <c r="BA426"/>
      <c r="BB426"/>
      <c r="BC426"/>
      <c r="BD426"/>
      <c r="BE426"/>
      <c r="BF426" s="277"/>
      <c r="BG426" s="235"/>
      <c r="BH426"/>
      <c r="BI426"/>
      <c r="BJ426"/>
      <c r="BK426"/>
      <c r="BL426" s="277"/>
      <c r="BM426" s="235"/>
      <c r="BN426"/>
      <c r="BO426"/>
      <c r="BP426" s="277"/>
      <c r="BQ426" s="235"/>
      <c r="BR426" s="277"/>
      <c r="BS426" s="235"/>
      <c r="BT426" s="277"/>
      <c r="BU426" s="235"/>
      <c r="BV426" s="277"/>
      <c r="BW426" s="235"/>
      <c r="BX426" s="277"/>
      <c r="BY426" s="235"/>
      <c r="BZ426"/>
      <c r="CB426" s="266"/>
      <c r="CC426"/>
      <c r="CD426" s="277"/>
      <c r="CE426" s="291"/>
      <c r="CF426"/>
      <c r="CG426"/>
      <c r="CH426"/>
      <c r="CI426"/>
      <c r="CK426"/>
      <c r="CL426"/>
      <c r="CM426" s="259">
        <v>42161</v>
      </c>
    </row>
    <row r="427" spans="1:92">
      <c r="A427" s="258">
        <v>704</v>
      </c>
      <c r="B427" s="235">
        <v>704</v>
      </c>
      <c r="C427" s="235" t="s">
        <v>7576</v>
      </c>
      <c r="D427" s="235"/>
      <c r="E427" s="235"/>
      <c r="F427" s="235"/>
      <c r="G427" s="235"/>
      <c r="H427" s="235" t="s">
        <v>265</v>
      </c>
      <c r="I427" s="235">
        <v>2</v>
      </c>
      <c r="K427" s="235">
        <v>27</v>
      </c>
      <c r="L427" s="235">
        <f t="shared" si="208"/>
        <v>27</v>
      </c>
      <c r="M427" s="235">
        <v>10</v>
      </c>
      <c r="O427" s="248">
        <v>42048</v>
      </c>
      <c r="P427"/>
      <c r="Q427" s="174"/>
      <c r="R427"/>
      <c r="S427"/>
      <c r="T427"/>
      <c r="V427" s="219"/>
      <c r="W427" s="219"/>
      <c r="X427">
        <v>15.55</v>
      </c>
      <c r="Y427"/>
      <c r="Z427"/>
      <c r="AA427"/>
      <c r="AB427" s="220"/>
      <c r="AC427" s="219"/>
      <c r="AD427" s="221"/>
      <c r="AE427" s="219"/>
      <c r="AF427" s="220"/>
      <c r="AG427" s="219"/>
      <c r="AH427" s="220"/>
      <c r="AI427" s="219"/>
      <c r="AJ427" s="286"/>
      <c r="AK427" s="284"/>
      <c r="AL427"/>
      <c r="AM427"/>
      <c r="AN427" s="241">
        <v>70</v>
      </c>
      <c r="AO427" s="242">
        <v>42074</v>
      </c>
      <c r="AP427" s="255">
        <v>104</v>
      </c>
      <c r="AQ427" s="242">
        <v>42108</v>
      </c>
      <c r="AR427"/>
      <c r="AS427" s="297"/>
      <c r="AT427" s="290"/>
      <c r="AU427" s="298"/>
      <c r="AV427"/>
      <c r="AW427"/>
      <c r="AX427"/>
      <c r="AY427"/>
      <c r="AZ427"/>
      <c r="BA427"/>
      <c r="BB427"/>
      <c r="BC427"/>
      <c r="BD427"/>
      <c r="BE427"/>
      <c r="BF427" s="277"/>
      <c r="BG427" s="235"/>
      <c r="BH427"/>
      <c r="BI427"/>
      <c r="BJ427"/>
      <c r="BK427"/>
      <c r="BL427" s="277"/>
      <c r="BM427" s="235"/>
      <c r="BN427"/>
      <c r="BO427"/>
      <c r="BP427" s="277"/>
      <c r="BQ427" s="235"/>
      <c r="BR427" s="277"/>
      <c r="BS427" s="235"/>
      <c r="BT427" s="277"/>
      <c r="BU427" s="235"/>
      <c r="BV427" s="277"/>
      <c r="BW427" s="235"/>
      <c r="BX427" s="277"/>
      <c r="BY427" s="235"/>
      <c r="BZ427"/>
      <c r="CB427" s="266"/>
      <c r="CC427"/>
      <c r="CD427" s="277"/>
      <c r="CE427" s="291"/>
      <c r="CF427"/>
      <c r="CG427"/>
      <c r="CH427"/>
      <c r="CI427"/>
      <c r="CK427"/>
      <c r="CL427"/>
      <c r="CM427" s="259">
        <v>42161</v>
      </c>
    </row>
    <row r="428" spans="1:92">
      <c r="A428" s="258">
        <v>705</v>
      </c>
      <c r="B428" s="235">
        <v>705</v>
      </c>
      <c r="C428" s="235" t="s">
        <v>7678</v>
      </c>
      <c r="D428" s="235" t="s">
        <v>261</v>
      </c>
      <c r="E428" s="235" t="s">
        <v>7678</v>
      </c>
      <c r="F428" s="235" t="s">
        <v>8578</v>
      </c>
      <c r="G428" s="235" t="str">
        <f t="shared" ref="G428:G436" si="223">IF(MID(C428,1,3)="BGA","Complement","Rapsodyn")</f>
        <v>Rapsodyn</v>
      </c>
      <c r="H428" s="235" t="s">
        <v>265</v>
      </c>
      <c r="I428" s="235">
        <v>2</v>
      </c>
      <c r="J428" s="235">
        <v>9060</v>
      </c>
      <c r="K428" s="235">
        <v>26</v>
      </c>
      <c r="L428" s="235">
        <f t="shared" si="208"/>
        <v>26</v>
      </c>
      <c r="M428" s="235">
        <v>10</v>
      </c>
      <c r="N428" s="235">
        <v>5</v>
      </c>
      <c r="O428" s="248">
        <v>42048</v>
      </c>
      <c r="P428">
        <v>4.3</v>
      </c>
      <c r="Q428" s="264">
        <v>42204</v>
      </c>
      <c r="R428"/>
      <c r="S428"/>
      <c r="T428"/>
      <c r="V428" s="219">
        <f t="shared" ref="V428:V436" si="224">+BR428*AF428/100</f>
        <v>13.335393980814594</v>
      </c>
      <c r="W428" s="219"/>
      <c r="X428">
        <v>15.55</v>
      </c>
      <c r="Y428"/>
      <c r="Z428"/>
      <c r="AA428"/>
      <c r="AB428" s="220">
        <f t="shared" ref="AB428:AB436" si="225">+AF428*BT428/100</f>
        <v>4.7468404110701758</v>
      </c>
      <c r="AC428" s="219"/>
      <c r="AD428" s="221">
        <f t="shared" ref="AD428:AD436" si="226">+(AF428/AJ428)*10000</f>
        <v>55122.661493194275</v>
      </c>
      <c r="AE428" s="219"/>
      <c r="AF428" s="220">
        <f t="shared" ref="AF428:AF436" si="227">($P428/$X428)*(((100-$CD428)/100*(100-2)/100))*100</f>
        <v>26.624245501212833</v>
      </c>
      <c r="AG428" s="219"/>
      <c r="AH428" s="220">
        <f t="shared" ref="AH428:AH436" si="228">($P428/$X428)*(((100-$CD428)/(100-9)*(100-2)/(100-2))*100)</f>
        <v>29.854502692546347</v>
      </c>
      <c r="AI428" s="219"/>
      <c r="AJ428">
        <v>4.83</v>
      </c>
      <c r="AK428" s="284" t="s">
        <v>8398</v>
      </c>
      <c r="AL428">
        <v>155</v>
      </c>
      <c r="AM428"/>
      <c r="AN428" s="241">
        <v>72</v>
      </c>
      <c r="AO428" s="242">
        <v>42076</v>
      </c>
      <c r="AP428" s="255">
        <v>110</v>
      </c>
      <c r="AQ428" s="242">
        <v>42114</v>
      </c>
      <c r="AR428" s="223">
        <v>138</v>
      </c>
      <c r="AS428" s="297">
        <f t="shared" ref="AS428:AS436" si="229">IF(AR428=0,,AR428)</f>
        <v>138</v>
      </c>
      <c r="AT428" s="290">
        <v>42142</v>
      </c>
      <c r="AU428" s="298"/>
      <c r="AV428"/>
      <c r="AW428"/>
      <c r="AX428"/>
      <c r="AY428"/>
      <c r="AZ428"/>
      <c r="BA428"/>
      <c r="BB428"/>
      <c r="BC428"/>
      <c r="BD428"/>
      <c r="BE428"/>
      <c r="BF428" s="277">
        <v>-7.7563300132751465</v>
      </c>
      <c r="BG428" s="283">
        <v>42230</v>
      </c>
      <c r="BH428"/>
      <c r="BI428"/>
      <c r="BJ428"/>
      <c r="BK428"/>
      <c r="BL428" s="277">
        <v>72.628227233886719</v>
      </c>
      <c r="BM428" s="283">
        <v>42230</v>
      </c>
      <c r="BN428"/>
      <c r="BO428"/>
      <c r="BP428" s="277">
        <v>4.2604689598083496</v>
      </c>
      <c r="BQ428" s="283">
        <v>42230</v>
      </c>
      <c r="BR428" s="277">
        <v>50.087406158447266</v>
      </c>
      <c r="BS428" s="283">
        <v>42230</v>
      </c>
      <c r="BT428" s="277">
        <v>17.829013824462891</v>
      </c>
      <c r="BU428" s="283">
        <v>42230</v>
      </c>
      <c r="BV428" s="277">
        <v>20.229473114013672</v>
      </c>
      <c r="BW428" s="283">
        <v>42230</v>
      </c>
      <c r="BX428" s="277">
        <v>6.0537109375</v>
      </c>
      <c r="BY428" s="283">
        <v>42230</v>
      </c>
      <c r="BZ428"/>
      <c r="CB428" s="266">
        <v>1.1299999999999999</v>
      </c>
      <c r="CC428"/>
      <c r="CD428" s="277">
        <v>1.7543859649122899</v>
      </c>
      <c r="CE428" s="291" t="s">
        <v>8398</v>
      </c>
      <c r="CF428"/>
      <c r="CG428"/>
      <c r="CH428">
        <v>2</v>
      </c>
      <c r="CI428">
        <v>4</v>
      </c>
      <c r="CK428"/>
      <c r="CL428"/>
      <c r="CM428" s="259">
        <v>42161</v>
      </c>
      <c r="CN428" s="137" t="s">
        <v>8406</v>
      </c>
    </row>
    <row r="429" spans="1:92">
      <c r="A429" s="258">
        <v>706</v>
      </c>
      <c r="B429" s="235">
        <v>706</v>
      </c>
      <c r="C429" s="235" t="s">
        <v>7781</v>
      </c>
      <c r="D429" s="235" t="s">
        <v>7579</v>
      </c>
      <c r="E429" s="235" t="s">
        <v>7781</v>
      </c>
      <c r="F429" s="235" t="s">
        <v>8569</v>
      </c>
      <c r="G429" s="235" t="str">
        <f t="shared" si="223"/>
        <v>Rapsodyn</v>
      </c>
      <c r="H429" s="235" t="s">
        <v>265</v>
      </c>
      <c r="I429" s="235">
        <v>2</v>
      </c>
      <c r="J429" s="235">
        <v>9152</v>
      </c>
      <c r="K429" s="235">
        <v>25</v>
      </c>
      <c r="L429" s="235">
        <f t="shared" ref="L429:L467" si="230">K429</f>
        <v>25</v>
      </c>
      <c r="M429" s="235">
        <v>10</v>
      </c>
      <c r="N429" s="235">
        <v>7</v>
      </c>
      <c r="O429" s="248">
        <v>42048</v>
      </c>
      <c r="P429" s="223">
        <v>5.75</v>
      </c>
      <c r="Q429" s="264">
        <v>42204</v>
      </c>
      <c r="R429" s="223"/>
      <c r="S429" s="223"/>
      <c r="T429" s="223"/>
      <c r="U429" s="225"/>
      <c r="V429" s="219">
        <f t="shared" si="224"/>
        <v>17.410251468304025</v>
      </c>
      <c r="W429" s="224"/>
      <c r="X429">
        <v>15.55</v>
      </c>
      <c r="Y429" s="223"/>
      <c r="Z429" s="223"/>
      <c r="AA429" s="223"/>
      <c r="AB429" s="220">
        <f t="shared" si="225"/>
        <v>5.6977435057287105</v>
      </c>
      <c r="AC429" s="224"/>
      <c r="AD429" s="221">
        <f t="shared" si="226"/>
        <v>64652.885142170373</v>
      </c>
      <c r="AE429" s="224"/>
      <c r="AF429" s="220">
        <f t="shared" si="227"/>
        <v>34.330682010492467</v>
      </c>
      <c r="AG429" s="224"/>
      <c r="AH429" s="220">
        <f t="shared" si="228"/>
        <v>38.495943048320783</v>
      </c>
      <c r="AI429" s="224"/>
      <c r="AJ429">
        <v>5.31</v>
      </c>
      <c r="AK429" s="290" t="s">
        <v>8398</v>
      </c>
      <c r="AL429" s="223">
        <v>165</v>
      </c>
      <c r="AM429" s="223"/>
      <c r="AN429" s="241">
        <v>65</v>
      </c>
      <c r="AO429" s="242">
        <v>42069</v>
      </c>
      <c r="AP429" s="255">
        <v>104</v>
      </c>
      <c r="AQ429" s="242">
        <v>42108</v>
      </c>
      <c r="AR429" s="223">
        <v>123</v>
      </c>
      <c r="AS429" s="297">
        <f t="shared" si="229"/>
        <v>123</v>
      </c>
      <c r="AT429" s="290">
        <v>42127</v>
      </c>
      <c r="AU429" s="298"/>
      <c r="AV429" s="223"/>
      <c r="AW429" s="223"/>
      <c r="AX429" s="223"/>
      <c r="AY429" s="223"/>
      <c r="AZ429" s="223"/>
      <c r="BA429" s="223"/>
      <c r="BB429" s="223"/>
      <c r="BC429" s="223"/>
      <c r="BD429" s="223"/>
      <c r="BE429" s="223"/>
      <c r="BF429" s="281">
        <v>-3.5639688968658447</v>
      </c>
      <c r="BG429" s="283">
        <v>42230</v>
      </c>
      <c r="BH429" s="223"/>
      <c r="BI429" s="223"/>
      <c r="BJ429" s="223"/>
      <c r="BK429" s="223"/>
      <c r="BL429" s="281">
        <v>61.891330718994141</v>
      </c>
      <c r="BM429" s="283">
        <v>42230</v>
      </c>
      <c r="BN429" s="223"/>
      <c r="BO429" s="223"/>
      <c r="BP429" s="281">
        <v>3.9465270042419434</v>
      </c>
      <c r="BQ429" s="283">
        <v>42230</v>
      </c>
      <c r="BR429" s="281">
        <v>50.713386535644531</v>
      </c>
      <c r="BS429" s="283">
        <v>42230</v>
      </c>
      <c r="BT429" s="281">
        <v>16.596651077270508</v>
      </c>
      <c r="BU429" s="283">
        <v>42230</v>
      </c>
      <c r="BV429" s="281">
        <v>7.6881670951843262</v>
      </c>
      <c r="BW429" s="283">
        <v>42230</v>
      </c>
      <c r="BX429" s="281">
        <v>5.6111984252929687</v>
      </c>
      <c r="BY429" s="283">
        <v>42230</v>
      </c>
      <c r="BZ429" s="223"/>
      <c r="CA429" s="226"/>
      <c r="CB429" s="266">
        <v>1</v>
      </c>
      <c r="CC429" s="223"/>
      <c r="CD429" s="281">
        <v>5.2631578947368389</v>
      </c>
      <c r="CE429" s="291" t="s">
        <v>8398</v>
      </c>
      <c r="CF429" s="223"/>
      <c r="CG429" s="223"/>
      <c r="CH429" s="223">
        <v>2</v>
      </c>
      <c r="CI429" s="223">
        <v>3</v>
      </c>
      <c r="CK429" s="223"/>
      <c r="CL429" s="223"/>
      <c r="CM429" s="259">
        <v>42161</v>
      </c>
      <c r="CN429" s="137" t="s">
        <v>8406</v>
      </c>
    </row>
    <row r="430" spans="1:92">
      <c r="A430" s="258">
        <v>712</v>
      </c>
      <c r="B430" s="235">
        <v>712</v>
      </c>
      <c r="C430" s="235" t="s">
        <v>7617</v>
      </c>
      <c r="D430" s="235" t="s">
        <v>7454</v>
      </c>
      <c r="E430" s="235" t="s">
        <v>7617</v>
      </c>
      <c r="F430" s="235" t="s">
        <v>8506</v>
      </c>
      <c r="G430" s="235" t="str">
        <f t="shared" si="223"/>
        <v>Rapsodyn</v>
      </c>
      <c r="H430" s="235" t="s">
        <v>265</v>
      </c>
      <c r="I430" s="235">
        <v>2</v>
      </c>
      <c r="J430" s="235">
        <v>9010</v>
      </c>
      <c r="K430" s="235">
        <v>19</v>
      </c>
      <c r="L430" s="235">
        <f t="shared" si="230"/>
        <v>19</v>
      </c>
      <c r="M430" s="235">
        <v>10</v>
      </c>
      <c r="N430" s="235">
        <v>7</v>
      </c>
      <c r="O430" s="248">
        <v>42048</v>
      </c>
      <c r="P430">
        <v>3.75</v>
      </c>
      <c r="Q430" s="264">
        <v>42204</v>
      </c>
      <c r="R430"/>
      <c r="S430"/>
      <c r="T430"/>
      <c r="V430" s="219">
        <f t="shared" si="224"/>
        <v>11.272550355320877</v>
      </c>
      <c r="W430" s="219"/>
      <c r="X430">
        <v>15.55</v>
      </c>
      <c r="Y430"/>
      <c r="Z430"/>
      <c r="AA430"/>
      <c r="AB430" s="220">
        <f t="shared" si="225"/>
        <v>4.0078649832363515</v>
      </c>
      <c r="AC430" s="219"/>
      <c r="AD430" s="221">
        <f t="shared" si="226"/>
        <v>54876.409863319168</v>
      </c>
      <c r="AE430" s="219"/>
      <c r="AF430" s="220">
        <f t="shared" si="227"/>
        <v>22.389575224234218</v>
      </c>
      <c r="AG430" s="219"/>
      <c r="AH430" s="220">
        <f t="shared" si="228"/>
        <v>25.106049814122247</v>
      </c>
      <c r="AI430" s="219"/>
      <c r="AJ430">
        <v>4.08</v>
      </c>
      <c r="AK430" s="284" t="s">
        <v>8399</v>
      </c>
      <c r="AL430">
        <v>145</v>
      </c>
      <c r="AM430"/>
      <c r="AN430" s="241">
        <v>70</v>
      </c>
      <c r="AO430" s="242">
        <v>42074</v>
      </c>
      <c r="AP430" s="255">
        <v>104</v>
      </c>
      <c r="AQ430" s="242">
        <v>42108</v>
      </c>
      <c r="AR430" s="223">
        <v>125</v>
      </c>
      <c r="AS430" s="297">
        <f t="shared" si="229"/>
        <v>125</v>
      </c>
      <c r="AT430" s="290">
        <v>42129</v>
      </c>
      <c r="AU430" s="298"/>
      <c r="AV430"/>
      <c r="AW430"/>
      <c r="AX430"/>
      <c r="AY430"/>
      <c r="AZ430"/>
      <c r="BA430"/>
      <c r="BB430"/>
      <c r="BC430"/>
      <c r="BD430"/>
      <c r="BE430"/>
      <c r="BF430" s="277">
        <v>47.1982421875</v>
      </c>
      <c r="BG430" s="283">
        <v>42233</v>
      </c>
      <c r="BH430"/>
      <c r="BI430"/>
      <c r="BJ430"/>
      <c r="BK430"/>
      <c r="BL430" s="277">
        <v>59.911479949951172</v>
      </c>
      <c r="BM430" s="283">
        <v>42233</v>
      </c>
      <c r="BN430"/>
      <c r="BO430"/>
      <c r="BP430" s="277">
        <v>2.7628359794616699</v>
      </c>
      <c r="BQ430" s="283">
        <v>42233</v>
      </c>
      <c r="BR430" s="277">
        <v>50.347316741943359</v>
      </c>
      <c r="BS430" s="283">
        <v>42233</v>
      </c>
      <c r="BT430" s="277">
        <v>17.900585174560547</v>
      </c>
      <c r="BU430" s="283">
        <v>42233</v>
      </c>
      <c r="BV430" s="277">
        <v>62.181289672851562</v>
      </c>
      <c r="BW430" s="283">
        <v>42233</v>
      </c>
      <c r="BX430" s="277">
        <v>5.183013916015625</v>
      </c>
      <c r="BY430" s="283">
        <v>42233</v>
      </c>
      <c r="BZ430"/>
      <c r="CB430" s="266">
        <v>1.93</v>
      </c>
      <c r="CC430"/>
      <c r="CD430" s="277">
        <v>5.2631578947368389</v>
      </c>
      <c r="CE430" s="291" t="s">
        <v>8399</v>
      </c>
      <c r="CF430"/>
      <c r="CG430"/>
      <c r="CH430">
        <v>2</v>
      </c>
      <c r="CI430">
        <v>6</v>
      </c>
      <c r="CK430"/>
      <c r="CL430"/>
      <c r="CM430" s="259">
        <v>42161</v>
      </c>
      <c r="CN430" s="137" t="s">
        <v>8406</v>
      </c>
    </row>
    <row r="431" spans="1:92">
      <c r="A431" s="258">
        <v>714</v>
      </c>
      <c r="B431" s="235">
        <v>714</v>
      </c>
      <c r="C431" s="235" t="s">
        <v>7694</v>
      </c>
      <c r="D431" s="235" t="s">
        <v>7520</v>
      </c>
      <c r="E431" s="235" t="s">
        <v>7694</v>
      </c>
      <c r="F431" s="235" t="s">
        <v>8472</v>
      </c>
      <c r="G431" s="235" t="str">
        <f t="shared" si="223"/>
        <v>Rapsodyn</v>
      </c>
      <c r="H431" s="235" t="s">
        <v>265</v>
      </c>
      <c r="I431" s="235">
        <v>2</v>
      </c>
      <c r="J431" s="235">
        <v>9076</v>
      </c>
      <c r="K431" s="235">
        <v>17</v>
      </c>
      <c r="L431" s="235">
        <f t="shared" si="230"/>
        <v>17</v>
      </c>
      <c r="M431" s="235">
        <v>10</v>
      </c>
      <c r="N431" s="235">
        <v>7</v>
      </c>
      <c r="O431" s="248">
        <v>42048</v>
      </c>
      <c r="P431" s="223">
        <v>5.7</v>
      </c>
      <c r="Q431" s="264">
        <v>42204</v>
      </c>
      <c r="R431" s="223"/>
      <c r="S431" s="223"/>
      <c r="T431" s="223"/>
      <c r="U431" s="225"/>
      <c r="V431" s="219">
        <f t="shared" si="224"/>
        <v>16.565710159743336</v>
      </c>
      <c r="W431" s="224"/>
      <c r="X431">
        <v>15.55</v>
      </c>
      <c r="Y431" s="223"/>
      <c r="Z431" s="223"/>
      <c r="AA431" s="223"/>
      <c r="AB431" s="220">
        <f t="shared" si="225"/>
        <v>5.1390964961895236</v>
      </c>
      <c r="AC431" s="224"/>
      <c r="AD431" s="221">
        <f t="shared" si="226"/>
        <v>73572.531410683194</v>
      </c>
      <c r="AE431" s="224"/>
      <c r="AF431" s="220">
        <f t="shared" si="227"/>
        <v>33.401929260450167</v>
      </c>
      <c r="AG431" s="224"/>
      <c r="AH431" s="220">
        <f t="shared" si="228"/>
        <v>37.454506907883115</v>
      </c>
      <c r="AI431" s="224"/>
      <c r="AJ431">
        <v>4.54</v>
      </c>
      <c r="AK431" s="290" t="s">
        <v>8399</v>
      </c>
      <c r="AL431" s="223">
        <v>155</v>
      </c>
      <c r="AM431" s="223"/>
      <c r="AN431" s="241">
        <v>75</v>
      </c>
      <c r="AO431" s="242">
        <v>42079</v>
      </c>
      <c r="AP431" s="255">
        <v>106</v>
      </c>
      <c r="AQ431" s="242">
        <v>42110</v>
      </c>
      <c r="AR431" s="223">
        <v>131</v>
      </c>
      <c r="AS431" s="297">
        <f t="shared" si="229"/>
        <v>131</v>
      </c>
      <c r="AT431" s="290">
        <v>42135</v>
      </c>
      <c r="AU431" s="298"/>
      <c r="AV431" s="223"/>
      <c r="AW431" s="223"/>
      <c r="AX431" s="223"/>
      <c r="AY431" s="223"/>
      <c r="AZ431" s="223"/>
      <c r="BA431" s="223"/>
      <c r="BB431" s="223"/>
      <c r="BC431" s="223"/>
      <c r="BD431" s="223"/>
      <c r="BE431" s="223"/>
      <c r="BF431" s="281">
        <v>-2.1015799045562744</v>
      </c>
      <c r="BG431" s="283">
        <v>42230</v>
      </c>
      <c r="BH431" s="223"/>
      <c r="BI431" s="223"/>
      <c r="BJ431" s="223"/>
      <c r="BK431" s="223"/>
      <c r="BL431" s="281">
        <v>65.618087768554688</v>
      </c>
      <c r="BM431" s="283">
        <v>42230</v>
      </c>
      <c r="BN431" s="223"/>
      <c r="BO431" s="223"/>
      <c r="BP431" s="281">
        <v>3.9473109245300293</v>
      </c>
      <c r="BQ431" s="283">
        <v>42230</v>
      </c>
      <c r="BR431" s="281">
        <v>49.595069885253906</v>
      </c>
      <c r="BS431" s="283">
        <v>42230</v>
      </c>
      <c r="BT431" s="281">
        <v>15.385627746582031</v>
      </c>
      <c r="BU431" s="283">
        <v>42230</v>
      </c>
      <c r="BV431" s="281">
        <v>13.962626457214355</v>
      </c>
      <c r="BW431" s="283">
        <v>42230</v>
      </c>
      <c r="BX431" s="281">
        <v>5.6235885620117188</v>
      </c>
      <c r="BY431" s="283">
        <v>42230</v>
      </c>
      <c r="BZ431" s="223"/>
      <c r="CA431" s="226"/>
      <c r="CB431" s="266">
        <v>1.38</v>
      </c>
      <c r="CC431" s="223"/>
      <c r="CD431" s="281">
        <v>7.0175438596491295</v>
      </c>
      <c r="CE431" s="291" t="s">
        <v>8399</v>
      </c>
      <c r="CF431" s="223"/>
      <c r="CG431" s="223"/>
      <c r="CH431" s="223">
        <v>1</v>
      </c>
      <c r="CI431" s="223">
        <v>4</v>
      </c>
      <c r="CK431" s="223"/>
      <c r="CL431" s="223"/>
      <c r="CM431" s="259">
        <v>42161</v>
      </c>
      <c r="CN431" s="137" t="s">
        <v>8406</v>
      </c>
    </row>
    <row r="432" spans="1:92">
      <c r="A432" s="258">
        <v>715</v>
      </c>
      <c r="B432" s="235">
        <v>715</v>
      </c>
      <c r="C432" s="235" t="s">
        <v>7690</v>
      </c>
      <c r="D432" s="235" t="s">
        <v>7516</v>
      </c>
      <c r="E432" s="235" t="s">
        <v>7690</v>
      </c>
      <c r="F432" s="235" t="s">
        <v>8491</v>
      </c>
      <c r="G432" s="235" t="str">
        <f t="shared" si="223"/>
        <v>Rapsodyn</v>
      </c>
      <c r="H432" s="235" t="s">
        <v>265</v>
      </c>
      <c r="I432" s="235">
        <v>2</v>
      </c>
      <c r="J432" s="235">
        <v>9072</v>
      </c>
      <c r="K432" s="235">
        <v>16</v>
      </c>
      <c r="L432" s="235">
        <f t="shared" si="230"/>
        <v>16</v>
      </c>
      <c r="M432" s="235">
        <v>10</v>
      </c>
      <c r="N432" s="235">
        <v>5</v>
      </c>
      <c r="O432" s="248">
        <v>42048</v>
      </c>
      <c r="P432">
        <v>4.0999999999999996</v>
      </c>
      <c r="Q432" s="264">
        <v>42204</v>
      </c>
      <c r="R432"/>
      <c r="S432"/>
      <c r="T432"/>
      <c r="V432" s="219">
        <f t="shared" si="224"/>
        <v>12.809226642420192</v>
      </c>
      <c r="W432" s="219"/>
      <c r="X432">
        <v>15.55</v>
      </c>
      <c r="Y432"/>
      <c r="Z432"/>
      <c r="AA432"/>
      <c r="AB432" s="220">
        <f t="shared" si="225"/>
        <v>4.0968282919412324</v>
      </c>
      <c r="AC432" s="219"/>
      <c r="AD432" s="221">
        <f t="shared" si="226"/>
        <v>66046.737385023211</v>
      </c>
      <c r="AE432" s="219"/>
      <c r="AF432" s="220">
        <f t="shared" si="227"/>
        <v>24.899619994153753</v>
      </c>
      <c r="AG432" s="219"/>
      <c r="AH432" s="220">
        <f t="shared" si="228"/>
        <v>27.920632422240132</v>
      </c>
      <c r="AI432" s="219"/>
      <c r="AJ432">
        <v>3.77</v>
      </c>
      <c r="AK432" s="284" t="s">
        <v>8400</v>
      </c>
      <c r="AL432">
        <v>140</v>
      </c>
      <c r="AM432"/>
      <c r="AN432" s="241">
        <v>75</v>
      </c>
      <c r="AO432" s="242">
        <v>42079</v>
      </c>
      <c r="AP432" s="255">
        <v>104</v>
      </c>
      <c r="AQ432" s="242">
        <v>42108</v>
      </c>
      <c r="AR432" s="223">
        <v>125</v>
      </c>
      <c r="AS432" s="297">
        <f t="shared" si="229"/>
        <v>125</v>
      </c>
      <c r="AT432" s="290">
        <v>42129</v>
      </c>
      <c r="AU432" s="298"/>
      <c r="AV432"/>
      <c r="AW432"/>
      <c r="AX432"/>
      <c r="AY432"/>
      <c r="AZ432"/>
      <c r="BA432"/>
      <c r="BB432"/>
      <c r="BC432"/>
      <c r="BD432"/>
      <c r="BE432"/>
      <c r="BF432" s="277">
        <v>-6.1202912330627441</v>
      </c>
      <c r="BG432" s="283">
        <v>42230</v>
      </c>
      <c r="BH432"/>
      <c r="BI432"/>
      <c r="BJ432"/>
      <c r="BK432"/>
      <c r="BL432" s="277">
        <v>68.005302429199219</v>
      </c>
      <c r="BM432" s="283">
        <v>42230</v>
      </c>
      <c r="BN432"/>
      <c r="BO432"/>
      <c r="BP432" s="277">
        <v>3.8218491077423096</v>
      </c>
      <c r="BQ432" s="283">
        <v>42230</v>
      </c>
      <c r="BR432" s="277">
        <v>51.443462371826172</v>
      </c>
      <c r="BS432" s="283">
        <v>42230</v>
      </c>
      <c r="BT432" s="277">
        <v>16.453376770019531</v>
      </c>
      <c r="BU432" s="283">
        <v>42230</v>
      </c>
      <c r="BV432" s="277">
        <v>12.759885787963867</v>
      </c>
      <c r="BW432" s="283">
        <v>42230</v>
      </c>
      <c r="BX432" s="277">
        <v>5.18365478515625</v>
      </c>
      <c r="BY432" s="283">
        <v>42230</v>
      </c>
      <c r="BZ432"/>
      <c r="CB432" s="266">
        <v>1.28</v>
      </c>
      <c r="CC432"/>
      <c r="CD432" s="277">
        <v>3.6363636363636398</v>
      </c>
      <c r="CE432" s="291" t="s">
        <v>8400</v>
      </c>
      <c r="CF432"/>
      <c r="CG432"/>
      <c r="CH432">
        <v>2</v>
      </c>
      <c r="CI432">
        <v>3</v>
      </c>
      <c r="CK432"/>
      <c r="CL432"/>
      <c r="CM432" s="259">
        <v>42161</v>
      </c>
      <c r="CN432" s="137" t="s">
        <v>8406</v>
      </c>
    </row>
    <row r="433" spans="1:93">
      <c r="A433" s="258">
        <v>717</v>
      </c>
      <c r="B433" s="235">
        <v>717</v>
      </c>
      <c r="C433" s="236" t="s">
        <v>7610</v>
      </c>
      <c r="D433" s="236" t="s">
        <v>7812</v>
      </c>
      <c r="E433" s="236" t="s">
        <v>7610</v>
      </c>
      <c r="F433" s="236" t="s">
        <v>8439</v>
      </c>
      <c r="G433" s="235" t="str">
        <f t="shared" si="223"/>
        <v>Rapsodyn</v>
      </c>
      <c r="H433" s="235" t="s">
        <v>265</v>
      </c>
      <c r="I433" s="235">
        <v>2</v>
      </c>
      <c r="J433" s="236">
        <v>9005</v>
      </c>
      <c r="K433" s="236">
        <v>14</v>
      </c>
      <c r="L433" s="235">
        <f t="shared" si="230"/>
        <v>14</v>
      </c>
      <c r="M433" s="236">
        <v>10</v>
      </c>
      <c r="N433" s="235">
        <v>7</v>
      </c>
      <c r="O433" s="248">
        <v>42048</v>
      </c>
      <c r="P433" s="223">
        <v>2.1</v>
      </c>
      <c r="Q433" s="264">
        <v>42204</v>
      </c>
      <c r="R433" s="223"/>
      <c r="S433" s="223"/>
      <c r="T433" s="223"/>
      <c r="U433" s="225"/>
      <c r="V433" s="219">
        <f t="shared" si="224"/>
        <v>6.1664506632780238</v>
      </c>
      <c r="W433" s="224"/>
      <c r="X433">
        <v>15.55</v>
      </c>
      <c r="Y433" s="223"/>
      <c r="Z433" s="223"/>
      <c r="AA433" s="223"/>
      <c r="AB433" s="220">
        <f t="shared" si="225"/>
        <v>2.3635390187758465</v>
      </c>
      <c r="AC433" s="224"/>
      <c r="AD433" s="221">
        <f t="shared" si="226"/>
        <v>27015.553493247869</v>
      </c>
      <c r="AE433" s="224"/>
      <c r="AF433" s="220">
        <f t="shared" si="227"/>
        <v>12.778356802306243</v>
      </c>
      <c r="AG433" s="224"/>
      <c r="AH433" s="220">
        <f t="shared" si="228"/>
        <v>14.328724828780267</v>
      </c>
      <c r="AI433" s="224"/>
      <c r="AJ433">
        <v>4.7300000000000004</v>
      </c>
      <c r="AK433" s="290" t="s">
        <v>8403</v>
      </c>
      <c r="AL433" s="223">
        <v>160</v>
      </c>
      <c r="AM433" s="223"/>
      <c r="AN433" s="241">
        <v>61</v>
      </c>
      <c r="AO433" s="243">
        <v>42065</v>
      </c>
      <c r="AP433" s="255">
        <v>100</v>
      </c>
      <c r="AQ433" s="242">
        <v>42104</v>
      </c>
      <c r="AR433" s="223">
        <v>123</v>
      </c>
      <c r="AS433" s="297">
        <f t="shared" si="229"/>
        <v>123</v>
      </c>
      <c r="AT433" s="290">
        <v>42127</v>
      </c>
      <c r="AU433" s="298"/>
      <c r="AV433" s="223"/>
      <c r="AW433" s="223"/>
      <c r="AX433" s="223"/>
      <c r="AY433" s="223"/>
      <c r="AZ433" s="223"/>
      <c r="BA433" s="223"/>
      <c r="BB433" s="223"/>
      <c r="BC433" s="223"/>
      <c r="BD433" s="223"/>
      <c r="BE433" s="223"/>
      <c r="BF433" s="281">
        <v>36.802459716796875</v>
      </c>
      <c r="BG433" s="283">
        <v>42233</v>
      </c>
      <c r="BH433" s="223"/>
      <c r="BI433" s="223"/>
      <c r="BJ433" s="223"/>
      <c r="BK433" s="223"/>
      <c r="BL433" s="281">
        <v>58.637115478515625</v>
      </c>
      <c r="BM433" s="283">
        <v>42233</v>
      </c>
      <c r="BN433" s="223"/>
      <c r="BO433" s="223"/>
      <c r="BP433" s="281">
        <v>3.6526989936828613</v>
      </c>
      <c r="BQ433" s="283">
        <v>42233</v>
      </c>
      <c r="BR433" s="281">
        <v>48.256992340087891</v>
      </c>
      <c r="BS433" s="283">
        <v>42233</v>
      </c>
      <c r="BT433" s="281">
        <v>18.496423721313477</v>
      </c>
      <c r="BU433" s="283">
        <v>42233</v>
      </c>
      <c r="BV433" s="281">
        <v>65.725204467773438</v>
      </c>
      <c r="BW433" s="283">
        <v>42233</v>
      </c>
      <c r="BX433" s="281">
        <v>5.4434280395507812</v>
      </c>
      <c r="BY433" s="283">
        <v>42233</v>
      </c>
      <c r="BZ433" s="223"/>
      <c r="CA433" s="226"/>
      <c r="CB433" s="266">
        <v>0.91</v>
      </c>
      <c r="CC433" s="223"/>
      <c r="CD433" s="281">
        <v>3.4482758620689689</v>
      </c>
      <c r="CE433" s="291" t="s">
        <v>8403</v>
      </c>
      <c r="CF433" s="223"/>
      <c r="CG433" s="223"/>
      <c r="CH433" s="223">
        <v>2</v>
      </c>
      <c r="CI433" s="223">
        <v>8</v>
      </c>
      <c r="CK433" s="223"/>
      <c r="CL433" s="223">
        <v>3</v>
      </c>
      <c r="CM433" s="259">
        <v>42161</v>
      </c>
      <c r="CO433" s="137" t="s">
        <v>8405</v>
      </c>
    </row>
    <row r="434" spans="1:93">
      <c r="A434" s="258">
        <v>718</v>
      </c>
      <c r="B434" s="96">
        <v>718</v>
      </c>
      <c r="C434" s="235" t="s">
        <v>7710</v>
      </c>
      <c r="D434" s="235" t="s">
        <v>7535</v>
      </c>
      <c r="E434" s="235" t="s">
        <v>7710</v>
      </c>
      <c r="F434" s="235" t="s">
        <v>8587</v>
      </c>
      <c r="G434" s="235" t="str">
        <f t="shared" si="223"/>
        <v>Rapsodyn</v>
      </c>
      <c r="H434" s="235" t="s">
        <v>265</v>
      </c>
      <c r="I434" s="235">
        <v>2</v>
      </c>
      <c r="J434" s="235">
        <v>9092</v>
      </c>
      <c r="K434" s="235">
        <v>13</v>
      </c>
      <c r="L434" s="235">
        <f t="shared" si="230"/>
        <v>13</v>
      </c>
      <c r="M434" s="235">
        <v>10</v>
      </c>
      <c r="N434" s="235">
        <v>7</v>
      </c>
      <c r="O434" s="248">
        <v>42048</v>
      </c>
      <c r="P434">
        <v>4.6500000000000004</v>
      </c>
      <c r="Q434" s="264">
        <v>42204</v>
      </c>
      <c r="R434"/>
      <c r="S434"/>
      <c r="T434"/>
      <c r="V434" s="219">
        <f t="shared" si="224"/>
        <v>15.476530095859234</v>
      </c>
      <c r="W434" s="219"/>
      <c r="X434">
        <v>15.55</v>
      </c>
      <c r="Y434"/>
      <c r="Z434"/>
      <c r="AA434"/>
      <c r="AB434" s="220">
        <f t="shared" si="225"/>
        <v>4.487189607679209</v>
      </c>
      <c r="AC434" s="219"/>
      <c r="AD434" s="221">
        <f t="shared" si="226"/>
        <v>60255.554674046449</v>
      </c>
      <c r="AE434" s="219"/>
      <c r="AF434" s="220">
        <f t="shared" si="227"/>
        <v>28.741899579520151</v>
      </c>
      <c r="AG434" s="219"/>
      <c r="AH434" s="220">
        <f t="shared" si="228"/>
        <v>32.229086767795643</v>
      </c>
      <c r="AI434" s="219"/>
      <c r="AJ434">
        <v>4.7699999999999996</v>
      </c>
      <c r="AK434" s="284" t="s">
        <v>8403</v>
      </c>
      <c r="AL434">
        <v>160</v>
      </c>
      <c r="AM434"/>
      <c r="AN434" s="241">
        <v>65</v>
      </c>
      <c r="AO434" s="242">
        <v>42069</v>
      </c>
      <c r="AP434" s="255">
        <v>104</v>
      </c>
      <c r="AQ434" s="242">
        <v>42108</v>
      </c>
      <c r="AR434" s="223">
        <v>125</v>
      </c>
      <c r="AS434" s="297">
        <f t="shared" si="229"/>
        <v>125</v>
      </c>
      <c r="AT434" s="290">
        <v>42129</v>
      </c>
      <c r="AU434" s="298"/>
      <c r="AV434"/>
      <c r="AW434"/>
      <c r="AX434"/>
      <c r="AY434"/>
      <c r="AZ434"/>
      <c r="BA434"/>
      <c r="BB434"/>
      <c r="BC434"/>
      <c r="BD434"/>
      <c r="BE434"/>
      <c r="BF434" s="277">
        <v>-3.0227069854736328</v>
      </c>
      <c r="BG434" s="283">
        <v>42233</v>
      </c>
      <c r="BH434"/>
      <c r="BI434"/>
      <c r="BJ434"/>
      <c r="BK434"/>
      <c r="BL434" s="277">
        <v>70.006233215332031</v>
      </c>
      <c r="BM434" s="283">
        <v>42233</v>
      </c>
      <c r="BN434"/>
      <c r="BO434"/>
      <c r="BP434" s="277">
        <v>3.7072780132293701</v>
      </c>
      <c r="BQ434" s="283">
        <v>42233</v>
      </c>
      <c r="BR434" s="277">
        <v>53.846580505371094</v>
      </c>
      <c r="BS434" s="283">
        <v>42233</v>
      </c>
      <c r="BT434" s="277">
        <v>15.612014770507813</v>
      </c>
      <c r="BU434" s="283">
        <v>42233</v>
      </c>
      <c r="BV434" s="277">
        <v>13.557158470153809</v>
      </c>
      <c r="BW434" s="283">
        <v>42233</v>
      </c>
      <c r="BX434" s="277">
        <v>5.1279373168945312</v>
      </c>
      <c r="BY434" s="283">
        <v>42233</v>
      </c>
      <c r="BZ434"/>
      <c r="CB434" s="266">
        <v>1.63</v>
      </c>
      <c r="CC434"/>
      <c r="CD434" s="277">
        <v>1.9230769230769333</v>
      </c>
      <c r="CE434" s="291" t="s">
        <v>8403</v>
      </c>
      <c r="CF434"/>
      <c r="CG434"/>
      <c r="CH434">
        <v>2</v>
      </c>
      <c r="CI434">
        <v>4</v>
      </c>
      <c r="CK434"/>
      <c r="CL434"/>
      <c r="CM434" s="259">
        <v>42161</v>
      </c>
      <c r="CN434" s="137" t="s">
        <v>8406</v>
      </c>
    </row>
    <row r="435" spans="1:93">
      <c r="A435" s="258">
        <v>720</v>
      </c>
      <c r="B435" s="235">
        <v>720</v>
      </c>
      <c r="C435" s="235" t="s">
        <v>7672</v>
      </c>
      <c r="D435" s="235" t="s">
        <v>7501</v>
      </c>
      <c r="E435" s="235" t="s">
        <v>7672</v>
      </c>
      <c r="F435" s="235" t="s">
        <v>8528</v>
      </c>
      <c r="G435" s="235" t="str">
        <f t="shared" si="223"/>
        <v>Rapsodyn</v>
      </c>
      <c r="H435" s="235" t="s">
        <v>265</v>
      </c>
      <c r="I435" s="235">
        <v>2</v>
      </c>
      <c r="J435" s="235">
        <v>9054</v>
      </c>
      <c r="K435" s="235">
        <v>11</v>
      </c>
      <c r="L435" s="235">
        <f t="shared" si="230"/>
        <v>11</v>
      </c>
      <c r="M435" s="235">
        <v>10</v>
      </c>
      <c r="N435" s="235">
        <v>7</v>
      </c>
      <c r="O435" s="248">
        <v>42048</v>
      </c>
      <c r="P435">
        <v>4.3</v>
      </c>
      <c r="Q435" s="264">
        <v>42204</v>
      </c>
      <c r="R435"/>
      <c r="S435"/>
      <c r="T435"/>
      <c r="V435" s="219">
        <f t="shared" si="224"/>
        <v>12.625107646133531</v>
      </c>
      <c r="W435" s="219"/>
      <c r="X435">
        <v>15.55</v>
      </c>
      <c r="Y435"/>
      <c r="Z435"/>
      <c r="AA435"/>
      <c r="AB435" s="220">
        <f t="shared" si="225"/>
        <v>4.3014301345243977</v>
      </c>
      <c r="AC435" s="219"/>
      <c r="AD435" s="221">
        <f t="shared" si="226"/>
        <v>49393.105355341104</v>
      </c>
      <c r="AE435" s="219"/>
      <c r="AF435" s="220">
        <f t="shared" si="227"/>
        <v>25.53623546871135</v>
      </c>
      <c r="AG435" s="219"/>
      <c r="AH435" s="220">
        <f t="shared" si="228"/>
        <v>28.634486957514415</v>
      </c>
      <c r="AI435" s="219"/>
      <c r="AJ435">
        <v>5.17</v>
      </c>
      <c r="AK435" s="284" t="s">
        <v>8399</v>
      </c>
      <c r="AL435">
        <v>180</v>
      </c>
      <c r="AM435"/>
      <c r="AN435" s="241">
        <v>70</v>
      </c>
      <c r="AO435" s="242">
        <v>42074</v>
      </c>
      <c r="AP435" s="255">
        <v>106</v>
      </c>
      <c r="AQ435" s="242">
        <v>42110</v>
      </c>
      <c r="AR435" s="223">
        <v>132</v>
      </c>
      <c r="AS435" s="297">
        <f t="shared" si="229"/>
        <v>132</v>
      </c>
      <c r="AT435" s="290">
        <v>42136</v>
      </c>
      <c r="AU435" s="298"/>
      <c r="AV435"/>
      <c r="AW435"/>
      <c r="AX435"/>
      <c r="AY435"/>
      <c r="AZ435"/>
      <c r="BA435"/>
      <c r="BB435"/>
      <c r="BC435"/>
      <c r="BD435"/>
      <c r="BE435"/>
      <c r="BF435" s="277">
        <v>-1.2115880250930786</v>
      </c>
      <c r="BG435" s="283">
        <v>42233</v>
      </c>
      <c r="BH435"/>
      <c r="BI435"/>
      <c r="BJ435"/>
      <c r="BK435"/>
      <c r="BL435" s="277">
        <v>58.685020446777344</v>
      </c>
      <c r="BM435" s="283">
        <v>42233</v>
      </c>
      <c r="BN435"/>
      <c r="BO435"/>
      <c r="BP435" s="277">
        <v>3.6101090908050537</v>
      </c>
      <c r="BQ435" s="283">
        <v>42233</v>
      </c>
      <c r="BR435" s="277">
        <v>49.439971923828125</v>
      </c>
      <c r="BS435" s="283">
        <v>42233</v>
      </c>
      <c r="BT435" s="277">
        <v>16.844417572021484</v>
      </c>
      <c r="BU435" s="283">
        <v>42233</v>
      </c>
      <c r="BV435" s="277">
        <v>19.452398300170898</v>
      </c>
      <c r="BW435" s="283">
        <v>42233</v>
      </c>
      <c r="BX435" s="277">
        <v>5.4487228393554687</v>
      </c>
      <c r="BY435" s="283">
        <v>42233</v>
      </c>
      <c r="BZ435"/>
      <c r="CB435" s="266">
        <v>1.66</v>
      </c>
      <c r="CC435"/>
      <c r="CD435" s="277">
        <v>5.7692307692307656</v>
      </c>
      <c r="CE435" s="291" t="s">
        <v>8399</v>
      </c>
      <c r="CF435"/>
      <c r="CG435"/>
      <c r="CH435">
        <v>3</v>
      </c>
      <c r="CI435">
        <v>3</v>
      </c>
      <c r="CK435"/>
      <c r="CL435">
        <v>1</v>
      </c>
      <c r="CM435" s="259">
        <v>42161</v>
      </c>
      <c r="CN435" s="137" t="s">
        <v>8406</v>
      </c>
    </row>
    <row r="436" spans="1:93">
      <c r="A436" s="258">
        <v>723</v>
      </c>
      <c r="B436" s="235">
        <v>723</v>
      </c>
      <c r="C436" s="235" t="s">
        <v>7804</v>
      </c>
      <c r="D436" s="235" t="s">
        <v>8421</v>
      </c>
      <c r="E436" s="235" t="s">
        <v>7804</v>
      </c>
      <c r="F436" s="235" t="s">
        <v>8589</v>
      </c>
      <c r="G436" s="235" t="str">
        <f t="shared" si="223"/>
        <v>Rapsodyn</v>
      </c>
      <c r="H436" s="235" t="s">
        <v>265</v>
      </c>
      <c r="I436" s="235">
        <v>2</v>
      </c>
      <c r="J436" s="235">
        <v>9175</v>
      </c>
      <c r="K436" s="235">
        <v>8</v>
      </c>
      <c r="L436" s="235">
        <f t="shared" si="230"/>
        <v>8</v>
      </c>
      <c r="M436" s="235">
        <v>10</v>
      </c>
      <c r="N436" s="235">
        <v>7</v>
      </c>
      <c r="O436" s="248">
        <v>42048</v>
      </c>
      <c r="P436">
        <v>5.75</v>
      </c>
      <c r="Q436" s="264">
        <v>42204</v>
      </c>
      <c r="R436"/>
      <c r="S436"/>
      <c r="T436"/>
      <c r="V436" s="219">
        <f t="shared" si="224"/>
        <v>17.511632721184831</v>
      </c>
      <c r="W436" s="219"/>
      <c r="X436">
        <v>15.55</v>
      </c>
      <c r="Y436"/>
      <c r="Z436"/>
      <c r="AA436"/>
      <c r="AB436" s="220">
        <f t="shared" si="225"/>
        <v>5.1277708581345678</v>
      </c>
      <c r="AC436" s="219"/>
      <c r="AD436" s="221">
        <f t="shared" si="226"/>
        <v>74711.593436646988</v>
      </c>
      <c r="AE436" s="219"/>
      <c r="AF436" s="220">
        <f t="shared" si="227"/>
        <v>33.694928639927788</v>
      </c>
      <c r="AG436" s="219"/>
      <c r="AH436" s="220">
        <f t="shared" si="228"/>
        <v>37.783055214092613</v>
      </c>
      <c r="AI436" s="219"/>
      <c r="AJ436">
        <v>4.51</v>
      </c>
      <c r="AK436" s="284" t="s">
        <v>8398</v>
      </c>
      <c r="AL436">
        <v>160</v>
      </c>
      <c r="AM436"/>
      <c r="AN436" s="241">
        <v>65</v>
      </c>
      <c r="AO436" s="242">
        <v>42069</v>
      </c>
      <c r="AP436" s="255">
        <v>104</v>
      </c>
      <c r="AQ436" s="242">
        <v>42108</v>
      </c>
      <c r="AR436" s="223">
        <v>127</v>
      </c>
      <c r="AS436" s="297">
        <f t="shared" si="229"/>
        <v>127</v>
      </c>
      <c r="AT436" s="290">
        <v>42131</v>
      </c>
      <c r="AU436" s="298"/>
      <c r="AV436"/>
      <c r="AW436"/>
      <c r="AX436"/>
      <c r="AY436"/>
      <c r="AZ436"/>
      <c r="BA436"/>
      <c r="BB436"/>
      <c r="BC436"/>
      <c r="BD436"/>
      <c r="BE436"/>
      <c r="BF436" s="277">
        <v>-1.2145839929580688</v>
      </c>
      <c r="BG436" s="283">
        <v>42230</v>
      </c>
      <c r="BH436"/>
      <c r="BI436"/>
      <c r="BJ436"/>
      <c r="BK436"/>
      <c r="BL436" s="277">
        <v>62.806327819824219</v>
      </c>
      <c r="BM436" s="283">
        <v>42230</v>
      </c>
      <c r="BN436"/>
      <c r="BO436"/>
      <c r="BP436" s="277">
        <v>3.7576088905334473</v>
      </c>
      <c r="BQ436" s="283">
        <v>42230</v>
      </c>
      <c r="BR436" s="277">
        <v>51.971122741699219</v>
      </c>
      <c r="BS436" s="283">
        <v>42230</v>
      </c>
      <c r="BT436" s="277">
        <v>15.218227386474609</v>
      </c>
      <c r="BU436" s="283">
        <v>42230</v>
      </c>
      <c r="BV436" s="277">
        <v>13.901188850402832</v>
      </c>
      <c r="BW436" s="283">
        <v>42230</v>
      </c>
      <c r="BX436" s="277">
        <v>5.5920333862304687</v>
      </c>
      <c r="BY436" s="283">
        <v>42230</v>
      </c>
      <c r="BZ436"/>
      <c r="CB436" s="266">
        <v>1.41</v>
      </c>
      <c r="CC436"/>
      <c r="CD436" s="277">
        <v>7.0175438596491295</v>
      </c>
      <c r="CE436" s="291" t="s">
        <v>8398</v>
      </c>
      <c r="CF436"/>
      <c r="CG436"/>
      <c r="CH436">
        <v>1</v>
      </c>
      <c r="CI436">
        <v>3</v>
      </c>
      <c r="CK436"/>
      <c r="CL436"/>
      <c r="CM436" s="259">
        <v>42161</v>
      </c>
      <c r="CN436" s="137" t="s">
        <v>8406</v>
      </c>
    </row>
    <row r="437" spans="1:93">
      <c r="A437" s="258">
        <v>725</v>
      </c>
      <c r="B437" s="235">
        <v>725</v>
      </c>
      <c r="C437" s="235" t="s">
        <v>7576</v>
      </c>
      <c r="D437" s="235"/>
      <c r="E437" s="235"/>
      <c r="F437" s="235"/>
      <c r="G437" s="235"/>
      <c r="H437" s="235" t="s">
        <v>265</v>
      </c>
      <c r="I437" s="235">
        <v>2</v>
      </c>
      <c r="K437" s="235">
        <v>6</v>
      </c>
      <c r="L437" s="235">
        <f t="shared" si="230"/>
        <v>6</v>
      </c>
      <c r="M437" s="235">
        <v>10</v>
      </c>
      <c r="O437" s="248">
        <v>42048</v>
      </c>
      <c r="P437"/>
      <c r="Q437" s="174"/>
      <c r="R437"/>
      <c r="S437"/>
      <c r="T437"/>
      <c r="V437" s="219"/>
      <c r="W437" s="219"/>
      <c r="X437">
        <v>15.55</v>
      </c>
      <c r="Y437"/>
      <c r="Z437"/>
      <c r="AA437"/>
      <c r="AB437" s="220"/>
      <c r="AC437" s="219"/>
      <c r="AD437" s="221"/>
      <c r="AE437" s="219"/>
      <c r="AF437" s="220"/>
      <c r="AG437" s="219"/>
      <c r="AH437" s="220"/>
      <c r="AI437" s="219"/>
      <c r="AJ437" s="286"/>
      <c r="AK437" s="284"/>
      <c r="AL437"/>
      <c r="AM437"/>
      <c r="AN437" s="241">
        <v>70</v>
      </c>
      <c r="AO437" s="242">
        <v>42074</v>
      </c>
      <c r="AP437" s="255">
        <v>104</v>
      </c>
      <c r="AQ437" s="242">
        <v>42108</v>
      </c>
      <c r="AR437"/>
      <c r="AS437" s="297"/>
      <c r="AT437" s="290"/>
      <c r="AU437" s="298"/>
      <c r="AV437"/>
      <c r="AW437"/>
      <c r="AX437"/>
      <c r="AY437"/>
      <c r="AZ437"/>
      <c r="BA437"/>
      <c r="BB437"/>
      <c r="BC437"/>
      <c r="BD437"/>
      <c r="BE437"/>
      <c r="BF437" s="277"/>
      <c r="BG437" s="235"/>
      <c r="BH437"/>
      <c r="BI437"/>
      <c r="BJ437"/>
      <c r="BK437"/>
      <c r="BL437" s="277"/>
      <c r="BM437" s="235"/>
      <c r="BN437"/>
      <c r="BO437"/>
      <c r="BP437" s="277"/>
      <c r="BQ437" s="235"/>
      <c r="BR437" s="277"/>
      <c r="BS437" s="235"/>
      <c r="BT437" s="277"/>
      <c r="BU437" s="235"/>
      <c r="BV437" s="277"/>
      <c r="BW437" s="235"/>
      <c r="BX437" s="277"/>
      <c r="BY437" s="235"/>
      <c r="BZ437"/>
      <c r="CB437" s="266"/>
      <c r="CC437"/>
      <c r="CD437" s="277"/>
      <c r="CE437" s="291"/>
      <c r="CF437"/>
      <c r="CG437"/>
      <c r="CH437"/>
      <c r="CI437"/>
      <c r="CK437"/>
      <c r="CL437">
        <v>1</v>
      </c>
      <c r="CM437" s="259">
        <v>42161</v>
      </c>
    </row>
    <row r="438" spans="1:93">
      <c r="A438" s="258">
        <v>726</v>
      </c>
      <c r="B438" s="235">
        <v>726</v>
      </c>
      <c r="C438" s="235" t="s">
        <v>7749</v>
      </c>
      <c r="D438" s="235" t="s">
        <v>7888</v>
      </c>
      <c r="E438" s="235" t="s">
        <v>7749</v>
      </c>
      <c r="F438" s="235" t="s">
        <v>8558</v>
      </c>
      <c r="G438" s="235" t="str">
        <f>IF(MID(C438,1,3)="BGA","Complement","Rapsodyn")</f>
        <v>Rapsodyn</v>
      </c>
      <c r="H438" s="235" t="s">
        <v>265</v>
      </c>
      <c r="I438" s="235">
        <v>2</v>
      </c>
      <c r="J438" s="235">
        <v>9381</v>
      </c>
      <c r="K438" s="235">
        <v>5</v>
      </c>
      <c r="L438" s="235">
        <f t="shared" si="230"/>
        <v>5</v>
      </c>
      <c r="M438" s="235">
        <v>10</v>
      </c>
      <c r="N438" s="236">
        <v>5</v>
      </c>
      <c r="O438" s="248">
        <v>42048</v>
      </c>
      <c r="P438">
        <v>2.1</v>
      </c>
      <c r="Q438" s="264">
        <v>42204</v>
      </c>
      <c r="R438"/>
      <c r="S438"/>
      <c r="T438"/>
      <c r="V438" s="219">
        <f>+BR438*AF438/100</f>
        <v>6.0205347283660782</v>
      </c>
      <c r="W438" s="219"/>
      <c r="X438">
        <v>15.55</v>
      </c>
      <c r="Y438"/>
      <c r="Z438"/>
      <c r="AA438"/>
      <c r="AB438" s="220">
        <f>+AF438*BT438/100</f>
        <v>2.6583158596075616</v>
      </c>
      <c r="AC438" s="219"/>
      <c r="AD438" s="221">
        <f>+(AF438/AJ438)*10000</f>
        <v>29010.360843158269</v>
      </c>
      <c r="AE438" s="219"/>
      <c r="AF438" s="220">
        <f>($P438/$X438)*(((100-$CD438)/100*(100-2)/100))*100</f>
        <v>12.793569131832797</v>
      </c>
      <c r="AG438" s="219"/>
      <c r="AH438" s="220">
        <f>($P438/$X438)*(((100-$CD438)/(100-9)*(100-2)/(100-2))*100)</f>
        <v>14.345782834528817</v>
      </c>
      <c r="AI438" s="219"/>
      <c r="AJ438">
        <v>4.41</v>
      </c>
      <c r="AK438" s="284" t="s">
        <v>8398</v>
      </c>
      <c r="AL438">
        <v>155</v>
      </c>
      <c r="AM438"/>
      <c r="AN438" s="241">
        <v>72</v>
      </c>
      <c r="AO438" s="242">
        <v>42076</v>
      </c>
      <c r="AP438" s="255">
        <v>106</v>
      </c>
      <c r="AQ438" s="242">
        <v>42110</v>
      </c>
      <c r="AR438" s="223">
        <v>131</v>
      </c>
      <c r="AS438" s="297">
        <f>IF(AR438=0,,AR438)</f>
        <v>131</v>
      </c>
      <c r="AT438" s="290">
        <v>42135</v>
      </c>
      <c r="AU438" s="298"/>
      <c r="AV438"/>
      <c r="AW438"/>
      <c r="AX438"/>
      <c r="AY438"/>
      <c r="AZ438"/>
      <c r="BA438"/>
      <c r="BB438"/>
      <c r="BC438"/>
      <c r="BD438"/>
      <c r="BE438"/>
      <c r="BF438" s="277">
        <v>29.09051513671875</v>
      </c>
      <c r="BG438" s="283">
        <v>42230</v>
      </c>
      <c r="BH438"/>
      <c r="BI438"/>
      <c r="BJ438"/>
      <c r="BK438"/>
      <c r="BL438" s="277">
        <v>59.786128997802734</v>
      </c>
      <c r="BM438" s="283">
        <v>42230</v>
      </c>
      <c r="BN438"/>
      <c r="BO438"/>
      <c r="BP438" s="277">
        <v>3.1694090366363525</v>
      </c>
      <c r="BQ438" s="283">
        <v>42230</v>
      </c>
      <c r="BR438" s="277">
        <v>47.059070587158203</v>
      </c>
      <c r="BS438" s="283">
        <v>42230</v>
      </c>
      <c r="BT438" s="277">
        <v>20.778532028198242</v>
      </c>
      <c r="BU438" s="283">
        <v>42230</v>
      </c>
      <c r="BV438" s="277">
        <v>74.010276794433594</v>
      </c>
      <c r="BW438" s="283">
        <v>42230</v>
      </c>
      <c r="BX438" s="277">
        <v>5.6949310302734375</v>
      </c>
      <c r="BY438" s="283">
        <v>42230</v>
      </c>
      <c r="BZ438"/>
      <c r="CB438" s="266">
        <v>2.42</v>
      </c>
      <c r="CC438"/>
      <c r="CD438" s="277">
        <v>3.3333333333333361</v>
      </c>
      <c r="CE438" s="291" t="s">
        <v>8398</v>
      </c>
      <c r="CF438"/>
      <c r="CG438"/>
      <c r="CH438">
        <v>4</v>
      </c>
      <c r="CI438">
        <v>7</v>
      </c>
      <c r="CK438"/>
      <c r="CL438">
        <v>4</v>
      </c>
      <c r="CM438" s="259">
        <v>42161</v>
      </c>
      <c r="CO438" s="137" t="s">
        <v>8405</v>
      </c>
    </row>
    <row r="439" spans="1:93">
      <c r="A439" s="258">
        <v>727</v>
      </c>
      <c r="B439" s="235">
        <v>727</v>
      </c>
      <c r="C439" s="235" t="s">
        <v>7629</v>
      </c>
      <c r="D439" s="235" t="s">
        <v>7463</v>
      </c>
      <c r="E439" s="235" t="s">
        <v>7629</v>
      </c>
      <c r="F439" s="235" t="s">
        <v>8493</v>
      </c>
      <c r="G439" s="235" t="str">
        <f>IF(MID(C439,1,3)="BGA","Complement","Rapsodyn")</f>
        <v>Rapsodyn</v>
      </c>
      <c r="H439" s="235" t="s">
        <v>265</v>
      </c>
      <c r="I439" s="235">
        <v>2</v>
      </c>
      <c r="J439" s="235">
        <v>9365</v>
      </c>
      <c r="K439" s="235">
        <v>4</v>
      </c>
      <c r="L439" s="235">
        <f t="shared" si="230"/>
        <v>4</v>
      </c>
      <c r="M439" s="235">
        <v>10</v>
      </c>
      <c r="N439" s="235">
        <v>7</v>
      </c>
      <c r="O439" s="248">
        <v>42048</v>
      </c>
      <c r="P439">
        <v>1.4</v>
      </c>
      <c r="Q439" s="264">
        <v>42204</v>
      </c>
      <c r="R439"/>
      <c r="S439"/>
      <c r="T439"/>
      <c r="V439" s="219">
        <f>+BR439*AF439/100</f>
        <v>4.0760949038388636</v>
      </c>
      <c r="W439" s="219"/>
      <c r="X439">
        <v>15.55</v>
      </c>
      <c r="Y439"/>
      <c r="Z439"/>
      <c r="AA439"/>
      <c r="AB439" s="220">
        <f>+AF439*BT439/100</f>
        <v>1.8605634098221899</v>
      </c>
      <c r="AC439" s="219"/>
      <c r="AD439" s="221">
        <f>+(AF439/AJ439)*10000</f>
        <v>17476.530242731606</v>
      </c>
      <c r="AE439" s="219"/>
      <c r="AF439" s="220">
        <f>($P439/$X439)*(((100-$CD439)/100*(100-2)/100))*100</f>
        <v>8.6683590003948758</v>
      </c>
      <c r="AG439" s="219"/>
      <c r="AH439" s="220">
        <f>($P439/$X439)*(((100-$CD439)/(100-9)*(100-2)/(100-2))*100)</f>
        <v>9.7200706440848581</v>
      </c>
      <c r="AI439" s="219"/>
      <c r="AJ439">
        <v>4.96</v>
      </c>
      <c r="AK439" s="284" t="s">
        <v>8398</v>
      </c>
      <c r="AL439">
        <v>155</v>
      </c>
      <c r="AM439"/>
      <c r="AN439" s="241">
        <v>70</v>
      </c>
      <c r="AO439" s="242">
        <v>42074</v>
      </c>
      <c r="AP439" s="255">
        <v>104</v>
      </c>
      <c r="AQ439" s="242">
        <v>42108</v>
      </c>
      <c r="AR439" s="223">
        <v>128</v>
      </c>
      <c r="AS439" s="297">
        <f>IF(AR439=0,,AR439)</f>
        <v>128</v>
      </c>
      <c r="AT439" s="290">
        <v>42132</v>
      </c>
      <c r="AU439" s="298"/>
      <c r="AV439"/>
      <c r="AW439"/>
      <c r="AX439"/>
      <c r="AY439"/>
      <c r="AZ439"/>
      <c r="BA439"/>
      <c r="BB439"/>
      <c r="BC439"/>
      <c r="BD439"/>
      <c r="BE439"/>
      <c r="BF439" s="277">
        <v>-7.2800431251525879</v>
      </c>
      <c r="BG439" s="283">
        <v>42230</v>
      </c>
      <c r="BH439"/>
      <c r="BI439"/>
      <c r="BJ439"/>
      <c r="BK439"/>
      <c r="BL439" s="277">
        <v>60.165802001953125</v>
      </c>
      <c r="BM439" s="283">
        <v>42230</v>
      </c>
      <c r="BN439"/>
      <c r="BO439"/>
      <c r="BP439" s="277">
        <v>3.0585091114044189</v>
      </c>
      <c r="BQ439" s="283">
        <v>42230</v>
      </c>
      <c r="BR439" s="277">
        <v>47.022682189941406</v>
      </c>
      <c r="BS439" s="283">
        <v>42230</v>
      </c>
      <c r="BT439" s="277">
        <v>21.463848114013672</v>
      </c>
      <c r="BU439" s="283">
        <v>42230</v>
      </c>
      <c r="BV439" s="277">
        <v>73.308509826660156</v>
      </c>
      <c r="BW439" s="283">
        <v>42230</v>
      </c>
      <c r="BX439" s="277">
        <v>5.6783981323242187</v>
      </c>
      <c r="BY439" s="283">
        <v>42230</v>
      </c>
      <c r="BZ439"/>
      <c r="CB439" s="266">
        <v>1.56</v>
      </c>
      <c r="CC439"/>
      <c r="CD439" s="277">
        <v>1.7543859649122899</v>
      </c>
      <c r="CE439" s="291" t="s">
        <v>8398</v>
      </c>
      <c r="CF439"/>
      <c r="CG439"/>
      <c r="CH439">
        <v>2</v>
      </c>
      <c r="CI439">
        <v>5</v>
      </c>
      <c r="CK439"/>
      <c r="CL439">
        <v>4</v>
      </c>
      <c r="CM439" s="259">
        <v>42161</v>
      </c>
      <c r="CN439" s="137" t="s">
        <v>8406</v>
      </c>
    </row>
    <row r="440" spans="1:93">
      <c r="A440" s="258">
        <v>728</v>
      </c>
      <c r="B440" s="235">
        <v>728</v>
      </c>
      <c r="C440" s="235" t="s">
        <v>8238</v>
      </c>
      <c r="D440" s="235" t="s">
        <v>7562</v>
      </c>
      <c r="E440" s="235" t="s">
        <v>8461</v>
      </c>
      <c r="F440" s="235" t="s">
        <v>8469</v>
      </c>
      <c r="G440" s="235" t="str">
        <f>IF(MID(C440,1,3)="BGA","Complement","Rapsodyn")</f>
        <v>Rapsodyn</v>
      </c>
      <c r="H440" s="235" t="s">
        <v>265</v>
      </c>
      <c r="I440" s="235">
        <v>2</v>
      </c>
      <c r="J440" s="235">
        <v>9384</v>
      </c>
      <c r="K440" s="235">
        <v>3</v>
      </c>
      <c r="L440" s="235">
        <f t="shared" si="230"/>
        <v>3</v>
      </c>
      <c r="M440" s="235">
        <v>10</v>
      </c>
      <c r="N440" s="235">
        <v>7</v>
      </c>
      <c r="O440" s="248">
        <v>42048</v>
      </c>
      <c r="P440">
        <v>4.0999999999999996</v>
      </c>
      <c r="Q440" s="264">
        <v>42204</v>
      </c>
      <c r="R440" s="261"/>
      <c r="S440"/>
      <c r="T440"/>
      <c r="V440" s="219">
        <f>+BR440*AF440/100</f>
        <v>12.49409417289942</v>
      </c>
      <c r="W440" s="219"/>
      <c r="X440">
        <v>15.55</v>
      </c>
      <c r="Y440"/>
      <c r="Z440"/>
      <c r="AA440"/>
      <c r="AB440" s="220">
        <f>+AF440*BT440/100</f>
        <v>4.3090489260560059</v>
      </c>
      <c r="AC440" s="219"/>
      <c r="AD440" s="221">
        <f>+(AF440/AJ440)*10000</f>
        <v>52828.492230189382</v>
      </c>
      <c r="AE440" s="219"/>
      <c r="AF440" s="220">
        <f>($P440/$X440)*(((100-$CD440)/100*(100-2)/100))*100</f>
        <v>24.882219840419197</v>
      </c>
      <c r="AG440" s="219"/>
      <c r="AH440" s="220">
        <f>($P440/$X440)*(((100-$CD440)/(100-9)*(100-2)/(100-2))*100)</f>
        <v>27.901121148709567</v>
      </c>
      <c r="AI440" s="219"/>
      <c r="AJ440">
        <v>4.71</v>
      </c>
      <c r="AK440" s="284" t="s">
        <v>8398</v>
      </c>
      <c r="AL440">
        <v>155</v>
      </c>
      <c r="AM440"/>
      <c r="AN440" s="241">
        <v>72</v>
      </c>
      <c r="AO440" s="242">
        <v>42076</v>
      </c>
      <c r="AP440" s="255">
        <v>104</v>
      </c>
      <c r="AQ440" s="242">
        <v>42108</v>
      </c>
      <c r="AR440" s="223">
        <v>130</v>
      </c>
      <c r="AS440" s="297">
        <f>IF(AR440=0,,AR440)</f>
        <v>130</v>
      </c>
      <c r="AT440" s="290">
        <v>42134</v>
      </c>
      <c r="AU440" s="298"/>
      <c r="AV440"/>
      <c r="AW440"/>
      <c r="AX440"/>
      <c r="AY440"/>
      <c r="AZ440"/>
      <c r="BA440"/>
      <c r="BB440"/>
      <c r="BC440"/>
      <c r="BD440"/>
      <c r="BE440"/>
      <c r="BF440" s="277">
        <v>-0.41675400733947754</v>
      </c>
      <c r="BG440" s="283">
        <v>42230</v>
      </c>
      <c r="BH440"/>
      <c r="BI440"/>
      <c r="BJ440"/>
      <c r="BK440"/>
      <c r="BL440" s="277">
        <v>62.088493347167969</v>
      </c>
      <c r="BM440" s="283">
        <v>42230</v>
      </c>
      <c r="BN440"/>
      <c r="BO440"/>
      <c r="BP440" s="277">
        <v>4.0463180541992187</v>
      </c>
      <c r="BQ440" s="283">
        <v>42230</v>
      </c>
      <c r="BR440" s="277">
        <v>50.212940216064453</v>
      </c>
      <c r="BS440" s="283">
        <v>42230</v>
      </c>
      <c r="BT440" s="277">
        <v>17.317783355712891</v>
      </c>
      <c r="BU440" s="283">
        <v>42230</v>
      </c>
      <c r="BV440" s="277">
        <v>18.040212631225586</v>
      </c>
      <c r="BW440" s="283">
        <v>42230</v>
      </c>
      <c r="BX440" s="277">
        <v>5.2588882446289062</v>
      </c>
      <c r="BY440" s="283">
        <v>42230</v>
      </c>
      <c r="BZ440"/>
      <c r="CB440" s="266">
        <v>1.2</v>
      </c>
      <c r="CC440"/>
      <c r="CD440" s="277">
        <v>3.7037037037037068</v>
      </c>
      <c r="CE440" s="291" t="s">
        <v>8398</v>
      </c>
      <c r="CF440"/>
      <c r="CG440"/>
      <c r="CH440">
        <v>2</v>
      </c>
      <c r="CI440">
        <v>4</v>
      </c>
      <c r="CK440"/>
      <c r="CL440">
        <v>1</v>
      </c>
      <c r="CM440" s="259">
        <v>42161</v>
      </c>
      <c r="CN440" s="137" t="s">
        <v>8406</v>
      </c>
    </row>
    <row r="441" spans="1:93">
      <c r="A441" s="258">
        <v>729</v>
      </c>
      <c r="B441" s="235">
        <v>729</v>
      </c>
      <c r="C441" s="235" t="s">
        <v>7747</v>
      </c>
      <c r="D441" s="235" t="s">
        <v>7874</v>
      </c>
      <c r="E441" s="235" t="s">
        <v>7747</v>
      </c>
      <c r="F441" s="235" t="s">
        <v>8496</v>
      </c>
      <c r="G441" s="235" t="str">
        <f>IF(MID(C441,1,3)="BGA","Complement","Rapsodyn")</f>
        <v>Rapsodyn</v>
      </c>
      <c r="H441" s="235" t="s">
        <v>265</v>
      </c>
      <c r="I441" s="235">
        <v>2</v>
      </c>
      <c r="J441" s="235">
        <v>9380</v>
      </c>
      <c r="K441" s="235">
        <v>2</v>
      </c>
      <c r="L441" s="235">
        <f t="shared" si="230"/>
        <v>2</v>
      </c>
      <c r="M441" s="235">
        <v>10</v>
      </c>
      <c r="N441" s="235">
        <v>5</v>
      </c>
      <c r="O441" s="248">
        <v>42048</v>
      </c>
      <c r="P441">
        <v>2.9</v>
      </c>
      <c r="Q441" s="264">
        <v>42204</v>
      </c>
      <c r="R441"/>
      <c r="S441"/>
      <c r="T441"/>
      <c r="V441" s="219">
        <f>+BR441*AF441/100</f>
        <v>8.3954229995074225</v>
      </c>
      <c r="W441" s="219"/>
      <c r="X441">
        <v>15.55</v>
      </c>
      <c r="Y441"/>
      <c r="Z441"/>
      <c r="AA441"/>
      <c r="AB441" s="220">
        <f>+AF441*BT441/100</f>
        <v>3.5370697226863013</v>
      </c>
      <c r="AC441" s="219"/>
      <c r="AD441" s="221">
        <f>+(AF441/AJ441)*10000</f>
        <v>32369.455256576599</v>
      </c>
      <c r="AE441" s="219"/>
      <c r="AF441" s="220">
        <f>($P441/$X441)*(((100-$CD441)/100*(100-2)/100))*100</f>
        <v>16.993964009702715</v>
      </c>
      <c r="AG441" s="219"/>
      <c r="AH441" s="220">
        <f>($P441/$X441)*(((100-$CD441)/(100-9)*(100-2)/(100-2))*100)</f>
        <v>19.055801760151059</v>
      </c>
      <c r="AI441" s="219"/>
      <c r="AJ441">
        <v>5.25</v>
      </c>
      <c r="AK441" s="284" t="s">
        <v>8398</v>
      </c>
      <c r="AL441">
        <v>170</v>
      </c>
      <c r="AM441"/>
      <c r="AN441" s="241">
        <v>70</v>
      </c>
      <c r="AO441" s="242">
        <v>42074</v>
      </c>
      <c r="AP441" s="255">
        <v>110</v>
      </c>
      <c r="AQ441" s="242">
        <v>42114</v>
      </c>
      <c r="AR441" s="223">
        <v>131</v>
      </c>
      <c r="AS441" s="297">
        <f>IF(AR441=0,,AR441)</f>
        <v>131</v>
      </c>
      <c r="AT441" s="290">
        <v>42135</v>
      </c>
      <c r="AU441" s="298"/>
      <c r="AV441"/>
      <c r="AW441"/>
      <c r="AX441"/>
      <c r="AY441"/>
      <c r="AZ441"/>
      <c r="BA441"/>
      <c r="BB441"/>
      <c r="BC441"/>
      <c r="BD441"/>
      <c r="BE441"/>
      <c r="BF441" s="277">
        <v>35.393943786621094</v>
      </c>
      <c r="BG441" s="283">
        <v>42230</v>
      </c>
      <c r="BH441"/>
      <c r="BI441"/>
      <c r="BJ441"/>
      <c r="BK441"/>
      <c r="BL441" s="277">
        <v>61.000553131103516</v>
      </c>
      <c r="BM441" s="283">
        <v>42230</v>
      </c>
      <c r="BN441"/>
      <c r="BO441"/>
      <c r="BP441" s="277">
        <v>4.3564929962158203</v>
      </c>
      <c r="BQ441" s="283">
        <v>42230</v>
      </c>
      <c r="BR441" s="277">
        <v>49.402381896972656</v>
      </c>
      <c r="BS441" s="283">
        <v>42230</v>
      </c>
      <c r="BT441" s="277">
        <v>20.813682556152344</v>
      </c>
      <c r="BU441" s="283">
        <v>42230</v>
      </c>
      <c r="BV441" s="277">
        <v>73.483230590820313</v>
      </c>
      <c r="BW441" s="283">
        <v>42230</v>
      </c>
      <c r="BX441" s="277">
        <v>5.4755172729492187</v>
      </c>
      <c r="BY441" s="283">
        <v>42230</v>
      </c>
      <c r="BZ441"/>
      <c r="CB441" s="266">
        <v>1.49</v>
      </c>
      <c r="CC441"/>
      <c r="CD441" s="277">
        <v>7.0175438596491295</v>
      </c>
      <c r="CE441" s="291" t="s">
        <v>8398</v>
      </c>
      <c r="CF441"/>
      <c r="CG441"/>
      <c r="CH441">
        <v>2</v>
      </c>
      <c r="CI441">
        <v>4</v>
      </c>
      <c r="CK441"/>
      <c r="CL441">
        <v>4</v>
      </c>
      <c r="CM441" s="259">
        <v>42161</v>
      </c>
      <c r="CN441" s="137" t="s">
        <v>8406</v>
      </c>
    </row>
    <row r="442" spans="1:93">
      <c r="A442" s="258">
        <v>730</v>
      </c>
      <c r="B442" s="235">
        <v>730</v>
      </c>
      <c r="C442" s="235" t="s">
        <v>7576</v>
      </c>
      <c r="D442" s="235"/>
      <c r="E442" s="235"/>
      <c r="F442" s="235"/>
      <c r="G442" s="235"/>
      <c r="H442" s="235" t="s">
        <v>265</v>
      </c>
      <c r="I442" s="235">
        <v>2</v>
      </c>
      <c r="K442" s="235">
        <v>1</v>
      </c>
      <c r="L442" s="235">
        <f t="shared" si="230"/>
        <v>1</v>
      </c>
      <c r="M442" s="235">
        <v>10</v>
      </c>
      <c r="O442" s="248">
        <v>42048</v>
      </c>
      <c r="P442" s="223"/>
      <c r="Q442" s="224"/>
      <c r="R442" s="223"/>
      <c r="S442" s="223"/>
      <c r="T442" s="223"/>
      <c r="U442" s="225"/>
      <c r="V442" s="219"/>
      <c r="W442" s="224"/>
      <c r="X442">
        <v>15.55</v>
      </c>
      <c r="Y442" s="223"/>
      <c r="Z442" s="223"/>
      <c r="AA442" s="223"/>
      <c r="AB442" s="220"/>
      <c r="AC442" s="224"/>
      <c r="AD442" s="221"/>
      <c r="AE442" s="224"/>
      <c r="AF442" s="220"/>
      <c r="AG442" s="224"/>
      <c r="AH442" s="220"/>
      <c r="AI442" s="224"/>
      <c r="AJ442" s="286"/>
      <c r="AK442" s="290"/>
      <c r="AL442" s="223"/>
      <c r="AM442" s="223"/>
      <c r="AN442" s="241">
        <v>70</v>
      </c>
      <c r="AO442" s="242">
        <v>42074</v>
      </c>
      <c r="AP442" s="255">
        <v>104</v>
      </c>
      <c r="AQ442" s="242">
        <v>42108</v>
      </c>
      <c r="AR442" s="223"/>
      <c r="AS442" s="297"/>
      <c r="AT442" s="290"/>
      <c r="AU442" s="298"/>
      <c r="AV442" s="223"/>
      <c r="AW442" s="223"/>
      <c r="AX442" s="223"/>
      <c r="AY442" s="223"/>
      <c r="AZ442" s="223"/>
      <c r="BA442" s="223"/>
      <c r="BB442" s="223"/>
      <c r="BC442" s="223"/>
      <c r="BD442" s="223"/>
      <c r="BE442" s="223"/>
      <c r="BF442" s="281"/>
      <c r="BG442" s="235"/>
      <c r="BH442" s="223"/>
      <c r="BI442" s="223"/>
      <c r="BJ442" s="223"/>
      <c r="BK442" s="223"/>
      <c r="BL442" s="281"/>
      <c r="BM442" s="235"/>
      <c r="BN442" s="223"/>
      <c r="BO442" s="223"/>
      <c r="BP442" s="281"/>
      <c r="BQ442" s="235"/>
      <c r="BR442" s="281"/>
      <c r="BS442" s="235"/>
      <c r="BT442" s="281"/>
      <c r="BU442" s="235"/>
      <c r="BV442" s="281"/>
      <c r="BW442" s="235"/>
      <c r="BX442" s="281"/>
      <c r="BY442" s="235"/>
      <c r="BZ442" s="223"/>
      <c r="CA442" s="226"/>
      <c r="CB442" s="266"/>
      <c r="CC442" s="223"/>
      <c r="CD442" s="281"/>
      <c r="CE442" s="291"/>
      <c r="CF442" s="223"/>
      <c r="CG442" s="223"/>
      <c r="CH442" s="223"/>
      <c r="CI442" s="223"/>
      <c r="CK442" s="223"/>
      <c r="CL442" s="223">
        <v>1</v>
      </c>
      <c r="CM442" s="259">
        <v>42161</v>
      </c>
    </row>
    <row r="443" spans="1:93">
      <c r="A443" s="258">
        <v>731</v>
      </c>
      <c r="B443" s="235">
        <v>731</v>
      </c>
      <c r="C443" s="235" t="s">
        <v>7576</v>
      </c>
      <c r="D443" s="235"/>
      <c r="E443" s="235"/>
      <c r="F443" s="235"/>
      <c r="G443" s="235"/>
      <c r="H443" s="235" t="s">
        <v>265</v>
      </c>
      <c r="I443" s="235">
        <v>2</v>
      </c>
      <c r="K443" s="235">
        <v>1</v>
      </c>
      <c r="L443" s="235">
        <f t="shared" si="230"/>
        <v>1</v>
      </c>
      <c r="M443" s="235">
        <v>11</v>
      </c>
      <c r="O443" s="248">
        <v>42048</v>
      </c>
      <c r="P443"/>
      <c r="Q443" s="219"/>
      <c r="R443"/>
      <c r="S443"/>
      <c r="T443"/>
      <c r="V443" s="219"/>
      <c r="W443" s="219"/>
      <c r="X443">
        <v>15.55</v>
      </c>
      <c r="Y443"/>
      <c r="Z443"/>
      <c r="AA443"/>
      <c r="AB443" s="220"/>
      <c r="AC443" s="219"/>
      <c r="AD443" s="221"/>
      <c r="AE443" s="219"/>
      <c r="AF443" s="220"/>
      <c r="AG443" s="219"/>
      <c r="AH443" s="220"/>
      <c r="AI443" s="219"/>
      <c r="AJ443" s="286"/>
      <c r="AK443" s="284"/>
      <c r="AL443"/>
      <c r="AM443"/>
      <c r="AN443" s="241">
        <v>70</v>
      </c>
      <c r="AO443" s="242">
        <v>42074</v>
      </c>
      <c r="AP443" s="255">
        <v>104</v>
      </c>
      <c r="AQ443" s="242">
        <v>42108</v>
      </c>
      <c r="AR443"/>
      <c r="AS443" s="297"/>
      <c r="AT443" s="290"/>
      <c r="AU443" s="298"/>
      <c r="AV443"/>
      <c r="AW443"/>
      <c r="AX443"/>
      <c r="AY443"/>
      <c r="AZ443"/>
      <c r="BA443"/>
      <c r="BB443"/>
      <c r="BC443"/>
      <c r="BD443"/>
      <c r="BE443"/>
      <c r="BF443" s="277"/>
      <c r="BG443" s="235"/>
      <c r="BH443"/>
      <c r="BI443"/>
      <c r="BJ443"/>
      <c r="BK443"/>
      <c r="BL443" s="277"/>
      <c r="BM443" s="235"/>
      <c r="BN443"/>
      <c r="BO443"/>
      <c r="BP443" s="277"/>
      <c r="BQ443" s="235"/>
      <c r="BR443" s="277"/>
      <c r="BS443" s="235"/>
      <c r="BT443" s="277"/>
      <c r="BU443" s="235"/>
      <c r="BV443" s="277"/>
      <c r="BW443" s="235"/>
      <c r="BX443" s="277"/>
      <c r="BY443" s="235"/>
      <c r="BZ443"/>
      <c r="CB443" s="266"/>
      <c r="CC443"/>
      <c r="CD443" s="277"/>
      <c r="CE443" s="291"/>
      <c r="CF443"/>
      <c r="CG443"/>
      <c r="CH443"/>
      <c r="CI443"/>
      <c r="CK443"/>
      <c r="CL443"/>
      <c r="CM443" s="259">
        <v>42161</v>
      </c>
    </row>
    <row r="444" spans="1:93">
      <c r="A444" s="258">
        <v>732</v>
      </c>
      <c r="B444" s="235">
        <v>732</v>
      </c>
      <c r="C444" s="235" t="s">
        <v>7612</v>
      </c>
      <c r="D444" s="235" t="s">
        <v>7813</v>
      </c>
      <c r="E444" s="235" t="s">
        <v>7612</v>
      </c>
      <c r="F444" s="235" t="s">
        <v>8628</v>
      </c>
      <c r="G444" s="235" t="str">
        <f>IF(MID(C444,1,3)="BGA","Complement","Rapsodyn")</f>
        <v>Rapsodyn</v>
      </c>
      <c r="H444" s="235" t="s">
        <v>265</v>
      </c>
      <c r="I444" s="235">
        <v>2</v>
      </c>
      <c r="J444" s="235">
        <v>9364</v>
      </c>
      <c r="K444" s="235">
        <v>2</v>
      </c>
      <c r="L444" s="235">
        <f t="shared" si="230"/>
        <v>2</v>
      </c>
      <c r="M444" s="235">
        <v>11</v>
      </c>
      <c r="N444" s="235">
        <v>7</v>
      </c>
      <c r="O444" s="248">
        <v>42048</v>
      </c>
      <c r="P444">
        <v>1.9</v>
      </c>
      <c r="Q444" s="264">
        <v>42204</v>
      </c>
      <c r="R444"/>
      <c r="S444"/>
      <c r="T444"/>
      <c r="V444" s="219">
        <f>+BR444*AF444/100</f>
        <v>5.69859832989001</v>
      </c>
      <c r="W444" s="219"/>
      <c r="X444">
        <v>15.55</v>
      </c>
      <c r="Y444"/>
      <c r="Z444"/>
      <c r="AA444"/>
      <c r="AB444" s="220">
        <f>+AF444*BT444/100</f>
        <v>2.3555923628639541</v>
      </c>
      <c r="AC444" s="219"/>
      <c r="AD444" s="221">
        <f>+(AF444/AJ444)*10000</f>
        <v>24742.169822555668</v>
      </c>
      <c r="AE444" s="219"/>
      <c r="AF444" s="220">
        <f>($P444/$X444)*(((100-$CD444)/100*(100-2)/100))*100</f>
        <v>11.752530665713943</v>
      </c>
      <c r="AG444" s="219"/>
      <c r="AH444" s="220">
        <f>($P444/$X444)*(((100-$CD444)/(100-9)*(100-2)/(100-2))*100)</f>
        <v>13.178437615736646</v>
      </c>
      <c r="AI444" s="219"/>
      <c r="AJ444">
        <v>4.75</v>
      </c>
      <c r="AK444" s="284" t="s">
        <v>8398</v>
      </c>
      <c r="AL444">
        <v>170</v>
      </c>
      <c r="AM444"/>
      <c r="AN444" s="241">
        <v>65</v>
      </c>
      <c r="AO444" s="242">
        <v>42069</v>
      </c>
      <c r="AP444" s="255">
        <v>104</v>
      </c>
      <c r="AQ444" s="242">
        <v>42108</v>
      </c>
      <c r="AR444" s="223">
        <v>130</v>
      </c>
      <c r="AS444" s="297">
        <f>IF(AR444=0,,AR444)</f>
        <v>130</v>
      </c>
      <c r="AT444" s="290">
        <v>42134</v>
      </c>
      <c r="AU444" s="298"/>
      <c r="AV444"/>
      <c r="AW444"/>
      <c r="AX444"/>
      <c r="AY444"/>
      <c r="AZ444"/>
      <c r="BA444"/>
      <c r="BB444"/>
      <c r="BC444"/>
      <c r="BD444"/>
      <c r="BE444"/>
      <c r="BF444" s="277">
        <v>25.660625457763672</v>
      </c>
      <c r="BG444" s="283">
        <v>42230</v>
      </c>
      <c r="BH444"/>
      <c r="BI444"/>
      <c r="BJ444"/>
      <c r="BK444"/>
      <c r="BL444" s="277">
        <v>60.305423736572266</v>
      </c>
      <c r="BM444" s="283">
        <v>42230</v>
      </c>
      <c r="BN444"/>
      <c r="BO444"/>
      <c r="BP444" s="277">
        <v>4.179718017578125</v>
      </c>
      <c r="BQ444" s="283">
        <v>42230</v>
      </c>
      <c r="BR444" s="277">
        <v>48.488265991210938</v>
      </c>
      <c r="BS444" s="283">
        <v>42230</v>
      </c>
      <c r="BT444" s="277">
        <v>20.043277740478516</v>
      </c>
      <c r="BU444" s="283">
        <v>42230</v>
      </c>
      <c r="BV444" s="277">
        <v>69.44366455078125</v>
      </c>
      <c r="BW444" s="283">
        <v>42230</v>
      </c>
      <c r="BX444" s="277">
        <v>5.4439544677734375</v>
      </c>
      <c r="BY444" s="283">
        <v>42230</v>
      </c>
      <c r="BZ444"/>
      <c r="CB444" s="266">
        <v>1.52</v>
      </c>
      <c r="CC444"/>
      <c r="CD444" s="277">
        <v>1.8518518518518614</v>
      </c>
      <c r="CE444" s="291" t="s">
        <v>8398</v>
      </c>
      <c r="CF444"/>
      <c r="CG444"/>
      <c r="CH444">
        <v>3</v>
      </c>
      <c r="CI444">
        <v>6</v>
      </c>
      <c r="CK444"/>
      <c r="CL444">
        <v>7</v>
      </c>
      <c r="CM444" s="259">
        <v>42161</v>
      </c>
      <c r="CN444" s="137" t="s">
        <v>8406</v>
      </c>
    </row>
    <row r="445" spans="1:93">
      <c r="A445" s="258">
        <v>733</v>
      </c>
      <c r="B445" s="235">
        <v>733</v>
      </c>
      <c r="C445" s="235" t="s">
        <v>7646</v>
      </c>
      <c r="D445" s="235" t="s">
        <v>7478</v>
      </c>
      <c r="E445" s="235" t="s">
        <v>7646</v>
      </c>
      <c r="F445" s="235" t="s">
        <v>8630</v>
      </c>
      <c r="G445" s="235" t="str">
        <f>IF(MID(C445,1,3)="BGA","Complement","Rapsodyn")</f>
        <v>Rapsodyn</v>
      </c>
      <c r="H445" s="235" t="s">
        <v>265</v>
      </c>
      <c r="I445" s="235">
        <v>2</v>
      </c>
      <c r="J445" s="235">
        <v>9369</v>
      </c>
      <c r="K445" s="235">
        <v>3</v>
      </c>
      <c r="L445" s="235">
        <f t="shared" si="230"/>
        <v>3</v>
      </c>
      <c r="M445" s="235">
        <v>11</v>
      </c>
      <c r="N445" s="236">
        <v>5</v>
      </c>
      <c r="O445" s="248">
        <v>42048</v>
      </c>
      <c r="P445">
        <v>2.5499999999999998</v>
      </c>
      <c r="Q445" s="264">
        <v>42204</v>
      </c>
      <c r="R445"/>
      <c r="S445"/>
      <c r="T445"/>
      <c r="V445" s="219">
        <f>+BR445*AF445/100</f>
        <v>8.1245502789276305</v>
      </c>
      <c r="W445" s="219"/>
      <c r="X445">
        <v>15.55</v>
      </c>
      <c r="Y445"/>
      <c r="Z445"/>
      <c r="AA445"/>
      <c r="AB445" s="220">
        <f>+AF445*BT445/100</f>
        <v>2.6816681639964872</v>
      </c>
      <c r="AC445" s="219"/>
      <c r="AD445" s="221">
        <f>+(AF445/AJ445)*10000</f>
        <v>31306.635486699794</v>
      </c>
      <c r="AE445" s="219"/>
      <c r="AF445" s="220">
        <f>($P445/$X445)*(((100-$CD445)/100*(100-2)/100))*100</f>
        <v>15.778544285296697</v>
      </c>
      <c r="AG445" s="219"/>
      <c r="AH445" s="220">
        <f>($P445/$X445)*(((100-$CD445)/(100-9)*(100-2)/(100-2))*100)</f>
        <v>17.692918014461423</v>
      </c>
      <c r="AI445" s="219"/>
      <c r="AJ445">
        <v>5.04</v>
      </c>
      <c r="AK445" s="284" t="s">
        <v>8398</v>
      </c>
      <c r="AL445">
        <v>180</v>
      </c>
      <c r="AM445"/>
      <c r="AN445" s="241">
        <v>70</v>
      </c>
      <c r="AO445" s="242">
        <v>42074</v>
      </c>
      <c r="AP445" s="255">
        <v>106</v>
      </c>
      <c r="AQ445" s="242">
        <v>42110</v>
      </c>
      <c r="AR445" s="223">
        <v>131</v>
      </c>
      <c r="AS445" s="297">
        <f>IF(AR445=0,,AR445)</f>
        <v>131</v>
      </c>
      <c r="AT445" s="290">
        <v>42135</v>
      </c>
      <c r="AU445" s="298"/>
      <c r="AV445"/>
      <c r="AW445"/>
      <c r="AX445"/>
      <c r="AY445"/>
      <c r="AZ445"/>
      <c r="BA445"/>
      <c r="BB445"/>
      <c r="BC445"/>
      <c r="BD445"/>
      <c r="BE445"/>
      <c r="BF445" s="277">
        <v>-10.961265563964844</v>
      </c>
      <c r="BG445" s="283">
        <v>42230</v>
      </c>
      <c r="BH445"/>
      <c r="BI445"/>
      <c r="BJ445"/>
      <c r="BK445"/>
      <c r="BL445" s="277">
        <v>58.637500762939453</v>
      </c>
      <c r="BM445" s="283">
        <v>42230</v>
      </c>
      <c r="BN445"/>
      <c r="BO445"/>
      <c r="BP445" s="277">
        <v>3.6884200572967529</v>
      </c>
      <c r="BQ445" s="283">
        <v>42230</v>
      </c>
      <c r="BR445" s="277">
        <v>51.491127014160156</v>
      </c>
      <c r="BS445" s="283">
        <v>42230</v>
      </c>
      <c r="BT445" s="277">
        <v>16.995662689208984</v>
      </c>
      <c r="BU445" s="283">
        <v>42230</v>
      </c>
      <c r="BV445" s="277">
        <v>62.063316345214844</v>
      </c>
      <c r="BW445" s="283">
        <v>42230</v>
      </c>
      <c r="BX445" s="277">
        <v>5.5942611694335938</v>
      </c>
      <c r="BY445" s="283">
        <v>42230</v>
      </c>
      <c r="BZ445"/>
      <c r="CB445" s="266">
        <v>1.72</v>
      </c>
      <c r="CC445"/>
      <c r="CD445" s="277">
        <v>1.8181818181818119</v>
      </c>
      <c r="CE445" s="291" t="s">
        <v>8398</v>
      </c>
      <c r="CF445"/>
      <c r="CG445"/>
      <c r="CH445">
        <v>1</v>
      </c>
      <c r="CI445">
        <v>7</v>
      </c>
      <c r="CK445"/>
      <c r="CL445">
        <v>3</v>
      </c>
      <c r="CM445" s="259">
        <v>42161</v>
      </c>
      <c r="CO445" s="137" t="s">
        <v>8405</v>
      </c>
    </row>
    <row r="446" spans="1:93">
      <c r="A446" s="258">
        <v>734</v>
      </c>
      <c r="B446" s="235">
        <v>734</v>
      </c>
      <c r="C446" s="235" t="s">
        <v>7750</v>
      </c>
      <c r="D446" s="235" t="s">
        <v>7872</v>
      </c>
      <c r="E446" s="235" t="s">
        <v>7750</v>
      </c>
      <c r="F446" s="235" t="s">
        <v>8559</v>
      </c>
      <c r="G446" s="235" t="str">
        <f>IF(MID(C446,1,3)="BGA","Complement","Rapsodyn")</f>
        <v>Rapsodyn</v>
      </c>
      <c r="H446" s="235" t="s">
        <v>265</v>
      </c>
      <c r="I446" s="235">
        <v>2</v>
      </c>
      <c r="J446" s="235">
        <v>9382</v>
      </c>
      <c r="K446" s="235">
        <v>4</v>
      </c>
      <c r="L446" s="235">
        <f t="shared" si="230"/>
        <v>4</v>
      </c>
      <c r="M446" s="235">
        <v>11</v>
      </c>
      <c r="N446" s="235">
        <v>5</v>
      </c>
      <c r="O446" s="248">
        <v>42048</v>
      </c>
      <c r="P446">
        <v>2.8</v>
      </c>
      <c r="Q446" s="264">
        <v>42204</v>
      </c>
      <c r="R446"/>
      <c r="S446"/>
      <c r="T446"/>
      <c r="V446" s="219">
        <f>+BR446*AF446/100</f>
        <v>8.0894319994967567</v>
      </c>
      <c r="W446" s="219"/>
      <c r="X446">
        <v>15.55</v>
      </c>
      <c r="Y446"/>
      <c r="Z446"/>
      <c r="AA446"/>
      <c r="AB446" s="220">
        <f>+AF446*BT446/100</f>
        <v>3.3874265331751299</v>
      </c>
      <c r="AC446" s="219"/>
      <c r="AD446" s="221">
        <f>+(AF446/AJ446)*10000</f>
        <v>35375.841776375652</v>
      </c>
      <c r="AE446" s="219"/>
      <c r="AF446" s="220">
        <f>($P446/$X446)*(((100-$CD446)/100*(100-2)/100))*100</f>
        <v>16.980404052660312</v>
      </c>
      <c r="AG446" s="219"/>
      <c r="AH446" s="220">
        <f>($P446/$X446)*(((100-$CD446)/(100-9)*(100-2)/(100-2))*100)</f>
        <v>19.0405966053603</v>
      </c>
      <c r="AI446" s="219"/>
      <c r="AJ446">
        <v>4.8</v>
      </c>
      <c r="AK446" s="284" t="s">
        <v>8398</v>
      </c>
      <c r="AL446">
        <v>145</v>
      </c>
      <c r="AM446"/>
      <c r="AN446" s="241">
        <v>79</v>
      </c>
      <c r="AO446" s="242">
        <v>42083</v>
      </c>
      <c r="AP446" s="255">
        <v>104</v>
      </c>
      <c r="AQ446" s="242">
        <v>42108</v>
      </c>
      <c r="AR446" s="223">
        <v>131</v>
      </c>
      <c r="AS446" s="297">
        <f>IF(AR446=0,,AR446)</f>
        <v>131</v>
      </c>
      <c r="AT446" s="290">
        <v>42135</v>
      </c>
      <c r="AU446" s="298"/>
      <c r="AV446"/>
      <c r="AW446"/>
      <c r="AX446"/>
      <c r="AY446"/>
      <c r="AZ446"/>
      <c r="BA446"/>
      <c r="BB446"/>
      <c r="BC446"/>
      <c r="BD446"/>
      <c r="BE446"/>
      <c r="BF446" s="277">
        <v>-0.73102599382400513</v>
      </c>
      <c r="BG446" s="283">
        <v>42230</v>
      </c>
      <c r="BH446"/>
      <c r="BI446"/>
      <c r="BJ446"/>
      <c r="BK446"/>
      <c r="BL446" s="277">
        <v>63.155296325683594</v>
      </c>
      <c r="BM446" s="283">
        <v>42230</v>
      </c>
      <c r="BN446"/>
      <c r="BO446"/>
      <c r="BP446" s="277">
        <v>2.7803449630737305</v>
      </c>
      <c r="BQ446" s="283">
        <v>42230</v>
      </c>
      <c r="BR446" s="277">
        <v>47.639808654785156</v>
      </c>
      <c r="BS446" s="283">
        <v>42230</v>
      </c>
      <c r="BT446" s="277">
        <v>19.949033737182617</v>
      </c>
      <c r="BU446" s="283">
        <v>42230</v>
      </c>
      <c r="BV446" s="277">
        <v>70.164871215820313</v>
      </c>
      <c r="BW446" s="283">
        <v>42230</v>
      </c>
      <c r="BX446" s="277">
        <v>5.5458450317382813</v>
      </c>
      <c r="BY446" s="283">
        <v>42230</v>
      </c>
      <c r="BZ446"/>
      <c r="CB446" s="266">
        <v>1.48</v>
      </c>
      <c r="CC446"/>
      <c r="CD446" s="277">
        <v>3.7735849056603805</v>
      </c>
      <c r="CE446" s="291" t="s">
        <v>8398</v>
      </c>
      <c r="CF446"/>
      <c r="CG446"/>
      <c r="CH446">
        <v>2</v>
      </c>
      <c r="CI446">
        <v>4</v>
      </c>
      <c r="CK446"/>
      <c r="CL446">
        <v>5</v>
      </c>
      <c r="CM446" s="259">
        <v>42161</v>
      </c>
      <c r="CN446" s="137" t="s">
        <v>8406</v>
      </c>
    </row>
    <row r="447" spans="1:93">
      <c r="A447" s="258">
        <v>735</v>
      </c>
      <c r="B447" s="235">
        <v>735</v>
      </c>
      <c r="C447" s="235" t="s">
        <v>7645</v>
      </c>
      <c r="D447" s="235" t="s">
        <v>7477</v>
      </c>
      <c r="E447" s="235" t="s">
        <v>7645</v>
      </c>
      <c r="F447" s="235" t="s">
        <v>8500</v>
      </c>
      <c r="G447" s="235" t="str">
        <f>IF(MID(C447,1,3)="BGA","Complement","Rapsodyn")</f>
        <v>Rapsodyn</v>
      </c>
      <c r="H447" s="235" t="s">
        <v>265</v>
      </c>
      <c r="I447" s="235">
        <v>2</v>
      </c>
      <c r="J447" s="235">
        <v>9368</v>
      </c>
      <c r="K447" s="235">
        <v>5</v>
      </c>
      <c r="L447" s="235">
        <f t="shared" si="230"/>
        <v>5</v>
      </c>
      <c r="M447" s="235">
        <v>11</v>
      </c>
      <c r="N447" s="235">
        <v>7</v>
      </c>
      <c r="O447" s="248">
        <v>42048</v>
      </c>
      <c r="P447">
        <v>2.0499999999999998</v>
      </c>
      <c r="Q447" s="264">
        <v>42204</v>
      </c>
      <c r="R447"/>
      <c r="S447"/>
      <c r="T447"/>
      <c r="V447" s="219">
        <f>+BR447*AF447/100</f>
        <v>5.9164174287971347</v>
      </c>
      <c r="W447" s="219"/>
      <c r="X447">
        <v>15.55</v>
      </c>
      <c r="Y447"/>
      <c r="Z447"/>
      <c r="AA447"/>
      <c r="AB447" s="220">
        <f>+AF447*BT447/100</f>
        <v>2.6784991325059502</v>
      </c>
      <c r="AC447" s="219"/>
      <c r="AD447" s="221">
        <f>+(AF447/AJ447)*10000</f>
        <v>24323.490765981907</v>
      </c>
      <c r="AE447" s="219"/>
      <c r="AF447" s="220">
        <f>($P447/$X447)*(((100-$CD447)/100*(100-2)/100))*100</f>
        <v>12.696862179842554</v>
      </c>
      <c r="AG447" s="219"/>
      <c r="AH447" s="220">
        <f>($P447/$X447)*(((100-$CD447)/(100-9)*(100-2)/(100-2))*100)</f>
        <v>14.237342655127332</v>
      </c>
      <c r="AI447" s="219"/>
      <c r="AJ447">
        <v>5.22</v>
      </c>
      <c r="AK447" s="284" t="s">
        <v>8398</v>
      </c>
      <c r="AL447">
        <v>165</v>
      </c>
      <c r="AM447"/>
      <c r="AN447" s="241">
        <v>75</v>
      </c>
      <c r="AO447" s="242">
        <v>42079</v>
      </c>
      <c r="AP447" s="255">
        <v>106</v>
      </c>
      <c r="AQ447" s="242">
        <v>42110</v>
      </c>
      <c r="AR447" s="223">
        <v>131</v>
      </c>
      <c r="AS447" s="297">
        <f>IF(AR447=0,,AR447)</f>
        <v>131</v>
      </c>
      <c r="AT447" s="290">
        <v>42135</v>
      </c>
      <c r="AU447" s="298"/>
      <c r="AV447"/>
      <c r="AW447"/>
      <c r="AX447"/>
      <c r="AY447"/>
      <c r="AZ447"/>
      <c r="BA447"/>
      <c r="BB447"/>
      <c r="BC447"/>
      <c r="BD447"/>
      <c r="BE447"/>
      <c r="BF447" s="277">
        <v>-2.5699200630187988</v>
      </c>
      <c r="BG447" s="283">
        <v>42230</v>
      </c>
      <c r="BH447"/>
      <c r="BI447"/>
      <c r="BJ447"/>
      <c r="BK447"/>
      <c r="BL447" s="277">
        <v>59.795101165771484</v>
      </c>
      <c r="BM447" s="283">
        <v>42230</v>
      </c>
      <c r="BN447"/>
      <c r="BO447"/>
      <c r="BP447" s="277">
        <v>3.2111949920654297</v>
      </c>
      <c r="BQ447" s="283">
        <v>42230</v>
      </c>
      <c r="BR447" s="277">
        <v>46.597476959228516</v>
      </c>
      <c r="BS447" s="283">
        <v>42230</v>
      </c>
      <c r="BT447" s="277">
        <v>21.095756530761719</v>
      </c>
      <c r="BU447" s="283">
        <v>42230</v>
      </c>
      <c r="BV447" s="277">
        <v>68.438224792480469</v>
      </c>
      <c r="BW447" s="283">
        <v>42230</v>
      </c>
      <c r="BX447" s="277">
        <v>5.5633544921875</v>
      </c>
      <c r="BY447" s="283">
        <v>42230</v>
      </c>
      <c r="BZ447"/>
      <c r="CB447" s="266">
        <v>2.4</v>
      </c>
      <c r="CC447"/>
      <c r="CD447" s="277">
        <v>1.7241379310344769</v>
      </c>
      <c r="CE447" s="291" t="s">
        <v>8398</v>
      </c>
      <c r="CF447"/>
      <c r="CG447"/>
      <c r="CH447">
        <v>1</v>
      </c>
      <c r="CI447">
        <v>6</v>
      </c>
      <c r="CK447"/>
      <c r="CL447">
        <v>3</v>
      </c>
      <c r="CM447" s="259">
        <v>42161</v>
      </c>
      <c r="CN447" s="137" t="s">
        <v>8406</v>
      </c>
    </row>
    <row r="448" spans="1:93">
      <c r="A448" s="258">
        <v>736</v>
      </c>
      <c r="B448" s="235">
        <v>736</v>
      </c>
      <c r="C448" s="235" t="s">
        <v>7576</v>
      </c>
      <c r="D448" s="235"/>
      <c r="E448" s="235"/>
      <c r="F448" s="235"/>
      <c r="G448" s="235"/>
      <c r="H448" s="235" t="s">
        <v>265</v>
      </c>
      <c r="I448" s="235">
        <v>2</v>
      </c>
      <c r="K448" s="235">
        <v>6</v>
      </c>
      <c r="L448" s="235">
        <f t="shared" si="230"/>
        <v>6</v>
      </c>
      <c r="M448" s="235">
        <v>11</v>
      </c>
      <c r="O448" s="248">
        <v>42048</v>
      </c>
      <c r="P448"/>
      <c r="Q448" s="219"/>
      <c r="R448"/>
      <c r="S448"/>
      <c r="T448"/>
      <c r="V448" s="219"/>
      <c r="W448" s="219"/>
      <c r="X448">
        <v>15.55</v>
      </c>
      <c r="Y448"/>
      <c r="Z448"/>
      <c r="AA448"/>
      <c r="AB448" s="220"/>
      <c r="AC448" s="219"/>
      <c r="AD448" s="221"/>
      <c r="AE448" s="219"/>
      <c r="AF448" s="220"/>
      <c r="AG448" s="219"/>
      <c r="AH448" s="220"/>
      <c r="AI448" s="219"/>
      <c r="AJ448" s="286"/>
      <c r="AK448" s="284"/>
      <c r="AL448"/>
      <c r="AM448"/>
      <c r="AN448" s="241">
        <v>70</v>
      </c>
      <c r="AO448" s="242">
        <v>42074</v>
      </c>
      <c r="AP448" s="255">
        <v>104</v>
      </c>
      <c r="AQ448" s="242">
        <v>42108</v>
      </c>
      <c r="AR448"/>
      <c r="AS448" s="297"/>
      <c r="AT448" s="290"/>
      <c r="AU448" s="298"/>
      <c r="AV448"/>
      <c r="AW448"/>
      <c r="AX448"/>
      <c r="AY448"/>
      <c r="AZ448"/>
      <c r="BA448"/>
      <c r="BB448"/>
      <c r="BC448"/>
      <c r="BD448"/>
      <c r="BE448"/>
      <c r="BF448" s="277"/>
      <c r="BG448" s="235"/>
      <c r="BH448"/>
      <c r="BI448"/>
      <c r="BJ448"/>
      <c r="BK448"/>
      <c r="BL448" s="277"/>
      <c r="BM448" s="235"/>
      <c r="BN448"/>
      <c r="BO448"/>
      <c r="BP448" s="277"/>
      <c r="BQ448" s="235"/>
      <c r="BR448" s="277"/>
      <c r="BS448" s="235"/>
      <c r="BT448" s="277"/>
      <c r="BU448" s="235"/>
      <c r="BV448" s="277"/>
      <c r="BW448" s="235"/>
      <c r="BX448" s="277"/>
      <c r="BY448" s="235"/>
      <c r="BZ448"/>
      <c r="CB448" s="266"/>
      <c r="CC448"/>
      <c r="CD448" s="277"/>
      <c r="CE448" s="291"/>
      <c r="CF448"/>
      <c r="CG448"/>
      <c r="CH448"/>
      <c r="CI448"/>
      <c r="CK448"/>
      <c r="CL448"/>
      <c r="CM448" s="259">
        <v>42161</v>
      </c>
    </row>
    <row r="449" spans="1:93">
      <c r="A449" s="258">
        <v>739</v>
      </c>
      <c r="B449" s="235">
        <v>739</v>
      </c>
      <c r="C449" s="235" t="s">
        <v>7765</v>
      </c>
      <c r="D449" s="235" t="s">
        <v>7567</v>
      </c>
      <c r="E449" s="235" t="s">
        <v>7765</v>
      </c>
      <c r="F449" s="235" t="s">
        <v>8607</v>
      </c>
      <c r="G449" s="235" t="str">
        <f t="shared" ref="G449:G459" si="231">IF(MID(C449,1,3)="BGA","Complement","Rapsodyn")</f>
        <v>Rapsodyn</v>
      </c>
      <c r="H449" s="235" t="s">
        <v>265</v>
      </c>
      <c r="I449" s="235">
        <v>2</v>
      </c>
      <c r="J449" s="235">
        <v>9136</v>
      </c>
      <c r="K449" s="235">
        <v>9</v>
      </c>
      <c r="L449" s="235">
        <f t="shared" si="230"/>
        <v>9</v>
      </c>
      <c r="M449" s="235">
        <v>11</v>
      </c>
      <c r="N449" s="235">
        <v>7</v>
      </c>
      <c r="O449" s="248">
        <v>42048</v>
      </c>
      <c r="P449">
        <v>6.15</v>
      </c>
      <c r="Q449" s="264">
        <v>42204</v>
      </c>
      <c r="R449"/>
      <c r="S449"/>
      <c r="T449"/>
      <c r="V449" s="219">
        <f t="shared" ref="V449:V459" si="232">+BR449*AF449/100</f>
        <v>18.683018016766766</v>
      </c>
      <c r="W449" s="219"/>
      <c r="X449">
        <v>15.55</v>
      </c>
      <c r="Y449"/>
      <c r="Z449"/>
      <c r="AA449"/>
      <c r="AB449" s="220">
        <f t="shared" ref="AB449:AB459" si="233">+AF449*BT449/100</f>
        <v>5.0898951299954316</v>
      </c>
      <c r="AC449" s="219"/>
      <c r="AD449" s="221">
        <f t="shared" ref="AD449:AD459" si="234">+(AF449/AJ449)*10000</f>
        <v>78859.789224833381</v>
      </c>
      <c r="AE449" s="219"/>
      <c r="AF449" s="220">
        <f t="shared" ref="AF449:AF459" si="235">($P449/$X449)*(((100-$CD449)/100*(100-2)/100))*100</f>
        <v>36.038923675748855</v>
      </c>
      <c r="AG449" s="219"/>
      <c r="AH449" s="220">
        <f t="shared" ref="AH449:AH459" si="236">($P449/$X449)*(((100-$CD449)/(100-9)*(100-2)/(100-2))*100)</f>
        <v>40.41144166376862</v>
      </c>
      <c r="AI449" s="219"/>
      <c r="AJ449">
        <v>4.57</v>
      </c>
      <c r="AK449" s="284" t="s">
        <v>8400</v>
      </c>
      <c r="AL449">
        <v>160</v>
      </c>
      <c r="AM449"/>
      <c r="AN449" s="241">
        <v>65</v>
      </c>
      <c r="AO449" s="242">
        <v>42069</v>
      </c>
      <c r="AP449" s="255">
        <v>106</v>
      </c>
      <c r="AQ449" s="242">
        <v>42110</v>
      </c>
      <c r="AR449" s="223">
        <v>128</v>
      </c>
      <c r="AS449" s="297">
        <f t="shared" ref="AS449:AS459" si="237">IF(AR449=0,,AR449)</f>
        <v>128</v>
      </c>
      <c r="AT449" s="290">
        <v>42132</v>
      </c>
      <c r="AU449" s="298"/>
      <c r="AV449"/>
      <c r="AW449"/>
      <c r="AX449"/>
      <c r="AY449"/>
      <c r="AZ449"/>
      <c r="BA449"/>
      <c r="BB449"/>
      <c r="BC449"/>
      <c r="BD449"/>
      <c r="BE449"/>
      <c r="BF449" s="277">
        <v>-5.3335227966308594</v>
      </c>
      <c r="BG449" s="283">
        <v>42230</v>
      </c>
      <c r="BH449"/>
      <c r="BI449"/>
      <c r="BJ449"/>
      <c r="BK449"/>
      <c r="BL449" s="277">
        <v>68.556098937988281</v>
      </c>
      <c r="BM449" s="283">
        <v>42230</v>
      </c>
      <c r="BN449"/>
      <c r="BO449"/>
      <c r="BP449" s="277">
        <v>3.8969509601593018</v>
      </c>
      <c r="BQ449" s="283">
        <v>42230</v>
      </c>
      <c r="BR449" s="277">
        <v>51.841220855712891</v>
      </c>
      <c r="BS449" s="283">
        <v>42230</v>
      </c>
      <c r="BT449" s="277">
        <v>14.123327255249023</v>
      </c>
      <c r="BU449" s="283">
        <v>42230</v>
      </c>
      <c r="BV449" s="277">
        <v>13.732723236083984</v>
      </c>
      <c r="BW449" s="283">
        <v>42230</v>
      </c>
      <c r="BX449" s="277">
        <v>5.5793609619140625</v>
      </c>
      <c r="BY449" s="283">
        <v>42230</v>
      </c>
      <c r="BZ449"/>
      <c r="CB449" s="266">
        <v>1.54</v>
      </c>
      <c r="CC449"/>
      <c r="CD449" s="277">
        <v>7.0175438596491295</v>
      </c>
      <c r="CE449" s="291" t="s">
        <v>8400</v>
      </c>
      <c r="CF449"/>
      <c r="CG449"/>
      <c r="CH449">
        <v>2</v>
      </c>
      <c r="CI449">
        <v>2</v>
      </c>
      <c r="CK449"/>
      <c r="CL449">
        <v>2</v>
      </c>
      <c r="CM449" s="259">
        <v>42161</v>
      </c>
      <c r="CN449" s="137" t="s">
        <v>8406</v>
      </c>
    </row>
    <row r="450" spans="1:93">
      <c r="A450" s="258">
        <v>740</v>
      </c>
      <c r="B450" s="235">
        <v>740</v>
      </c>
      <c r="C450" s="235" t="s">
        <v>7786</v>
      </c>
      <c r="D450" s="235" t="s">
        <v>7584</v>
      </c>
      <c r="E450" s="235" t="s">
        <v>7786</v>
      </c>
      <c r="F450" s="235" t="s">
        <v>8438</v>
      </c>
      <c r="G450" s="235" t="str">
        <f t="shared" si="231"/>
        <v>Rapsodyn</v>
      </c>
      <c r="H450" s="235" t="s">
        <v>265</v>
      </c>
      <c r="I450" s="235">
        <v>2</v>
      </c>
      <c r="J450" s="235">
        <v>9157</v>
      </c>
      <c r="K450" s="235">
        <v>10</v>
      </c>
      <c r="L450" s="235">
        <f t="shared" si="230"/>
        <v>10</v>
      </c>
      <c r="M450" s="235">
        <v>11</v>
      </c>
      <c r="N450" s="235">
        <v>7</v>
      </c>
      <c r="O450" s="248">
        <v>42048</v>
      </c>
      <c r="P450">
        <v>5.3</v>
      </c>
      <c r="Q450" s="264">
        <v>42204</v>
      </c>
      <c r="R450"/>
      <c r="S450"/>
      <c r="T450"/>
      <c r="V450" s="219">
        <f t="shared" si="232"/>
        <v>16.675628491707613</v>
      </c>
      <c r="W450" s="219"/>
      <c r="X450">
        <v>15.55</v>
      </c>
      <c r="Y450"/>
      <c r="Z450"/>
      <c r="AA450"/>
      <c r="AB450" s="220">
        <f t="shared" si="233"/>
        <v>4.8069589076984531</v>
      </c>
      <c r="AC450" s="219"/>
      <c r="AD450" s="221">
        <f t="shared" si="234"/>
        <v>69944.210844532397</v>
      </c>
      <c r="AE450" s="219"/>
      <c r="AF450" s="220">
        <f t="shared" si="235"/>
        <v>31.474894880039578</v>
      </c>
      <c r="AG450" s="219"/>
      <c r="AH450" s="220">
        <f t="shared" si="236"/>
        <v>35.293669970889866</v>
      </c>
      <c r="AI450" s="219"/>
      <c r="AJ450">
        <v>4.5</v>
      </c>
      <c r="AK450" s="284" t="s">
        <v>8400</v>
      </c>
      <c r="AL450">
        <v>165</v>
      </c>
      <c r="AM450"/>
      <c r="AN450" s="241">
        <v>65</v>
      </c>
      <c r="AO450" s="242">
        <v>42069</v>
      </c>
      <c r="AP450" s="255">
        <v>106</v>
      </c>
      <c r="AQ450" s="242">
        <v>42110</v>
      </c>
      <c r="AR450" s="223">
        <v>131</v>
      </c>
      <c r="AS450" s="297">
        <f t="shared" si="237"/>
        <v>131</v>
      </c>
      <c r="AT450" s="290">
        <v>42135</v>
      </c>
      <c r="AU450" s="298"/>
      <c r="AV450"/>
      <c r="AW450"/>
      <c r="AX450"/>
      <c r="AY450"/>
      <c r="AZ450"/>
      <c r="BA450"/>
      <c r="BB450"/>
      <c r="BC450"/>
      <c r="BD450"/>
      <c r="BE450"/>
      <c r="BF450" s="277">
        <v>-5.1494579315185547</v>
      </c>
      <c r="BG450" s="283">
        <v>42230</v>
      </c>
      <c r="BH450"/>
      <c r="BI450"/>
      <c r="BJ450"/>
      <c r="BK450"/>
      <c r="BL450" s="277">
        <v>61.856937408447266</v>
      </c>
      <c r="BM450" s="283">
        <v>42230</v>
      </c>
      <c r="BN450"/>
      <c r="BO450"/>
      <c r="BP450" s="277">
        <v>4.101107120513916</v>
      </c>
      <c r="BQ450" s="283">
        <v>42230</v>
      </c>
      <c r="BR450" s="277">
        <v>52.980728149414062</v>
      </c>
      <c r="BS450" s="283">
        <v>42230</v>
      </c>
      <c r="BT450" s="277">
        <v>15.272358894348145</v>
      </c>
      <c r="BU450" s="283">
        <v>42230</v>
      </c>
      <c r="BV450" s="277">
        <v>10.799084663391113</v>
      </c>
      <c r="BW450" s="283">
        <v>42230</v>
      </c>
      <c r="BX450" s="277">
        <v>5.698760986328125</v>
      </c>
      <c r="BY450" s="283">
        <v>42230</v>
      </c>
      <c r="BZ450"/>
      <c r="CB450" s="266">
        <v>1.27</v>
      </c>
      <c r="CC450"/>
      <c r="CD450" s="277">
        <v>5.7692307692307656</v>
      </c>
      <c r="CE450" s="291" t="s">
        <v>8400</v>
      </c>
      <c r="CF450"/>
      <c r="CG450"/>
      <c r="CH450">
        <v>2</v>
      </c>
      <c r="CI450">
        <v>2</v>
      </c>
      <c r="CK450"/>
      <c r="CL450"/>
      <c r="CM450" s="259">
        <v>42161</v>
      </c>
      <c r="CN450" s="137" t="s">
        <v>8406</v>
      </c>
    </row>
    <row r="451" spans="1:93">
      <c r="A451" s="258">
        <v>742</v>
      </c>
      <c r="B451" s="235">
        <v>742</v>
      </c>
      <c r="C451" s="235" t="s">
        <v>7762</v>
      </c>
      <c r="D451" s="235" t="s">
        <v>7839</v>
      </c>
      <c r="E451" s="235" t="s">
        <v>7762</v>
      </c>
      <c r="F451" s="235" t="s">
        <v>8627</v>
      </c>
      <c r="G451" s="235" t="str">
        <f t="shared" si="231"/>
        <v>Rapsodyn</v>
      </c>
      <c r="H451" s="235" t="s">
        <v>265</v>
      </c>
      <c r="I451" s="235">
        <v>2</v>
      </c>
      <c r="J451" s="235">
        <v>9133</v>
      </c>
      <c r="K451" s="235">
        <v>12</v>
      </c>
      <c r="L451" s="235">
        <f t="shared" si="230"/>
        <v>12</v>
      </c>
      <c r="M451" s="235">
        <v>11</v>
      </c>
      <c r="N451" s="235">
        <v>5</v>
      </c>
      <c r="O451" s="248">
        <v>42048</v>
      </c>
      <c r="P451">
        <v>4.8499999999999996</v>
      </c>
      <c r="Q451" s="264">
        <v>42204</v>
      </c>
      <c r="R451"/>
      <c r="S451"/>
      <c r="T451"/>
      <c r="V451" s="219">
        <f t="shared" si="232"/>
        <v>14.136441462047612</v>
      </c>
      <c r="W451" s="219"/>
      <c r="X451">
        <v>15.55</v>
      </c>
      <c r="Y451"/>
      <c r="Z451"/>
      <c r="AA451"/>
      <c r="AB451" s="220">
        <f t="shared" si="233"/>
        <v>4.9541096481556295</v>
      </c>
      <c r="AC451" s="219"/>
      <c r="AD451" s="221">
        <f t="shared" si="234"/>
        <v>59646.302250803863</v>
      </c>
      <c r="AE451" s="219"/>
      <c r="AF451" s="220">
        <f t="shared" si="235"/>
        <v>28.928456591639868</v>
      </c>
      <c r="AG451" s="219"/>
      <c r="AH451" s="220">
        <f t="shared" si="236"/>
        <v>32.43827830414876</v>
      </c>
      <c r="AI451" s="219"/>
      <c r="AJ451">
        <v>4.8499999999999996</v>
      </c>
      <c r="AK451" s="284" t="s">
        <v>8399</v>
      </c>
      <c r="AL451">
        <v>150</v>
      </c>
      <c r="AM451"/>
      <c r="AN451" s="241">
        <v>65</v>
      </c>
      <c r="AO451" s="242">
        <v>42069</v>
      </c>
      <c r="AP451" s="255">
        <v>104</v>
      </c>
      <c r="AQ451" s="242">
        <v>42108</v>
      </c>
      <c r="AR451" s="223">
        <v>138</v>
      </c>
      <c r="AS451" s="297">
        <f t="shared" si="237"/>
        <v>138</v>
      </c>
      <c r="AT451" s="290">
        <v>42142</v>
      </c>
      <c r="AU451" s="298"/>
      <c r="AV451"/>
      <c r="AW451"/>
      <c r="AX451"/>
      <c r="AY451"/>
      <c r="AZ451"/>
      <c r="BA451"/>
      <c r="BB451"/>
      <c r="BC451"/>
      <c r="BD451"/>
      <c r="BE451"/>
      <c r="BF451" s="277">
        <v>-0.84445202350616455</v>
      </c>
      <c r="BG451" s="283">
        <v>42233</v>
      </c>
      <c r="BH451"/>
      <c r="BI451"/>
      <c r="BJ451"/>
      <c r="BK451"/>
      <c r="BL451" s="277">
        <v>64.45941162109375</v>
      </c>
      <c r="BM451" s="283">
        <v>42233</v>
      </c>
      <c r="BN451"/>
      <c r="BO451"/>
      <c r="BP451" s="277">
        <v>3.8661429882049561</v>
      </c>
      <c r="BQ451" s="283">
        <v>42233</v>
      </c>
      <c r="BR451" s="277">
        <v>48.866905212402344</v>
      </c>
      <c r="BS451" s="283">
        <v>42233</v>
      </c>
      <c r="BT451" s="277">
        <v>17.125385284423828</v>
      </c>
      <c r="BU451" s="283">
        <v>42233</v>
      </c>
      <c r="BV451" s="277">
        <v>12.211895942687988</v>
      </c>
      <c r="BW451" s="283">
        <v>42233</v>
      </c>
      <c r="BX451" s="277">
        <v>5.3925399780273437</v>
      </c>
      <c r="BY451" s="283">
        <v>42233</v>
      </c>
      <c r="BZ451"/>
      <c r="CB451" s="266">
        <v>1.06</v>
      </c>
      <c r="CC451"/>
      <c r="CD451" s="277">
        <v>5.3571428571428541</v>
      </c>
      <c r="CE451" s="291" t="s">
        <v>8399</v>
      </c>
      <c r="CF451"/>
      <c r="CG451"/>
      <c r="CH451">
        <v>1</v>
      </c>
      <c r="CI451">
        <v>2</v>
      </c>
      <c r="CK451"/>
      <c r="CL451"/>
      <c r="CM451" s="259">
        <v>42161</v>
      </c>
      <c r="CN451" s="137" t="s">
        <v>8406</v>
      </c>
    </row>
    <row r="452" spans="1:93">
      <c r="A452" s="258">
        <v>743</v>
      </c>
      <c r="B452" s="235">
        <v>743</v>
      </c>
      <c r="C452" s="236" t="s">
        <v>7663</v>
      </c>
      <c r="D452" s="236" t="s">
        <v>7493</v>
      </c>
      <c r="E452" s="236" t="s">
        <v>7663</v>
      </c>
      <c r="F452" s="236" t="s">
        <v>8600</v>
      </c>
      <c r="G452" s="235" t="str">
        <f t="shared" si="231"/>
        <v>Rapsodyn</v>
      </c>
      <c r="H452" s="235" t="s">
        <v>265</v>
      </c>
      <c r="I452" s="235">
        <v>2</v>
      </c>
      <c r="J452" s="236">
        <v>9046</v>
      </c>
      <c r="K452" s="236">
        <v>13</v>
      </c>
      <c r="L452" s="235">
        <f t="shared" si="230"/>
        <v>13</v>
      </c>
      <c r="M452" s="236">
        <v>11</v>
      </c>
      <c r="N452" s="235">
        <v>7</v>
      </c>
      <c r="O452" s="248">
        <v>42048</v>
      </c>
      <c r="P452">
        <v>3.85</v>
      </c>
      <c r="Q452" s="264">
        <v>42204</v>
      </c>
      <c r="R452"/>
      <c r="S452"/>
      <c r="T452"/>
      <c r="V452" s="219">
        <f t="shared" si="232"/>
        <v>11.327869527761575</v>
      </c>
      <c r="W452" s="219"/>
      <c r="X452">
        <v>15.55</v>
      </c>
      <c r="Y452"/>
      <c r="Z452"/>
      <c r="AA452"/>
      <c r="AB452" s="220">
        <f t="shared" si="233"/>
        <v>3.7506595223356287</v>
      </c>
      <c r="AC452" s="219"/>
      <c r="AD452" s="221">
        <f t="shared" si="234"/>
        <v>51913.70189814335</v>
      </c>
      <c r="AE452" s="219"/>
      <c r="AF452" s="220">
        <f t="shared" si="235"/>
        <v>22.530546623794212</v>
      </c>
      <c r="AG452" s="219"/>
      <c r="AH452" s="220">
        <f t="shared" si="236"/>
        <v>25.264124942581535</v>
      </c>
      <c r="AI452" s="219"/>
      <c r="AJ452">
        <v>4.34</v>
      </c>
      <c r="AK452" s="284" t="s">
        <v>8403</v>
      </c>
      <c r="AL452">
        <v>150</v>
      </c>
      <c r="AM452"/>
      <c r="AN452" s="241">
        <v>63</v>
      </c>
      <c r="AO452" s="243">
        <v>42067</v>
      </c>
      <c r="AP452" s="255">
        <v>104</v>
      </c>
      <c r="AQ452" s="242">
        <v>42108</v>
      </c>
      <c r="AR452" s="223">
        <v>131</v>
      </c>
      <c r="AS452" s="297">
        <f t="shared" si="237"/>
        <v>131</v>
      </c>
      <c r="AT452" s="290">
        <v>42135</v>
      </c>
      <c r="AU452" s="298"/>
      <c r="AV452"/>
      <c r="AW452"/>
      <c r="AX452"/>
      <c r="AY452"/>
      <c r="AZ452"/>
      <c r="BA452"/>
      <c r="BB452"/>
      <c r="BC452"/>
      <c r="BD452"/>
      <c r="BE452"/>
      <c r="BF452" s="277">
        <v>-1.035241961479187</v>
      </c>
      <c r="BG452" s="283">
        <v>42233</v>
      </c>
      <c r="BH452"/>
      <c r="BI452"/>
      <c r="BJ452"/>
      <c r="BK452"/>
      <c r="BL452" s="277">
        <v>64.618118286132812</v>
      </c>
      <c r="BM452" s="283">
        <v>42233</v>
      </c>
      <c r="BN452"/>
      <c r="BO452"/>
      <c r="BP452" s="277">
        <v>3.6332108974456787</v>
      </c>
      <c r="BQ452" s="283">
        <v>42233</v>
      </c>
      <c r="BR452" s="277">
        <v>50.277828216552734</v>
      </c>
      <c r="BS452" s="283">
        <v>42233</v>
      </c>
      <c r="BT452" s="277">
        <v>16.646997451782227</v>
      </c>
      <c r="BU452" s="283">
        <v>42233</v>
      </c>
      <c r="BV452" s="277">
        <v>16.256181716918945</v>
      </c>
      <c r="BW452" s="283">
        <v>42233</v>
      </c>
      <c r="BX452" s="277">
        <v>5.3940811157226562</v>
      </c>
      <c r="BY452" s="283">
        <v>42233</v>
      </c>
      <c r="BZ452"/>
      <c r="CB452" s="266">
        <v>1.37</v>
      </c>
      <c r="CC452"/>
      <c r="CD452" s="277">
        <v>7.1428571428571344</v>
      </c>
      <c r="CE452" s="291" t="s">
        <v>8403</v>
      </c>
      <c r="CF452"/>
      <c r="CG452"/>
      <c r="CH452">
        <v>2</v>
      </c>
      <c r="CI452">
        <v>3</v>
      </c>
      <c r="CK452"/>
      <c r="CL452"/>
      <c r="CM452" s="259">
        <v>42161</v>
      </c>
      <c r="CN452" s="137" t="s">
        <v>8406</v>
      </c>
    </row>
    <row r="453" spans="1:93">
      <c r="A453" s="258">
        <v>744</v>
      </c>
      <c r="B453" s="235">
        <v>744</v>
      </c>
      <c r="C453" s="236" t="s">
        <v>7682</v>
      </c>
      <c r="D453" s="236" t="s">
        <v>7509</v>
      </c>
      <c r="E453" s="236" t="s">
        <v>7682</v>
      </c>
      <c r="F453" s="236" t="s">
        <v>8477</v>
      </c>
      <c r="G453" s="235" t="str">
        <f t="shared" si="231"/>
        <v>Rapsodyn</v>
      </c>
      <c r="H453" s="235" t="s">
        <v>265</v>
      </c>
      <c r="I453" s="235">
        <v>2</v>
      </c>
      <c r="J453" s="236">
        <v>9064</v>
      </c>
      <c r="K453" s="236">
        <v>14</v>
      </c>
      <c r="L453" s="235">
        <f t="shared" si="230"/>
        <v>14</v>
      </c>
      <c r="M453" s="236">
        <v>11</v>
      </c>
      <c r="N453" s="235">
        <v>7</v>
      </c>
      <c r="O453" s="248">
        <v>42048</v>
      </c>
      <c r="P453">
        <v>5.35</v>
      </c>
      <c r="Q453" s="264">
        <v>42204</v>
      </c>
      <c r="R453"/>
      <c r="S453"/>
      <c r="T453"/>
      <c r="V453" s="219">
        <f t="shared" si="232"/>
        <v>16.760362939507672</v>
      </c>
      <c r="W453" s="219"/>
      <c r="X453">
        <v>15.55</v>
      </c>
      <c r="Y453"/>
      <c r="Z453"/>
      <c r="AA453"/>
      <c r="AB453" s="220">
        <f t="shared" si="233"/>
        <v>5.1464955120948392</v>
      </c>
      <c r="AC453" s="219"/>
      <c r="AD453" s="221">
        <f t="shared" si="234"/>
        <v>70181.175320993629</v>
      </c>
      <c r="AE453" s="219"/>
      <c r="AF453" s="220">
        <f t="shared" si="235"/>
        <v>32.002615946373091</v>
      </c>
      <c r="AG453" s="219"/>
      <c r="AH453" s="220">
        <f t="shared" si="236"/>
        <v>35.885418195080838</v>
      </c>
      <c r="AI453" s="219"/>
      <c r="AJ453">
        <v>4.5599999999999996</v>
      </c>
      <c r="AK453" s="284" t="s">
        <v>8403</v>
      </c>
      <c r="AL453">
        <v>160</v>
      </c>
      <c r="AM453"/>
      <c r="AN453" s="241">
        <v>61</v>
      </c>
      <c r="AO453" s="243">
        <v>42065</v>
      </c>
      <c r="AP453" s="255">
        <v>100</v>
      </c>
      <c r="AQ453" s="245">
        <v>42104</v>
      </c>
      <c r="AR453" s="223">
        <v>123</v>
      </c>
      <c r="AS453" s="297">
        <f t="shared" si="237"/>
        <v>123</v>
      </c>
      <c r="AT453" s="290">
        <v>42127</v>
      </c>
      <c r="AU453" s="298"/>
      <c r="AV453"/>
      <c r="AW453"/>
      <c r="AX453"/>
      <c r="AY453"/>
      <c r="AZ453"/>
      <c r="BA453"/>
      <c r="BB453"/>
      <c r="BC453"/>
      <c r="BD453"/>
      <c r="BE453"/>
      <c r="BF453" s="277">
        <v>-4.9878220558166504</v>
      </c>
      <c r="BG453" s="283">
        <v>42233</v>
      </c>
      <c r="BH453"/>
      <c r="BI453"/>
      <c r="BJ453"/>
      <c r="BK453"/>
      <c r="BL453" s="277">
        <v>66.101737976074219</v>
      </c>
      <c r="BM453" s="283">
        <v>42233</v>
      </c>
      <c r="BN453"/>
      <c r="BO453"/>
      <c r="BP453" s="277">
        <v>3.3181149959564209</v>
      </c>
      <c r="BQ453" s="283">
        <v>42233</v>
      </c>
      <c r="BR453" s="277">
        <v>52.371852874755859</v>
      </c>
      <c r="BS453" s="283">
        <v>42233</v>
      </c>
      <c r="BT453" s="277">
        <v>16.081483840942383</v>
      </c>
      <c r="BU453" s="283">
        <v>42233</v>
      </c>
      <c r="BV453" s="277">
        <v>14.675325393676758</v>
      </c>
      <c r="BW453" s="283">
        <v>42233</v>
      </c>
      <c r="BX453" s="277">
        <v>5.2796554565429687</v>
      </c>
      <c r="BY453" s="283">
        <v>42233</v>
      </c>
      <c r="BZ453"/>
      <c r="CB453" s="266">
        <v>1.82</v>
      </c>
      <c r="CC453"/>
      <c r="CD453" s="277">
        <v>5.0847457627118757</v>
      </c>
      <c r="CE453" s="291" t="s">
        <v>8403</v>
      </c>
      <c r="CF453"/>
      <c r="CG453"/>
      <c r="CH453">
        <v>2</v>
      </c>
      <c r="CI453">
        <v>2</v>
      </c>
      <c r="CK453"/>
      <c r="CL453"/>
      <c r="CM453" s="259">
        <v>42161</v>
      </c>
      <c r="CN453" s="137" t="s">
        <v>8406</v>
      </c>
    </row>
    <row r="454" spans="1:93">
      <c r="A454" s="258">
        <v>746</v>
      </c>
      <c r="B454" s="235">
        <v>746</v>
      </c>
      <c r="C454" s="235" t="s">
        <v>7702</v>
      </c>
      <c r="D454" s="235" t="s">
        <v>7528</v>
      </c>
      <c r="E454" s="235" t="s">
        <v>7702</v>
      </c>
      <c r="F454" s="235" t="s">
        <v>8465</v>
      </c>
      <c r="G454" s="235" t="str">
        <f t="shared" si="231"/>
        <v>Rapsodyn</v>
      </c>
      <c r="H454" s="235" t="s">
        <v>265</v>
      </c>
      <c r="I454" s="235">
        <v>2</v>
      </c>
      <c r="J454" s="235">
        <v>9084</v>
      </c>
      <c r="K454" s="235">
        <v>16</v>
      </c>
      <c r="L454" s="235">
        <f t="shared" si="230"/>
        <v>16</v>
      </c>
      <c r="M454" s="235">
        <v>11</v>
      </c>
      <c r="N454" s="235">
        <v>5</v>
      </c>
      <c r="O454" s="248">
        <v>42048</v>
      </c>
      <c r="P454" s="223">
        <v>4.55</v>
      </c>
      <c r="Q454" s="264">
        <v>42204</v>
      </c>
      <c r="R454" s="223"/>
      <c r="S454" s="223"/>
      <c r="T454" s="223"/>
      <c r="U454" s="225"/>
      <c r="V454" s="219">
        <f t="shared" si="232"/>
        <v>13.830447654643116</v>
      </c>
      <c r="W454" s="224"/>
      <c r="X454">
        <v>15.55</v>
      </c>
      <c r="Y454" s="223"/>
      <c r="Z454" s="223"/>
      <c r="AA454" s="223"/>
      <c r="AB454" s="220">
        <f t="shared" si="233"/>
        <v>4.2234668986658326</v>
      </c>
      <c r="AC454" s="224"/>
      <c r="AD454" s="221">
        <f t="shared" si="234"/>
        <v>66170.639293940068</v>
      </c>
      <c r="AE454" s="224"/>
      <c r="AF454" s="220">
        <f t="shared" si="235"/>
        <v>27.593156585573009</v>
      </c>
      <c r="AG454" s="224"/>
      <c r="AH454" s="220">
        <f t="shared" si="236"/>
        <v>30.940969483710486</v>
      </c>
      <c r="AI454" s="224"/>
      <c r="AJ454">
        <v>4.17</v>
      </c>
      <c r="AK454" s="290" t="s">
        <v>8400</v>
      </c>
      <c r="AL454" s="223">
        <v>145</v>
      </c>
      <c r="AM454" s="223"/>
      <c r="AN454" s="241">
        <v>75</v>
      </c>
      <c r="AO454" s="242">
        <v>42079</v>
      </c>
      <c r="AP454" s="255">
        <v>110</v>
      </c>
      <c r="AQ454" s="242">
        <v>42114</v>
      </c>
      <c r="AR454" s="223">
        <v>132</v>
      </c>
      <c r="AS454" s="297">
        <f t="shared" si="237"/>
        <v>132</v>
      </c>
      <c r="AT454" s="290">
        <v>42136</v>
      </c>
      <c r="AU454" s="298"/>
      <c r="AV454" s="223"/>
      <c r="AW454" s="223"/>
      <c r="AX454" s="223"/>
      <c r="AY454" s="223"/>
      <c r="AZ454" s="223"/>
      <c r="BA454" s="223"/>
      <c r="BB454" s="223"/>
      <c r="BC454" s="223"/>
      <c r="BD454" s="223"/>
      <c r="BE454" s="223"/>
      <c r="BF454" s="281">
        <v>-5.6794548034667969</v>
      </c>
      <c r="BG454" s="283">
        <v>42230</v>
      </c>
      <c r="BH454" s="223"/>
      <c r="BI454" s="223"/>
      <c r="BJ454" s="223"/>
      <c r="BK454" s="223"/>
      <c r="BL454" s="281">
        <v>65.44696044921875</v>
      </c>
      <c r="BM454" s="283">
        <v>42230</v>
      </c>
      <c r="BN454" s="223"/>
      <c r="BO454" s="223"/>
      <c r="BP454" s="281">
        <v>4.2429471015930176</v>
      </c>
      <c r="BQ454" s="283">
        <v>42230</v>
      </c>
      <c r="BR454" s="281">
        <v>50.122745513916016</v>
      </c>
      <c r="BS454" s="283">
        <v>42230</v>
      </c>
      <c r="BT454" s="281">
        <v>15.306211471557617</v>
      </c>
      <c r="BU454" s="283">
        <v>42230</v>
      </c>
      <c r="BV454" s="281">
        <v>11.771800994873047</v>
      </c>
      <c r="BW454" s="283">
        <v>42230</v>
      </c>
      <c r="BX454" s="281">
        <v>5.24688720703125</v>
      </c>
      <c r="BY454" s="283">
        <v>42230</v>
      </c>
      <c r="BZ454" s="223"/>
      <c r="CA454" s="226"/>
      <c r="CB454" s="266">
        <v>1.08</v>
      </c>
      <c r="CC454" s="223"/>
      <c r="CD454" s="281">
        <v>3.7735849056603805</v>
      </c>
      <c r="CE454" s="291" t="s">
        <v>8400</v>
      </c>
      <c r="CF454" s="223"/>
      <c r="CG454" s="223"/>
      <c r="CH454" s="223">
        <v>1</v>
      </c>
      <c r="CI454" s="223">
        <v>3</v>
      </c>
      <c r="CK454" s="223"/>
      <c r="CL454" s="223">
        <v>2</v>
      </c>
      <c r="CM454" s="259">
        <v>42161</v>
      </c>
      <c r="CN454" s="137" t="s">
        <v>8406</v>
      </c>
    </row>
    <row r="455" spans="1:93">
      <c r="A455" s="258">
        <v>748</v>
      </c>
      <c r="B455" s="235">
        <v>748</v>
      </c>
      <c r="C455" s="235" t="s">
        <v>7850</v>
      </c>
      <c r="D455" s="235" t="s">
        <v>8422</v>
      </c>
      <c r="E455" s="235" t="s">
        <v>8461</v>
      </c>
      <c r="F455" s="235" t="s">
        <v>8487</v>
      </c>
      <c r="G455" s="235" t="str">
        <f t="shared" si="231"/>
        <v>Rapsodyn</v>
      </c>
      <c r="H455" s="235" t="s">
        <v>265</v>
      </c>
      <c r="I455" s="235">
        <v>2</v>
      </c>
      <c r="J455" s="235">
        <v>9357</v>
      </c>
      <c r="K455" s="235">
        <v>18</v>
      </c>
      <c r="L455" s="235">
        <f t="shared" si="230"/>
        <v>18</v>
      </c>
      <c r="M455" s="235">
        <v>11</v>
      </c>
      <c r="N455" s="235">
        <v>7</v>
      </c>
      <c r="O455" s="248">
        <v>42048</v>
      </c>
      <c r="P455" s="223">
        <v>5.2</v>
      </c>
      <c r="Q455" s="264">
        <v>42204</v>
      </c>
      <c r="R455" s="223"/>
      <c r="S455" s="223"/>
      <c r="T455" s="223"/>
      <c r="U455" s="225"/>
      <c r="V455" s="219">
        <f t="shared" si="232"/>
        <v>15.840869945339906</v>
      </c>
      <c r="W455" s="224"/>
      <c r="X455">
        <v>15.55</v>
      </c>
      <c r="Y455" s="223"/>
      <c r="Z455" s="223"/>
      <c r="AA455" s="223"/>
      <c r="AB455" s="220">
        <f t="shared" si="233"/>
        <v>4.9108157959341208</v>
      </c>
      <c r="AC455" s="224"/>
      <c r="AD455" s="221">
        <f t="shared" si="234"/>
        <v>69941.6629330328</v>
      </c>
      <c r="AE455" s="224"/>
      <c r="AF455" s="220">
        <f t="shared" si="235"/>
        <v>30.98415667933353</v>
      </c>
      <c r="AG455" s="224"/>
      <c r="AH455" s="220">
        <f t="shared" si="236"/>
        <v>34.743391656574943</v>
      </c>
      <c r="AI455" s="224"/>
      <c r="AJ455">
        <v>4.43</v>
      </c>
      <c r="AK455" s="290" t="s">
        <v>8399</v>
      </c>
      <c r="AL455" s="223">
        <v>170</v>
      </c>
      <c r="AM455" s="223"/>
      <c r="AN455" s="241">
        <v>70</v>
      </c>
      <c r="AO455" s="242">
        <v>42074</v>
      </c>
      <c r="AP455" s="255">
        <v>104</v>
      </c>
      <c r="AQ455" s="242">
        <v>42108</v>
      </c>
      <c r="AR455" s="223">
        <v>125</v>
      </c>
      <c r="AS455" s="297">
        <f t="shared" si="237"/>
        <v>125</v>
      </c>
      <c r="AT455" s="290">
        <v>42129</v>
      </c>
      <c r="AU455" s="298"/>
      <c r="AV455" s="223"/>
      <c r="AW455" s="223"/>
      <c r="AX455" s="223"/>
      <c r="AY455" s="223"/>
      <c r="AZ455" s="223"/>
      <c r="BA455" s="223"/>
      <c r="BB455" s="223"/>
      <c r="BC455" s="223"/>
      <c r="BD455" s="223"/>
      <c r="BE455" s="223"/>
      <c r="BF455" s="281">
        <v>-4.1923007965087891</v>
      </c>
      <c r="BG455" s="283">
        <v>42230</v>
      </c>
      <c r="BH455" s="223"/>
      <c r="BI455" s="223"/>
      <c r="BJ455" s="223"/>
      <c r="BK455" s="223"/>
      <c r="BL455" s="281">
        <v>65.397544860839844</v>
      </c>
      <c r="BM455" s="283">
        <v>42230</v>
      </c>
      <c r="BN455" s="223"/>
      <c r="BO455" s="223"/>
      <c r="BP455" s="281">
        <v>3.190608024597168</v>
      </c>
      <c r="BQ455" s="283">
        <v>42230</v>
      </c>
      <c r="BR455" s="281">
        <v>51.125709533691406</v>
      </c>
      <c r="BS455" s="283">
        <v>42230</v>
      </c>
      <c r="BT455" s="281">
        <v>15.849441528320313</v>
      </c>
      <c r="BU455" s="283">
        <v>42230</v>
      </c>
      <c r="BV455" s="281">
        <v>19.1270751953125</v>
      </c>
      <c r="BW455" s="283">
        <v>42230</v>
      </c>
      <c r="BX455" s="281">
        <v>5.1578216552734375</v>
      </c>
      <c r="BY455" s="283">
        <v>42230</v>
      </c>
      <c r="BZ455" s="223"/>
      <c r="CA455" s="226"/>
      <c r="CB455" s="266">
        <v>1.45</v>
      </c>
      <c r="CC455" s="223"/>
      <c r="CD455" s="281">
        <v>5.4545454545454515</v>
      </c>
      <c r="CE455" s="291" t="s">
        <v>8399</v>
      </c>
      <c r="CF455" s="223"/>
      <c r="CG455" s="223"/>
      <c r="CH455" s="223">
        <v>2</v>
      </c>
      <c r="CI455" s="223">
        <v>1</v>
      </c>
      <c r="CK455" s="223"/>
      <c r="CL455" s="223"/>
      <c r="CM455" s="259">
        <v>42161</v>
      </c>
      <c r="CN455" s="137" t="s">
        <v>8406</v>
      </c>
    </row>
    <row r="456" spans="1:93">
      <c r="A456" s="258">
        <v>750</v>
      </c>
      <c r="B456" s="235">
        <v>750</v>
      </c>
      <c r="C456" s="235" t="s">
        <v>7635</v>
      </c>
      <c r="D456" s="235" t="s">
        <v>7468</v>
      </c>
      <c r="E456" s="235" t="s">
        <v>7635</v>
      </c>
      <c r="F456" s="235" t="s">
        <v>8507</v>
      </c>
      <c r="G456" s="235" t="str">
        <f t="shared" si="231"/>
        <v>Rapsodyn</v>
      </c>
      <c r="H456" s="235" t="s">
        <v>265</v>
      </c>
      <c r="I456" s="235">
        <v>2</v>
      </c>
      <c r="J456" s="235">
        <v>9023</v>
      </c>
      <c r="K456" s="235">
        <v>20</v>
      </c>
      <c r="L456" s="235">
        <f t="shared" si="230"/>
        <v>20</v>
      </c>
      <c r="M456" s="235">
        <v>11</v>
      </c>
      <c r="N456" s="235">
        <v>7</v>
      </c>
      <c r="O456" s="248">
        <v>42048</v>
      </c>
      <c r="P456">
        <v>4.5999999999999996</v>
      </c>
      <c r="Q456" s="264">
        <v>42204</v>
      </c>
      <c r="R456"/>
      <c r="S456"/>
      <c r="T456"/>
      <c r="V456" s="219">
        <f t="shared" si="232"/>
        <v>15.447990250337034</v>
      </c>
      <c r="W456" s="219"/>
      <c r="X456">
        <v>15.55</v>
      </c>
      <c r="Y456"/>
      <c r="Z456"/>
      <c r="AA456"/>
      <c r="AB456" s="220">
        <f t="shared" si="233"/>
        <v>4.14942809478916</v>
      </c>
      <c r="AC456" s="219"/>
      <c r="AD456" s="221">
        <f t="shared" si="234"/>
        <v>62313.921638680469</v>
      </c>
      <c r="AE456" s="219"/>
      <c r="AF456" s="220">
        <f t="shared" si="235"/>
        <v>27.916636894128853</v>
      </c>
      <c r="AG456" s="219"/>
      <c r="AH456" s="220">
        <f t="shared" si="236"/>
        <v>31.3036968985522</v>
      </c>
      <c r="AI456" s="219"/>
      <c r="AJ456">
        <v>4.4800000000000004</v>
      </c>
      <c r="AK456" s="284" t="s">
        <v>8399</v>
      </c>
      <c r="AL456">
        <v>165</v>
      </c>
      <c r="AM456"/>
      <c r="AN456" s="241">
        <v>75</v>
      </c>
      <c r="AO456" s="242">
        <v>42079</v>
      </c>
      <c r="AP456" s="255">
        <v>106</v>
      </c>
      <c r="AQ456" s="242">
        <v>42110</v>
      </c>
      <c r="AR456" s="223">
        <v>131</v>
      </c>
      <c r="AS456" s="297">
        <f t="shared" si="237"/>
        <v>131</v>
      </c>
      <c r="AT456" s="290">
        <v>42135</v>
      </c>
      <c r="AU456" s="298"/>
      <c r="AV456"/>
      <c r="AW456"/>
      <c r="AX456"/>
      <c r="AY456"/>
      <c r="AZ456"/>
      <c r="BA456"/>
      <c r="BB456"/>
      <c r="BC456"/>
      <c r="BD456"/>
      <c r="BE456"/>
      <c r="BF456" s="277">
        <v>41.50384521484375</v>
      </c>
      <c r="BG456" s="283">
        <v>42233</v>
      </c>
      <c r="BH456"/>
      <c r="BI456"/>
      <c r="BJ456"/>
      <c r="BK456"/>
      <c r="BL456" s="277">
        <v>60.249656677246094</v>
      </c>
      <c r="BM456" s="283">
        <v>42233</v>
      </c>
      <c r="BN456"/>
      <c r="BO456"/>
      <c r="BP456" s="277">
        <v>3.6435959339141846</v>
      </c>
      <c r="BQ456" s="283">
        <v>42233</v>
      </c>
      <c r="BR456" s="277">
        <v>55.336143493652344</v>
      </c>
      <c r="BS456" s="283">
        <v>42233</v>
      </c>
      <c r="BT456" s="277">
        <v>14.863638877868652</v>
      </c>
      <c r="BU456" s="283">
        <v>42233</v>
      </c>
      <c r="BV456" s="277">
        <v>50.401283264160156</v>
      </c>
      <c r="BW456" s="283">
        <v>42233</v>
      </c>
      <c r="BX456" s="277">
        <v>4.9569854736328125</v>
      </c>
      <c r="BY456" s="283">
        <v>42233</v>
      </c>
      <c r="BZ456"/>
      <c r="CB456" s="266">
        <v>2.2000000000000002</v>
      </c>
      <c r="CC456"/>
      <c r="CD456" s="277">
        <v>3.7037037037037068</v>
      </c>
      <c r="CE456" s="291" t="s">
        <v>8399</v>
      </c>
      <c r="CF456"/>
      <c r="CG456"/>
      <c r="CH456">
        <v>2</v>
      </c>
      <c r="CI456">
        <v>3</v>
      </c>
      <c r="CK456"/>
      <c r="CL456">
        <v>3</v>
      </c>
      <c r="CM456" s="259">
        <v>42161</v>
      </c>
      <c r="CN456" s="137" t="s">
        <v>8406</v>
      </c>
    </row>
    <row r="457" spans="1:93">
      <c r="A457" s="258">
        <v>753</v>
      </c>
      <c r="B457" s="235">
        <v>753</v>
      </c>
      <c r="C457" s="235" t="s">
        <v>7776</v>
      </c>
      <c r="D457" s="235" t="s">
        <v>7574</v>
      </c>
      <c r="E457" s="235" t="s">
        <v>7776</v>
      </c>
      <c r="F457" s="235" t="s">
        <v>8577</v>
      </c>
      <c r="G457" s="235" t="str">
        <f t="shared" si="231"/>
        <v>Rapsodyn</v>
      </c>
      <c r="H457" s="235" t="s">
        <v>265</v>
      </c>
      <c r="I457" s="235">
        <v>2</v>
      </c>
      <c r="J457" s="235">
        <v>9147</v>
      </c>
      <c r="K457" s="235">
        <v>23</v>
      </c>
      <c r="L457" s="235">
        <f t="shared" si="230"/>
        <v>23</v>
      </c>
      <c r="M457" s="235">
        <v>11</v>
      </c>
      <c r="N457" s="235">
        <v>7</v>
      </c>
      <c r="O457" s="248">
        <v>42048</v>
      </c>
      <c r="P457" s="223">
        <v>5.4</v>
      </c>
      <c r="Q457" s="264">
        <v>42204</v>
      </c>
      <c r="R457" s="223"/>
      <c r="S457" s="223"/>
      <c r="T457" s="223"/>
      <c r="U457" s="225"/>
      <c r="V457" s="219">
        <f t="shared" si="232"/>
        <v>16.533267855776085</v>
      </c>
      <c r="W457" s="224"/>
      <c r="X457">
        <v>15.55</v>
      </c>
      <c r="Y457" s="223"/>
      <c r="Z457" s="223"/>
      <c r="AA457" s="223"/>
      <c r="AB457" s="220">
        <f t="shared" si="233"/>
        <v>5.0068105265013276</v>
      </c>
      <c r="AC457" s="224"/>
      <c r="AD457" s="221">
        <f t="shared" si="234"/>
        <v>72166.398713826362</v>
      </c>
      <c r="AE457" s="224"/>
      <c r="AF457" s="220">
        <f t="shared" si="235"/>
        <v>32.330546623794213</v>
      </c>
      <c r="AG457" s="224"/>
      <c r="AH457" s="220">
        <f t="shared" si="236"/>
        <v>36.253135931592531</v>
      </c>
      <c r="AI457" s="224"/>
      <c r="AJ457">
        <v>4.4800000000000004</v>
      </c>
      <c r="AK457" s="290" t="s">
        <v>8400</v>
      </c>
      <c r="AL457" s="223">
        <v>165</v>
      </c>
      <c r="AM457" s="223"/>
      <c r="AN457" s="241">
        <v>65</v>
      </c>
      <c r="AO457" s="242">
        <v>42069</v>
      </c>
      <c r="AP457" s="255">
        <v>104</v>
      </c>
      <c r="AQ457" s="242">
        <v>42108</v>
      </c>
      <c r="AR457" s="223">
        <v>131</v>
      </c>
      <c r="AS457" s="297">
        <f t="shared" si="237"/>
        <v>131</v>
      </c>
      <c r="AT457" s="290">
        <v>42135</v>
      </c>
      <c r="AU457" s="298"/>
      <c r="AV457" s="223"/>
      <c r="AW457" s="223"/>
      <c r="AX457" s="223"/>
      <c r="AY457" s="223"/>
      <c r="AZ457" s="223"/>
      <c r="BA457" s="223"/>
      <c r="BB457" s="223"/>
      <c r="BC457" s="223"/>
      <c r="BD457" s="223"/>
      <c r="BE457" s="223"/>
      <c r="BF457" s="281">
        <v>-0.63050699234008789</v>
      </c>
      <c r="BG457" s="283">
        <v>42230</v>
      </c>
      <c r="BH457" s="223"/>
      <c r="BI457" s="223"/>
      <c r="BJ457" s="223"/>
      <c r="BK457" s="223"/>
      <c r="BL457" s="281">
        <v>65.483161926269531</v>
      </c>
      <c r="BM457" s="283">
        <v>42230</v>
      </c>
      <c r="BN457" s="223"/>
      <c r="BO457" s="223"/>
      <c r="BP457" s="281">
        <v>3.8202691078186035</v>
      </c>
      <c r="BQ457" s="283">
        <v>42230</v>
      </c>
      <c r="BR457" s="281">
        <v>51.138225555419922</v>
      </c>
      <c r="BS457" s="283">
        <v>42230</v>
      </c>
      <c r="BT457" s="281">
        <v>15.486315727233887</v>
      </c>
      <c r="BU457" s="283">
        <v>42230</v>
      </c>
      <c r="BV457" s="281">
        <v>11.421360015869141</v>
      </c>
      <c r="BW457" s="283">
        <v>42230</v>
      </c>
      <c r="BX457" s="281">
        <v>5.3872604370117187</v>
      </c>
      <c r="BY457" s="283">
        <v>42230</v>
      </c>
      <c r="BZ457" s="223"/>
      <c r="CA457" s="226"/>
      <c r="CB457" s="266">
        <v>1.31</v>
      </c>
      <c r="CC457" s="223"/>
      <c r="CD457" s="281">
        <v>4.9999999999999964</v>
      </c>
      <c r="CE457" s="291" t="s">
        <v>8400</v>
      </c>
      <c r="CF457" s="223"/>
      <c r="CG457" s="223"/>
      <c r="CH457" s="223">
        <v>2</v>
      </c>
      <c r="CI457" s="223">
        <v>7</v>
      </c>
      <c r="CK457" s="223"/>
      <c r="CL457" s="223"/>
      <c r="CM457" s="259">
        <v>42161</v>
      </c>
      <c r="CO457" s="137" t="s">
        <v>8405</v>
      </c>
    </row>
    <row r="458" spans="1:93">
      <c r="A458" s="258">
        <v>754</v>
      </c>
      <c r="B458" s="235">
        <v>754</v>
      </c>
      <c r="C458" s="235" t="s">
        <v>7784</v>
      </c>
      <c r="D458" s="235" t="s">
        <v>7582</v>
      </c>
      <c r="E458" s="235" t="s">
        <v>7784</v>
      </c>
      <c r="F458" s="235" t="s">
        <v>8429</v>
      </c>
      <c r="G458" s="235" t="str">
        <f t="shared" si="231"/>
        <v>Rapsodyn</v>
      </c>
      <c r="H458" s="235" t="s">
        <v>265</v>
      </c>
      <c r="I458" s="235">
        <v>2</v>
      </c>
      <c r="J458" s="235">
        <v>9155</v>
      </c>
      <c r="K458" s="235">
        <v>24</v>
      </c>
      <c r="L458" s="235">
        <f t="shared" si="230"/>
        <v>24</v>
      </c>
      <c r="M458" s="235">
        <v>11</v>
      </c>
      <c r="N458" s="235">
        <v>7</v>
      </c>
      <c r="O458" s="248">
        <v>42048</v>
      </c>
      <c r="P458">
        <v>6.15</v>
      </c>
      <c r="Q458" s="264">
        <v>42204</v>
      </c>
      <c r="R458"/>
      <c r="S458"/>
      <c r="T458"/>
      <c r="V458" s="219">
        <f t="shared" si="232"/>
        <v>19.735816893137162</v>
      </c>
      <c r="W458" s="219"/>
      <c r="X458">
        <v>15.55</v>
      </c>
      <c r="Y458"/>
      <c r="Z458"/>
      <c r="AA458"/>
      <c r="AB458" s="220">
        <f t="shared" si="233"/>
        <v>5.5274547083983983</v>
      </c>
      <c r="AC458" s="219"/>
      <c r="AD458" s="221">
        <f t="shared" si="234"/>
        <v>82428.041046972285</v>
      </c>
      <c r="AE458" s="219"/>
      <c r="AF458" s="220">
        <f t="shared" si="235"/>
        <v>37.422330635325416</v>
      </c>
      <c r="AG458" s="219"/>
      <c r="AH458" s="220">
        <f t="shared" si="236"/>
        <v>41.962694141427924</v>
      </c>
      <c r="AI458" s="219"/>
      <c r="AJ458">
        <v>4.54</v>
      </c>
      <c r="AK458" s="284" t="s">
        <v>8400</v>
      </c>
      <c r="AL458">
        <v>165</v>
      </c>
      <c r="AM458"/>
      <c r="AN458" s="241">
        <v>70</v>
      </c>
      <c r="AO458" s="242">
        <v>42074</v>
      </c>
      <c r="AP458" s="255">
        <v>104</v>
      </c>
      <c r="AQ458" s="242">
        <v>42108</v>
      </c>
      <c r="AR458" s="223">
        <v>132</v>
      </c>
      <c r="AS458" s="297">
        <f t="shared" si="237"/>
        <v>132</v>
      </c>
      <c r="AT458" s="290">
        <v>42136</v>
      </c>
      <c r="AU458" s="298"/>
      <c r="AV458"/>
      <c r="AW458"/>
      <c r="AX458"/>
      <c r="AY458"/>
      <c r="AZ458"/>
      <c r="BA458"/>
      <c r="BB458"/>
      <c r="BC458"/>
      <c r="BD458"/>
      <c r="BE458"/>
      <c r="BF458" s="277">
        <v>-9.5280084609985352</v>
      </c>
      <c r="BG458" s="283">
        <v>42230</v>
      </c>
      <c r="BH458"/>
      <c r="BI458"/>
      <c r="BJ458"/>
      <c r="BK458"/>
      <c r="BL458" s="277">
        <v>68.039276123046875</v>
      </c>
      <c r="BM458" s="283">
        <v>42230</v>
      </c>
      <c r="BN458"/>
      <c r="BO458"/>
      <c r="BP458" s="277">
        <v>3.6268379688262939</v>
      </c>
      <c r="BQ458" s="283">
        <v>42230</v>
      </c>
      <c r="BR458" s="277">
        <v>52.738075256347656</v>
      </c>
      <c r="BS458" s="283">
        <v>42230</v>
      </c>
      <c r="BT458" s="277">
        <v>14.770471572875977</v>
      </c>
      <c r="BU458" s="283">
        <v>42230</v>
      </c>
      <c r="BV458" s="277">
        <v>11.273307800292969</v>
      </c>
      <c r="BW458" s="283">
        <v>42230</v>
      </c>
      <c r="BX458" s="277">
        <v>5.232269287109375</v>
      </c>
      <c r="BY458" s="283">
        <v>42230</v>
      </c>
      <c r="BZ458"/>
      <c r="CB458" s="266">
        <v>1.82</v>
      </c>
      <c r="CC458"/>
      <c r="CD458" s="277">
        <v>3.4482758620689689</v>
      </c>
      <c r="CE458" s="291" t="s">
        <v>8400</v>
      </c>
      <c r="CF458"/>
      <c r="CG458"/>
      <c r="CH458">
        <v>2</v>
      </c>
      <c r="CI458">
        <v>2</v>
      </c>
      <c r="CK458"/>
      <c r="CL458"/>
      <c r="CM458" s="259">
        <v>42161</v>
      </c>
      <c r="CN458" s="137" t="s">
        <v>8406</v>
      </c>
    </row>
    <row r="459" spans="1:93">
      <c r="A459" s="258">
        <v>756</v>
      </c>
      <c r="B459" s="235">
        <v>756</v>
      </c>
      <c r="C459" s="235" t="s">
        <v>7654</v>
      </c>
      <c r="D459" s="235" t="s">
        <v>7485</v>
      </c>
      <c r="E459" s="235" t="s">
        <v>7654</v>
      </c>
      <c r="F459" s="235" t="s">
        <v>8470</v>
      </c>
      <c r="G459" s="235" t="str">
        <f t="shared" si="231"/>
        <v>Rapsodyn</v>
      </c>
      <c r="H459" s="235" t="s">
        <v>265</v>
      </c>
      <c r="I459" s="235">
        <v>2</v>
      </c>
      <c r="J459" s="235">
        <v>9038</v>
      </c>
      <c r="K459" s="235">
        <v>26</v>
      </c>
      <c r="L459" s="235">
        <f t="shared" si="230"/>
        <v>26</v>
      </c>
      <c r="M459" s="235">
        <v>11</v>
      </c>
      <c r="N459" s="235">
        <v>7</v>
      </c>
      <c r="O459" s="248">
        <v>42048</v>
      </c>
      <c r="P459">
        <v>4.8</v>
      </c>
      <c r="Q459" s="264">
        <v>42204</v>
      </c>
      <c r="R459"/>
      <c r="S459"/>
      <c r="T459"/>
      <c r="V459" s="219">
        <f t="shared" si="232"/>
        <v>14.160670578150121</v>
      </c>
      <c r="W459" s="219"/>
      <c r="X459">
        <v>15.55</v>
      </c>
      <c r="Y459"/>
      <c r="Z459"/>
      <c r="AA459"/>
      <c r="AB459" s="220">
        <f t="shared" si="233"/>
        <v>5.2778087720363294</v>
      </c>
      <c r="AC459" s="219"/>
      <c r="AD459" s="221">
        <f t="shared" si="234"/>
        <v>53060.84465503227</v>
      </c>
      <c r="AE459" s="219"/>
      <c r="AF459" s="220">
        <f t="shared" si="235"/>
        <v>29.130403715612719</v>
      </c>
      <c r="AG459" s="219"/>
      <c r="AH459" s="220">
        <f t="shared" si="236"/>
        <v>32.664727198489253</v>
      </c>
      <c r="AI459" s="219"/>
      <c r="AJ459">
        <v>5.49</v>
      </c>
      <c r="AK459" s="284" t="s">
        <v>8398</v>
      </c>
      <c r="AL459">
        <v>155</v>
      </c>
      <c r="AM459"/>
      <c r="AN459" s="241">
        <v>72</v>
      </c>
      <c r="AO459" s="242">
        <v>42076</v>
      </c>
      <c r="AP459" s="255">
        <v>106</v>
      </c>
      <c r="AQ459" s="242">
        <v>42110</v>
      </c>
      <c r="AR459" s="223">
        <v>123</v>
      </c>
      <c r="AS459" s="297">
        <f t="shared" si="237"/>
        <v>123</v>
      </c>
      <c r="AT459" s="290">
        <v>42127</v>
      </c>
      <c r="AU459" s="298"/>
      <c r="AV459"/>
      <c r="AW459"/>
      <c r="AX459"/>
      <c r="AY459"/>
      <c r="AZ459"/>
      <c r="BA459"/>
      <c r="BB459"/>
      <c r="BC459"/>
      <c r="BD459"/>
      <c r="BE459"/>
      <c r="BF459" s="277">
        <v>-1.8238279819488525</v>
      </c>
      <c r="BG459" s="283">
        <v>42230</v>
      </c>
      <c r="BH459"/>
      <c r="BI459"/>
      <c r="BJ459"/>
      <c r="BK459"/>
      <c r="BL459" s="277">
        <v>61.89044189453125</v>
      </c>
      <c r="BM459" s="283">
        <v>42230</v>
      </c>
      <c r="BN459"/>
      <c r="BO459"/>
      <c r="BP459" s="277">
        <v>3.7421720027923584</v>
      </c>
      <c r="BQ459" s="283">
        <v>42230</v>
      </c>
      <c r="BR459" s="277">
        <v>48.611309051513672</v>
      </c>
      <c r="BS459" s="283">
        <v>42230</v>
      </c>
      <c r="BT459" s="277">
        <v>18.117870330810547</v>
      </c>
      <c r="BU459" s="283">
        <v>42230</v>
      </c>
      <c r="BV459" s="277">
        <v>60.219375610351563</v>
      </c>
      <c r="BW459" s="283">
        <v>42230</v>
      </c>
      <c r="BX459" s="277">
        <v>5.9062423706054687</v>
      </c>
      <c r="BY459" s="283">
        <v>42230</v>
      </c>
      <c r="BZ459"/>
      <c r="CB459" s="266">
        <v>1.0900000000000001</v>
      </c>
      <c r="CC459"/>
      <c r="CD459" s="277">
        <v>3.7037037037037068</v>
      </c>
      <c r="CE459" s="291" t="s">
        <v>8398</v>
      </c>
      <c r="CF459"/>
      <c r="CG459"/>
      <c r="CH459">
        <v>3</v>
      </c>
      <c r="CI459">
        <v>5</v>
      </c>
      <c r="CK459"/>
      <c r="CL459"/>
      <c r="CM459" s="259">
        <v>42161</v>
      </c>
      <c r="CN459" s="137" t="s">
        <v>8406</v>
      </c>
    </row>
    <row r="460" spans="1:93" s="227" customFormat="1">
      <c r="A460" s="258">
        <v>757</v>
      </c>
      <c r="B460" s="235">
        <v>757</v>
      </c>
      <c r="C460" s="235" t="s">
        <v>7576</v>
      </c>
      <c r="D460" s="235"/>
      <c r="E460" s="235"/>
      <c r="F460" s="235"/>
      <c r="G460" s="235"/>
      <c r="H460" s="235" t="s">
        <v>265</v>
      </c>
      <c r="I460" s="235">
        <v>2</v>
      </c>
      <c r="J460" s="235"/>
      <c r="K460" s="235">
        <v>27</v>
      </c>
      <c r="L460" s="235">
        <f t="shared" si="230"/>
        <v>27</v>
      </c>
      <c r="M460" s="235">
        <v>11</v>
      </c>
      <c r="N460" s="235"/>
      <c r="O460" s="248">
        <v>42048</v>
      </c>
      <c r="P460"/>
      <c r="Q460" s="219"/>
      <c r="R460"/>
      <c r="S460"/>
      <c r="T460"/>
      <c r="U460" s="153"/>
      <c r="V460" s="219"/>
      <c r="W460" s="219"/>
      <c r="X460">
        <v>15.55</v>
      </c>
      <c r="Y460"/>
      <c r="Z460"/>
      <c r="AA460"/>
      <c r="AB460" s="220"/>
      <c r="AC460" s="219"/>
      <c r="AD460" s="221"/>
      <c r="AE460" s="219"/>
      <c r="AF460" s="220"/>
      <c r="AG460" s="219"/>
      <c r="AH460" s="220"/>
      <c r="AI460" s="219"/>
      <c r="AJ460" s="286"/>
      <c r="AK460" s="284"/>
      <c r="AL460"/>
      <c r="AM460"/>
      <c r="AN460" s="241">
        <v>70</v>
      </c>
      <c r="AO460" s="242">
        <v>42074</v>
      </c>
      <c r="AP460" s="255">
        <v>104</v>
      </c>
      <c r="AQ460" s="242">
        <v>42108</v>
      </c>
      <c r="AR460" s="223"/>
      <c r="AS460" s="297"/>
      <c r="AT460" s="290"/>
      <c r="AU460" s="298"/>
      <c r="AV460"/>
      <c r="AW460"/>
      <c r="AX460"/>
      <c r="AY460"/>
      <c r="AZ460"/>
      <c r="BA460"/>
      <c r="BB460"/>
      <c r="BC460"/>
      <c r="BD460"/>
      <c r="BE460"/>
      <c r="BF460" s="277"/>
      <c r="BG460" s="235"/>
      <c r="BH460"/>
      <c r="BI460"/>
      <c r="BJ460"/>
      <c r="BK460"/>
      <c r="BL460" s="277"/>
      <c r="BM460" s="235"/>
      <c r="BN460"/>
      <c r="BO460"/>
      <c r="BP460" s="277"/>
      <c r="BQ460" s="235"/>
      <c r="BR460" s="277"/>
      <c r="BS460" s="235"/>
      <c r="BT460" s="277"/>
      <c r="BU460" s="235"/>
      <c r="BV460" s="277"/>
      <c r="BW460" s="235"/>
      <c r="BX460" s="277"/>
      <c r="BY460" s="235"/>
      <c r="BZ460"/>
      <c r="CA460" s="136"/>
      <c r="CB460" s="266"/>
      <c r="CC460"/>
      <c r="CD460" s="277"/>
      <c r="CE460" s="291"/>
      <c r="CF460"/>
      <c r="CG460"/>
      <c r="CH460"/>
      <c r="CI460"/>
      <c r="CK460"/>
      <c r="CL460"/>
      <c r="CM460" s="259">
        <v>42161</v>
      </c>
    </row>
    <row r="461" spans="1:93" s="227" customFormat="1">
      <c r="A461" s="258">
        <v>758</v>
      </c>
      <c r="B461" s="235">
        <v>758</v>
      </c>
      <c r="C461" s="235" t="s">
        <v>7576</v>
      </c>
      <c r="D461" s="235"/>
      <c r="E461" s="235"/>
      <c r="F461" s="235"/>
      <c r="G461" s="235"/>
      <c r="H461" s="235" t="s">
        <v>265</v>
      </c>
      <c r="I461" s="235">
        <v>2</v>
      </c>
      <c r="J461" s="235"/>
      <c r="K461" s="235">
        <v>28</v>
      </c>
      <c r="L461" s="235">
        <f t="shared" si="230"/>
        <v>28</v>
      </c>
      <c r="M461" s="235">
        <v>11</v>
      </c>
      <c r="N461" s="235"/>
      <c r="O461" s="248">
        <v>42048</v>
      </c>
      <c r="P461"/>
      <c r="Q461" s="219"/>
      <c r="R461"/>
      <c r="S461"/>
      <c r="T461"/>
      <c r="U461" s="153"/>
      <c r="V461" s="219"/>
      <c r="W461" s="219"/>
      <c r="X461">
        <v>15.55</v>
      </c>
      <c r="Y461"/>
      <c r="Z461"/>
      <c r="AA461"/>
      <c r="AB461" s="220"/>
      <c r="AC461" s="219"/>
      <c r="AD461" s="221"/>
      <c r="AE461" s="219"/>
      <c r="AF461" s="220"/>
      <c r="AG461" s="219"/>
      <c r="AH461" s="220"/>
      <c r="AI461" s="219"/>
      <c r="AJ461" s="286"/>
      <c r="AK461" s="284"/>
      <c r="AL461"/>
      <c r="AM461"/>
      <c r="AN461" s="241">
        <v>70</v>
      </c>
      <c r="AO461" s="242">
        <v>42074</v>
      </c>
      <c r="AP461" s="255">
        <v>104</v>
      </c>
      <c r="AQ461" s="242">
        <v>42108</v>
      </c>
      <c r="AR461" s="223"/>
      <c r="AS461" s="297"/>
      <c r="AT461" s="290"/>
      <c r="AU461" s="298"/>
      <c r="AV461"/>
      <c r="AW461"/>
      <c r="AX461"/>
      <c r="AY461"/>
      <c r="AZ461"/>
      <c r="BA461"/>
      <c r="BB461"/>
      <c r="BC461"/>
      <c r="BD461"/>
      <c r="BE461"/>
      <c r="BF461" s="277"/>
      <c r="BG461" s="235"/>
      <c r="BH461"/>
      <c r="BI461"/>
      <c r="BJ461"/>
      <c r="BK461"/>
      <c r="BL461" s="277"/>
      <c r="BM461" s="235"/>
      <c r="BN461"/>
      <c r="BO461"/>
      <c r="BP461" s="277"/>
      <c r="BQ461" s="235"/>
      <c r="BR461" s="277"/>
      <c r="BS461" s="235"/>
      <c r="BT461" s="277"/>
      <c r="BU461" s="235"/>
      <c r="BV461" s="277"/>
      <c r="BW461" s="235"/>
      <c r="BX461" s="277"/>
      <c r="BY461" s="235"/>
      <c r="BZ461"/>
      <c r="CA461" s="136"/>
      <c r="CB461" s="266"/>
      <c r="CC461"/>
      <c r="CD461" s="277"/>
      <c r="CE461" s="291"/>
      <c r="CF461"/>
      <c r="CG461"/>
      <c r="CH461"/>
      <c r="CI461"/>
      <c r="CK461"/>
      <c r="CL461"/>
      <c r="CM461" s="259">
        <v>42161</v>
      </c>
    </row>
    <row r="462" spans="1:93">
      <c r="A462" s="258">
        <v>762</v>
      </c>
      <c r="B462" s="236">
        <v>762</v>
      </c>
      <c r="C462" s="235" t="s">
        <v>7615</v>
      </c>
      <c r="D462" s="235" t="s">
        <v>7452</v>
      </c>
      <c r="E462" s="235" t="s">
        <v>7615</v>
      </c>
      <c r="F462" s="235" t="s">
        <v>8529</v>
      </c>
      <c r="G462" s="235" t="str">
        <f t="shared" ref="G462:G471" si="238">IF(MID(C462,1,3)="BGA","Complement","Rapsodyn")</f>
        <v>Rapsodyn</v>
      </c>
      <c r="H462" s="235" t="s">
        <v>265</v>
      </c>
      <c r="I462" s="235">
        <v>2</v>
      </c>
      <c r="J462" s="235">
        <v>9008</v>
      </c>
      <c r="K462" s="235">
        <v>32</v>
      </c>
      <c r="L462" s="235">
        <f t="shared" si="230"/>
        <v>32</v>
      </c>
      <c r="M462" s="235">
        <v>11</v>
      </c>
      <c r="N462" s="235">
        <v>7</v>
      </c>
      <c r="O462" s="248">
        <v>42048</v>
      </c>
      <c r="P462">
        <v>4.95</v>
      </c>
      <c r="Q462" s="264">
        <v>42204</v>
      </c>
      <c r="R462"/>
      <c r="S462"/>
      <c r="T462"/>
      <c r="V462" s="219">
        <f t="shared" ref="V462:V471" si="239">+BR462*AF462/100</f>
        <v>15.307752067508677</v>
      </c>
      <c r="W462" s="219"/>
      <c r="X462">
        <v>15.55</v>
      </c>
      <c r="Y462"/>
      <c r="Z462"/>
      <c r="AA462"/>
      <c r="AB462" s="220">
        <f t="shared" ref="AB462:AB471" si="240">+AF462*BT462/100</f>
        <v>4.8295910601191707</v>
      </c>
      <c r="AC462" s="219"/>
      <c r="AD462" s="221">
        <f t="shared" ref="AD462:AD471" si="241">+(AF462/AJ462)*10000</f>
        <v>69771.295131283943</v>
      </c>
      <c r="AE462" s="219"/>
      <c r="AF462" s="220">
        <f t="shared" ref="AF462:AF471" si="242">($P462/$X462)*(((100-$CD462)/100*(100-2)/100))*100</f>
        <v>28.885316184351552</v>
      </c>
      <c r="AG462" s="219"/>
      <c r="AH462" s="220">
        <f t="shared" ref="AH462:AH471" si="243">($P462/$X462)*(((100-$CD462)/(100-9)*(100-2)/(100-2))*100)</f>
        <v>32.389903772540421</v>
      </c>
      <c r="AI462" s="219"/>
      <c r="AJ462">
        <v>4.1399999999999997</v>
      </c>
      <c r="AK462" s="284" t="s">
        <v>8401</v>
      </c>
      <c r="AL462">
        <v>175</v>
      </c>
      <c r="AM462"/>
      <c r="AN462" s="241">
        <v>72</v>
      </c>
      <c r="AO462" s="242">
        <v>42076</v>
      </c>
      <c r="AP462" s="255">
        <v>110</v>
      </c>
      <c r="AQ462" s="242">
        <v>42114</v>
      </c>
      <c r="AR462" s="223">
        <v>132</v>
      </c>
      <c r="AS462" s="297">
        <f t="shared" ref="AS462:AS471" si="244">IF(AR462=0,,AR462)</f>
        <v>132</v>
      </c>
      <c r="AT462" s="290">
        <v>42136</v>
      </c>
      <c r="AU462" s="298"/>
      <c r="AV462"/>
      <c r="AW462"/>
      <c r="AX462"/>
      <c r="AY462"/>
      <c r="AZ462"/>
      <c r="BA462"/>
      <c r="BB462"/>
      <c r="BC462"/>
      <c r="BD462"/>
      <c r="BE462"/>
      <c r="BF462" s="277">
        <v>47.470016479492188</v>
      </c>
      <c r="BG462" s="283">
        <v>42233</v>
      </c>
      <c r="BH462"/>
      <c r="BI462"/>
      <c r="BJ462"/>
      <c r="BK462"/>
      <c r="BL462" s="277">
        <v>62.724098205566406</v>
      </c>
      <c r="BM462" s="283">
        <v>42233</v>
      </c>
      <c r="BN462"/>
      <c r="BO462"/>
      <c r="BP462" s="277">
        <v>3.5025970935821533</v>
      </c>
      <c r="BQ462" s="283">
        <v>42233</v>
      </c>
      <c r="BR462" s="277">
        <v>52.994926452636719</v>
      </c>
      <c r="BS462" s="283">
        <v>42233</v>
      </c>
      <c r="BT462" s="277">
        <v>16.719882965087891</v>
      </c>
      <c r="BU462" s="283">
        <v>42233</v>
      </c>
      <c r="BV462" s="277">
        <v>56.756805419921875</v>
      </c>
      <c r="BW462" s="283">
        <v>42233</v>
      </c>
      <c r="BX462" s="277">
        <v>5.0733718872070313</v>
      </c>
      <c r="BY462" s="283">
        <v>42233</v>
      </c>
      <c r="BZ462"/>
      <c r="CB462" s="266">
        <v>2.77</v>
      </c>
      <c r="CC462"/>
      <c r="CD462" s="277">
        <v>7.4074074074074137</v>
      </c>
      <c r="CE462" s="291" t="s">
        <v>8401</v>
      </c>
      <c r="CF462"/>
      <c r="CG462"/>
      <c r="CH462">
        <v>2</v>
      </c>
      <c r="CI462">
        <v>2</v>
      </c>
      <c r="CK462"/>
      <c r="CL462">
        <v>2</v>
      </c>
      <c r="CM462" s="259">
        <v>42161</v>
      </c>
      <c r="CN462" s="137" t="s">
        <v>8406</v>
      </c>
    </row>
    <row r="463" spans="1:93">
      <c r="A463" s="258">
        <v>763</v>
      </c>
      <c r="B463" s="235">
        <v>763</v>
      </c>
      <c r="C463" s="235" t="s">
        <v>7773</v>
      </c>
      <c r="D463" s="235" t="s">
        <v>7571</v>
      </c>
      <c r="E463" s="235" t="s">
        <v>7773</v>
      </c>
      <c r="F463" s="235" t="s">
        <v>8575</v>
      </c>
      <c r="G463" s="235" t="str">
        <f t="shared" si="238"/>
        <v>Rapsodyn</v>
      </c>
      <c r="H463" s="235" t="s">
        <v>265</v>
      </c>
      <c r="I463" s="235">
        <v>2</v>
      </c>
      <c r="J463" s="235">
        <v>9144</v>
      </c>
      <c r="K463" s="235">
        <v>33</v>
      </c>
      <c r="L463" s="235">
        <f t="shared" si="230"/>
        <v>33</v>
      </c>
      <c r="M463" s="235">
        <v>11</v>
      </c>
      <c r="N463" s="235">
        <v>7</v>
      </c>
      <c r="O463" s="248">
        <v>42048</v>
      </c>
      <c r="P463">
        <v>5.35</v>
      </c>
      <c r="Q463" s="264">
        <v>42204</v>
      </c>
      <c r="R463"/>
      <c r="S463"/>
      <c r="T463"/>
      <c r="V463" s="219">
        <f t="shared" si="239"/>
        <v>15.975457331472937</v>
      </c>
      <c r="W463" s="219"/>
      <c r="X463">
        <v>15.55</v>
      </c>
      <c r="Y463"/>
      <c r="Z463"/>
      <c r="AA463"/>
      <c r="AB463" s="220">
        <f t="shared" si="240"/>
        <v>5.4198293103669819</v>
      </c>
      <c r="AC463" s="219"/>
      <c r="AD463" s="221">
        <f t="shared" si="241"/>
        <v>64530.223541900639</v>
      </c>
      <c r="AE463" s="219"/>
      <c r="AF463" s="220">
        <f t="shared" si="242"/>
        <v>31.942460653240818</v>
      </c>
      <c r="AG463" s="219"/>
      <c r="AH463" s="220">
        <f t="shared" si="243"/>
        <v>35.817964401481071</v>
      </c>
      <c r="AI463" s="219"/>
      <c r="AJ463">
        <v>4.95</v>
      </c>
      <c r="AK463" s="284" t="s">
        <v>8403</v>
      </c>
      <c r="AL463">
        <v>165</v>
      </c>
      <c r="AM463"/>
      <c r="AN463" s="241">
        <v>72</v>
      </c>
      <c r="AO463" s="242">
        <v>42076</v>
      </c>
      <c r="AP463" s="255">
        <v>104</v>
      </c>
      <c r="AQ463" s="242">
        <v>42108</v>
      </c>
      <c r="AR463" s="223">
        <v>127</v>
      </c>
      <c r="AS463" s="297">
        <f t="shared" si="244"/>
        <v>127</v>
      </c>
      <c r="AT463" s="290">
        <v>42131</v>
      </c>
      <c r="AU463" s="298"/>
      <c r="AV463"/>
      <c r="AW463"/>
      <c r="AX463"/>
      <c r="AY463"/>
      <c r="AZ463"/>
      <c r="BA463"/>
      <c r="BB463"/>
      <c r="BC463"/>
      <c r="BD463"/>
      <c r="BE463"/>
      <c r="BF463" s="277">
        <v>-2.6670570373535156</v>
      </c>
      <c r="BG463" s="283">
        <v>42230</v>
      </c>
      <c r="BH463"/>
      <c r="BI463"/>
      <c r="BJ463"/>
      <c r="BK463"/>
      <c r="BL463" s="277">
        <v>63.893684387207031</v>
      </c>
      <c r="BM463" s="283">
        <v>42230</v>
      </c>
      <c r="BN463"/>
      <c r="BO463"/>
      <c r="BP463" s="277">
        <v>4.0893077850341797</v>
      </c>
      <c r="BQ463" s="283">
        <v>42230</v>
      </c>
      <c r="BR463" s="277">
        <v>50.013233184814453</v>
      </c>
      <c r="BS463" s="283">
        <v>42230</v>
      </c>
      <c r="BT463" s="277">
        <v>16.967475891113281</v>
      </c>
      <c r="BU463" s="283">
        <v>42230</v>
      </c>
      <c r="BV463" s="277">
        <v>10.877655029296875</v>
      </c>
      <c r="BW463" s="283">
        <v>42230</v>
      </c>
      <c r="BX463" s="277">
        <v>5.2264785766601563</v>
      </c>
      <c r="BY463" s="283">
        <v>42230</v>
      </c>
      <c r="BZ463"/>
      <c r="CB463" s="266">
        <v>1.35</v>
      </c>
      <c r="CC463"/>
      <c r="CD463" s="277">
        <v>5.2631578947368389</v>
      </c>
      <c r="CE463" s="291" t="s">
        <v>8403</v>
      </c>
      <c r="CF463"/>
      <c r="CG463"/>
      <c r="CH463">
        <v>2</v>
      </c>
      <c r="CI463">
        <v>1</v>
      </c>
      <c r="CK463"/>
      <c r="CL463"/>
      <c r="CM463" s="259">
        <v>42161</v>
      </c>
      <c r="CN463" s="137" t="s">
        <v>8406</v>
      </c>
    </row>
    <row r="464" spans="1:93">
      <c r="A464" s="258">
        <v>765</v>
      </c>
      <c r="B464" s="235">
        <v>765</v>
      </c>
      <c r="C464" s="235" t="s">
        <v>7669</v>
      </c>
      <c r="D464" s="235" t="s">
        <v>7498</v>
      </c>
      <c r="E464" s="235" t="s">
        <v>7669</v>
      </c>
      <c r="F464" s="235" t="s">
        <v>8466</v>
      </c>
      <c r="G464" s="235" t="str">
        <f t="shared" si="238"/>
        <v>Rapsodyn</v>
      </c>
      <c r="H464" s="235" t="s">
        <v>265</v>
      </c>
      <c r="I464" s="235">
        <v>2</v>
      </c>
      <c r="J464" s="235">
        <v>9051</v>
      </c>
      <c r="K464" s="235">
        <v>35</v>
      </c>
      <c r="L464" s="235">
        <f t="shared" si="230"/>
        <v>35</v>
      </c>
      <c r="M464" s="235">
        <v>11</v>
      </c>
      <c r="N464" s="235">
        <v>7</v>
      </c>
      <c r="O464" s="248">
        <v>42048</v>
      </c>
      <c r="P464">
        <v>4.55</v>
      </c>
      <c r="Q464" s="264">
        <v>42204</v>
      </c>
      <c r="R464"/>
      <c r="S464"/>
      <c r="T464"/>
      <c r="V464" s="219">
        <f t="shared" si="239"/>
        <v>14.093350180475657</v>
      </c>
      <c r="W464" s="219"/>
      <c r="X464">
        <v>15.55</v>
      </c>
      <c r="Y464"/>
      <c r="Z464"/>
      <c r="AA464"/>
      <c r="AB464" s="220">
        <f t="shared" si="240"/>
        <v>4.6767300072206943</v>
      </c>
      <c r="AC464" s="219"/>
      <c r="AD464" s="221">
        <f t="shared" si="241"/>
        <v>57562.311621881054</v>
      </c>
      <c r="AE464" s="219"/>
      <c r="AF464" s="220">
        <f t="shared" si="242"/>
        <v>27.572347266881025</v>
      </c>
      <c r="AG464" s="219"/>
      <c r="AH464" s="220">
        <f t="shared" si="243"/>
        <v>30.917635419243133</v>
      </c>
      <c r="AI464" s="219"/>
      <c r="AJ464">
        <v>4.79</v>
      </c>
      <c r="AK464" s="284" t="s">
        <v>8401</v>
      </c>
      <c r="AL464">
        <v>135</v>
      </c>
      <c r="AM464"/>
      <c r="AN464" s="241">
        <v>70</v>
      </c>
      <c r="AO464" s="242">
        <v>42074</v>
      </c>
      <c r="AP464" s="255">
        <v>104</v>
      </c>
      <c r="AQ464" s="242">
        <v>42108</v>
      </c>
      <c r="AR464" s="223">
        <v>125</v>
      </c>
      <c r="AS464" s="297">
        <f t="shared" si="244"/>
        <v>125</v>
      </c>
      <c r="AT464" s="290">
        <v>42129</v>
      </c>
      <c r="AU464" s="298"/>
      <c r="AV464"/>
      <c r="AW464"/>
      <c r="AX464"/>
      <c r="AY464"/>
      <c r="AZ464"/>
      <c r="BA464"/>
      <c r="BB464"/>
      <c r="BC464"/>
      <c r="BD464"/>
      <c r="BE464"/>
      <c r="BF464" s="277">
        <v>0.91159999370574951</v>
      </c>
      <c r="BG464" s="283">
        <v>42233</v>
      </c>
      <c r="BH464"/>
      <c r="BI464"/>
      <c r="BJ464"/>
      <c r="BK464"/>
      <c r="BL464" s="277">
        <v>67.235008239746094</v>
      </c>
      <c r="BM464" s="283">
        <v>42233</v>
      </c>
      <c r="BN464"/>
      <c r="BO464"/>
      <c r="BP464" s="277">
        <v>3.0867469310760498</v>
      </c>
      <c r="BQ464" s="283">
        <v>42233</v>
      </c>
      <c r="BR464" s="277">
        <v>51.11407470703125</v>
      </c>
      <c r="BS464" s="283">
        <v>42233</v>
      </c>
      <c r="BT464" s="277">
        <v>16.961668014526367</v>
      </c>
      <c r="BU464" s="283">
        <v>42233</v>
      </c>
      <c r="BV464" s="277">
        <v>13.722911834716797</v>
      </c>
      <c r="BW464" s="283">
        <v>42233</v>
      </c>
      <c r="BX464" s="277">
        <v>5.2735443115234375</v>
      </c>
      <c r="BY464" s="283">
        <v>42233</v>
      </c>
      <c r="BZ464"/>
      <c r="CB464" s="266">
        <v>2.46</v>
      </c>
      <c r="CC464"/>
      <c r="CD464" s="277">
        <v>3.8461538461538494</v>
      </c>
      <c r="CE464" s="291" t="s">
        <v>8401</v>
      </c>
      <c r="CF464"/>
      <c r="CG464"/>
      <c r="CH464">
        <v>2</v>
      </c>
      <c r="CI464">
        <v>2</v>
      </c>
      <c r="CK464"/>
      <c r="CL464"/>
      <c r="CM464" s="259">
        <v>42161</v>
      </c>
      <c r="CN464" s="137" t="s">
        <v>8406</v>
      </c>
    </row>
    <row r="465" spans="1:93">
      <c r="A465" s="258">
        <v>767</v>
      </c>
      <c r="B465" s="235">
        <v>767</v>
      </c>
      <c r="C465" s="235" t="s">
        <v>7681</v>
      </c>
      <c r="D465" s="235" t="s">
        <v>7508</v>
      </c>
      <c r="E465" s="235" t="s">
        <v>7681</v>
      </c>
      <c r="F465" s="235" t="s">
        <v>8489</v>
      </c>
      <c r="G465" s="235" t="str">
        <f t="shared" si="238"/>
        <v>Rapsodyn</v>
      </c>
      <c r="H465" s="235" t="s">
        <v>265</v>
      </c>
      <c r="I465" s="235">
        <v>2</v>
      </c>
      <c r="J465" s="235">
        <v>9063</v>
      </c>
      <c r="K465" s="235">
        <v>37</v>
      </c>
      <c r="L465" s="235">
        <f t="shared" si="230"/>
        <v>37</v>
      </c>
      <c r="M465" s="235">
        <v>11</v>
      </c>
      <c r="N465" s="235">
        <v>7</v>
      </c>
      <c r="O465" s="248">
        <v>42048</v>
      </c>
      <c r="P465">
        <v>5.15</v>
      </c>
      <c r="Q465" s="264">
        <v>42204</v>
      </c>
      <c r="R465"/>
      <c r="S465"/>
      <c r="T465"/>
      <c r="V465" s="219">
        <f t="shared" si="239"/>
        <v>16.115505904352968</v>
      </c>
      <c r="W465" s="219"/>
      <c r="X465">
        <v>15.55</v>
      </c>
      <c r="Y465"/>
      <c r="Z465"/>
      <c r="AA465"/>
      <c r="AB465" s="220">
        <f t="shared" si="240"/>
        <v>5.126231475297069</v>
      </c>
      <c r="AC465" s="219"/>
      <c r="AD465" s="221">
        <f t="shared" si="241"/>
        <v>64888.696978995977</v>
      </c>
      <c r="AE465" s="219"/>
      <c r="AF465" s="220">
        <f t="shared" si="242"/>
        <v>31.276351943876062</v>
      </c>
      <c r="AG465" s="219"/>
      <c r="AH465" s="220">
        <f t="shared" si="243"/>
        <v>35.071038286472366</v>
      </c>
      <c r="AI465" s="219"/>
      <c r="AJ465">
        <v>4.82</v>
      </c>
      <c r="AK465" s="284" t="s">
        <v>8398</v>
      </c>
      <c r="AL465">
        <v>160</v>
      </c>
      <c r="AM465"/>
      <c r="AN465" s="241">
        <v>70</v>
      </c>
      <c r="AO465" s="242">
        <v>42074</v>
      </c>
      <c r="AP465" s="255">
        <v>104</v>
      </c>
      <c r="AQ465" s="242">
        <v>42108</v>
      </c>
      <c r="AR465">
        <v>127</v>
      </c>
      <c r="AS465" s="297">
        <f t="shared" si="244"/>
        <v>127</v>
      </c>
      <c r="AT465" s="290">
        <v>42131</v>
      </c>
      <c r="AU465" s="298"/>
      <c r="AV465"/>
      <c r="AW465"/>
      <c r="AX465"/>
      <c r="AY465"/>
      <c r="AZ465"/>
      <c r="BA465"/>
      <c r="BB465"/>
      <c r="BC465"/>
      <c r="BD465"/>
      <c r="BE465"/>
      <c r="BF465" s="277">
        <v>1.0753309726715088</v>
      </c>
      <c r="BG465" s="283">
        <v>42233</v>
      </c>
      <c r="BH465"/>
      <c r="BI465"/>
      <c r="BJ465"/>
      <c r="BK465"/>
      <c r="BL465" s="277">
        <v>63.534042358398438</v>
      </c>
      <c r="BM465" s="283">
        <v>42233</v>
      </c>
      <c r="BN465"/>
      <c r="BO465"/>
      <c r="BP465" s="277">
        <v>2.5774428844451904</v>
      </c>
      <c r="BQ465" s="283">
        <v>42233</v>
      </c>
      <c r="BR465" s="277">
        <v>51.526168823242187</v>
      </c>
      <c r="BS465" s="283">
        <v>42233</v>
      </c>
      <c r="BT465" s="277">
        <v>16.390119552612305</v>
      </c>
      <c r="BU465" s="283">
        <v>42233</v>
      </c>
      <c r="BV465" s="277">
        <v>14.706178665161133</v>
      </c>
      <c r="BW465" s="283">
        <v>42233</v>
      </c>
      <c r="BX465" s="277">
        <v>5.1133956909179687</v>
      </c>
      <c r="BY465" s="283">
        <v>42233</v>
      </c>
      <c r="BZ465"/>
      <c r="CB465" s="266">
        <v>2.4</v>
      </c>
      <c r="CC465"/>
      <c r="CD465" s="277">
        <v>3.6363636363636398</v>
      </c>
      <c r="CE465" s="291" t="s">
        <v>8398</v>
      </c>
      <c r="CF465"/>
      <c r="CG465"/>
      <c r="CH465">
        <v>1</v>
      </c>
      <c r="CI465">
        <v>4</v>
      </c>
      <c r="CK465"/>
      <c r="CL465">
        <v>3</v>
      </c>
      <c r="CM465" s="259">
        <v>42161</v>
      </c>
      <c r="CN465" s="137" t="s">
        <v>8406</v>
      </c>
    </row>
    <row r="466" spans="1:93">
      <c r="A466" s="258">
        <v>768</v>
      </c>
      <c r="B466" s="235">
        <v>768</v>
      </c>
      <c r="C466" s="235" t="s">
        <v>7662</v>
      </c>
      <c r="D466" s="235" t="s">
        <v>7492</v>
      </c>
      <c r="E466" s="235" t="s">
        <v>7662</v>
      </c>
      <c r="F466" s="235" t="s">
        <v>8539</v>
      </c>
      <c r="G466" s="235" t="str">
        <f t="shared" si="238"/>
        <v>Rapsodyn</v>
      </c>
      <c r="H466" s="235" t="s">
        <v>265</v>
      </c>
      <c r="I466" s="235">
        <v>2</v>
      </c>
      <c r="J466" s="235">
        <v>9045</v>
      </c>
      <c r="K466" s="235">
        <v>38</v>
      </c>
      <c r="L466" s="235">
        <f t="shared" si="230"/>
        <v>38</v>
      </c>
      <c r="M466" s="235">
        <v>11</v>
      </c>
      <c r="N466" s="235">
        <v>7</v>
      </c>
      <c r="O466" s="248">
        <v>42048</v>
      </c>
      <c r="P466">
        <v>4.75</v>
      </c>
      <c r="Q466" s="264">
        <v>42204</v>
      </c>
      <c r="R466"/>
      <c r="S466"/>
      <c r="T466"/>
      <c r="V466" s="219">
        <f t="shared" si="239"/>
        <v>15.146791489561272</v>
      </c>
      <c r="W466" s="219"/>
      <c r="X466">
        <v>15.55</v>
      </c>
      <c r="Y466"/>
      <c r="Z466"/>
      <c r="AA466"/>
      <c r="AB466" s="220">
        <f t="shared" si="240"/>
        <v>4.9014199788164099</v>
      </c>
      <c r="AC466" s="219"/>
      <c r="AD466" s="221">
        <f t="shared" si="241"/>
        <v>67588.794027423603</v>
      </c>
      <c r="AE466" s="219"/>
      <c r="AF466" s="220">
        <f t="shared" si="242"/>
        <v>29.401125401929264</v>
      </c>
      <c r="AG466" s="219"/>
      <c r="AH466" s="220">
        <f t="shared" si="243"/>
        <v>32.968294911335796</v>
      </c>
      <c r="AI466" s="219"/>
      <c r="AJ466">
        <v>4.3499999999999996</v>
      </c>
      <c r="AK466" s="284" t="s">
        <v>8398</v>
      </c>
      <c r="AL466">
        <v>170</v>
      </c>
      <c r="AM466"/>
      <c r="AN466" s="241">
        <v>72</v>
      </c>
      <c r="AO466" s="242">
        <v>42076</v>
      </c>
      <c r="AP466" s="255">
        <v>104</v>
      </c>
      <c r="AQ466" s="242">
        <v>42108</v>
      </c>
      <c r="AR466" s="223">
        <v>127</v>
      </c>
      <c r="AS466" s="297">
        <f t="shared" si="244"/>
        <v>127</v>
      </c>
      <c r="AT466" s="290">
        <v>42131</v>
      </c>
      <c r="AU466" s="298"/>
      <c r="AV466"/>
      <c r="AW466"/>
      <c r="AX466"/>
      <c r="AY466"/>
      <c r="AZ466"/>
      <c r="BA466"/>
      <c r="BB466"/>
      <c r="BC466"/>
      <c r="BD466"/>
      <c r="BE466"/>
      <c r="BF466" s="277">
        <v>-4.3155989646911621</v>
      </c>
      <c r="BG466" s="283">
        <v>42233</v>
      </c>
      <c r="BH466"/>
      <c r="BI466"/>
      <c r="BJ466"/>
      <c r="BK466"/>
      <c r="BL466" s="277">
        <v>68.596282958984375</v>
      </c>
      <c r="BM466" s="283">
        <v>42233</v>
      </c>
      <c r="BN466"/>
      <c r="BO466"/>
      <c r="BP466" s="277">
        <v>3.2185499668121338</v>
      </c>
      <c r="BQ466" s="283">
        <v>42233</v>
      </c>
      <c r="BR466" s="277">
        <v>51.517726898193359</v>
      </c>
      <c r="BS466" s="283">
        <v>42233</v>
      </c>
      <c r="BT466" s="277">
        <v>16.670858383178711</v>
      </c>
      <c r="BU466" s="283">
        <v>42233</v>
      </c>
      <c r="BV466" s="277">
        <v>17.032344818115234</v>
      </c>
      <c r="BW466" s="283">
        <v>42233</v>
      </c>
      <c r="BX466" s="277">
        <v>5.400543212890625</v>
      </c>
      <c r="BY466" s="283">
        <v>42233</v>
      </c>
      <c r="BZ466"/>
      <c r="CB466" s="266">
        <v>1.86</v>
      </c>
      <c r="CC466"/>
      <c r="CD466" s="277">
        <v>1.7857142857142794</v>
      </c>
      <c r="CE466" s="291" t="s">
        <v>8398</v>
      </c>
      <c r="CF466"/>
      <c r="CG466"/>
      <c r="CH466">
        <v>1</v>
      </c>
      <c r="CI466">
        <v>1</v>
      </c>
      <c r="CK466"/>
      <c r="CL466"/>
      <c r="CM466" s="259">
        <v>42161</v>
      </c>
      <c r="CN466" s="137" t="s">
        <v>8406</v>
      </c>
    </row>
    <row r="467" spans="1:93">
      <c r="A467" s="258">
        <v>769</v>
      </c>
      <c r="B467" s="235">
        <v>769</v>
      </c>
      <c r="C467" s="235" t="s">
        <v>7766</v>
      </c>
      <c r="D467" s="235" t="s">
        <v>7842</v>
      </c>
      <c r="E467" s="235" t="s">
        <v>7766</v>
      </c>
      <c r="F467" s="235" t="s">
        <v>8590</v>
      </c>
      <c r="G467" s="235" t="str">
        <f t="shared" si="238"/>
        <v>Rapsodyn</v>
      </c>
      <c r="H467" s="235" t="s">
        <v>265</v>
      </c>
      <c r="I467" s="235">
        <v>2</v>
      </c>
      <c r="J467" s="235">
        <v>9137</v>
      </c>
      <c r="K467" s="235">
        <v>39</v>
      </c>
      <c r="L467" s="235">
        <f t="shared" si="230"/>
        <v>39</v>
      </c>
      <c r="M467" s="235">
        <v>11</v>
      </c>
      <c r="N467" s="235">
        <v>7</v>
      </c>
      <c r="O467" s="248">
        <v>42048</v>
      </c>
      <c r="P467">
        <v>5.05</v>
      </c>
      <c r="Q467" s="264">
        <v>42204</v>
      </c>
      <c r="R467"/>
      <c r="S467"/>
      <c r="T467"/>
      <c r="V467" s="219">
        <f t="shared" si="239"/>
        <v>16.272338852015192</v>
      </c>
      <c r="W467" s="219"/>
      <c r="X467">
        <v>15.55</v>
      </c>
      <c r="Y467"/>
      <c r="Z467"/>
      <c r="AA467"/>
      <c r="AB467" s="220">
        <f t="shared" si="240"/>
        <v>4.823177014386804</v>
      </c>
      <c r="AC467" s="219"/>
      <c r="AD467" s="221">
        <f t="shared" si="241"/>
        <v>66553.044753491631</v>
      </c>
      <c r="AE467" s="219"/>
      <c r="AF467" s="220">
        <f t="shared" si="242"/>
        <v>30.747506676113133</v>
      </c>
      <c r="AG467" s="219"/>
      <c r="AH467" s="220">
        <f t="shared" si="243"/>
        <v>34.478029464132248</v>
      </c>
      <c r="AI467" s="219"/>
      <c r="AJ467">
        <v>4.62</v>
      </c>
      <c r="AK467" s="284" t="s">
        <v>8400</v>
      </c>
      <c r="AL467">
        <v>150</v>
      </c>
      <c r="AM467"/>
      <c r="AN467" s="241">
        <v>65</v>
      </c>
      <c r="AO467" s="242">
        <v>42069</v>
      </c>
      <c r="AP467" s="255">
        <v>104</v>
      </c>
      <c r="AQ467" s="242">
        <v>42108</v>
      </c>
      <c r="AR467" s="223">
        <v>125</v>
      </c>
      <c r="AS467" s="297">
        <f t="shared" si="244"/>
        <v>125</v>
      </c>
      <c r="AT467" s="290">
        <v>42129</v>
      </c>
      <c r="AU467" s="298"/>
      <c r="AV467"/>
      <c r="AW467"/>
      <c r="AX467"/>
      <c r="AY467"/>
      <c r="AZ467"/>
      <c r="BA467"/>
      <c r="BB467"/>
      <c r="BC467"/>
      <c r="BD467"/>
      <c r="BE467"/>
      <c r="BF467" s="277">
        <v>-2.1203019618988037</v>
      </c>
      <c r="BG467" s="283">
        <v>42234</v>
      </c>
      <c r="BH467"/>
      <c r="BI467"/>
      <c r="BJ467"/>
      <c r="BK467"/>
      <c r="BL467" s="277">
        <v>62.578819274902344</v>
      </c>
      <c r="BM467" s="283">
        <v>42234</v>
      </c>
      <c r="BN467"/>
      <c r="BO467"/>
      <c r="BP467" s="277">
        <v>3.1314539909362793</v>
      </c>
      <c r="BQ467" s="283">
        <v>42234</v>
      </c>
      <c r="BR467" s="277">
        <v>52.922466278076172</v>
      </c>
      <c r="BS467" s="283">
        <v>42234</v>
      </c>
      <c r="BT467" s="277">
        <v>15.686400413513184</v>
      </c>
      <c r="BU467" s="283">
        <v>42234</v>
      </c>
      <c r="BV467" s="277">
        <v>9.987513542175293</v>
      </c>
      <c r="BW467" s="283">
        <v>42234</v>
      </c>
      <c r="BX467" s="277">
        <v>5.3161849975585937</v>
      </c>
      <c r="BY467" s="283">
        <v>42234</v>
      </c>
      <c r="BZ467"/>
      <c r="CB467" s="266">
        <v>2.42</v>
      </c>
      <c r="CC467"/>
      <c r="CD467" s="277">
        <v>3.3898305084745792</v>
      </c>
      <c r="CE467" s="291" t="s">
        <v>8400</v>
      </c>
      <c r="CF467"/>
      <c r="CG467"/>
      <c r="CH467">
        <v>2</v>
      </c>
      <c r="CI467">
        <v>2</v>
      </c>
      <c r="CK467"/>
      <c r="CL467"/>
      <c r="CM467" s="259">
        <v>42161</v>
      </c>
      <c r="CN467" s="137" t="s">
        <v>8406</v>
      </c>
    </row>
    <row r="468" spans="1:93">
      <c r="A468" s="258">
        <v>771</v>
      </c>
      <c r="B468" s="235">
        <v>771</v>
      </c>
      <c r="C468" s="235" t="s">
        <v>7712</v>
      </c>
      <c r="D468" s="235" t="s">
        <v>259</v>
      </c>
      <c r="E468" s="235" t="s">
        <v>7712</v>
      </c>
      <c r="F468" s="235" t="s">
        <v>8510</v>
      </c>
      <c r="G468" s="235" t="str">
        <f t="shared" si="238"/>
        <v>Rapsodyn</v>
      </c>
      <c r="H468" s="235" t="s">
        <v>265</v>
      </c>
      <c r="I468" s="235">
        <v>2</v>
      </c>
      <c r="J468" s="235">
        <v>9094</v>
      </c>
      <c r="K468" s="235">
        <v>41</v>
      </c>
      <c r="L468" s="235">
        <f t="shared" ref="L468:L503" si="245">K468</f>
        <v>41</v>
      </c>
      <c r="M468" s="235">
        <v>11</v>
      </c>
      <c r="N468" s="235">
        <v>7</v>
      </c>
      <c r="O468" s="248">
        <v>42048</v>
      </c>
      <c r="P468">
        <v>4.8499999999999996</v>
      </c>
      <c r="Q468" s="264">
        <v>42204</v>
      </c>
      <c r="R468"/>
      <c r="S468"/>
      <c r="T468"/>
      <c r="V468" s="219">
        <f t="shared" si="239"/>
        <v>15.53226946856452</v>
      </c>
      <c r="W468" s="219"/>
      <c r="X468">
        <v>15.55</v>
      </c>
      <c r="Y468"/>
      <c r="Z468"/>
      <c r="AA468"/>
      <c r="AB468" s="220">
        <f t="shared" si="240"/>
        <v>4.6360390616670326</v>
      </c>
      <c r="AC468" s="219"/>
      <c r="AD468" s="221">
        <f t="shared" si="241"/>
        <v>66338.802994751532</v>
      </c>
      <c r="AE468" s="219"/>
      <c r="AF468" s="220">
        <f t="shared" si="242"/>
        <v>29.454428529669684</v>
      </c>
      <c r="AG468" s="219"/>
      <c r="AH468" s="220">
        <f t="shared" si="243"/>
        <v>33.028065182406003</v>
      </c>
      <c r="AI468" s="219"/>
      <c r="AJ468">
        <v>4.4400000000000004</v>
      </c>
      <c r="AK468" s="284" t="s">
        <v>8401</v>
      </c>
      <c r="AL468">
        <v>145</v>
      </c>
      <c r="AM468"/>
      <c r="AN468" s="241">
        <v>70</v>
      </c>
      <c r="AO468" s="242">
        <v>42074</v>
      </c>
      <c r="AP468" s="255">
        <v>100</v>
      </c>
      <c r="AQ468" s="242">
        <v>42104</v>
      </c>
      <c r="AR468" s="223">
        <v>123</v>
      </c>
      <c r="AS468" s="297">
        <f t="shared" si="244"/>
        <v>123</v>
      </c>
      <c r="AT468" s="290">
        <v>42127</v>
      </c>
      <c r="AU468" s="298"/>
      <c r="AV468"/>
      <c r="AW468"/>
      <c r="AX468"/>
      <c r="AY468"/>
      <c r="AZ468"/>
      <c r="BA468"/>
      <c r="BB468"/>
      <c r="BC468"/>
      <c r="BD468"/>
      <c r="BE468"/>
      <c r="BF468" s="277">
        <v>-1.5842230319976807</v>
      </c>
      <c r="BG468" s="283">
        <v>42233</v>
      </c>
      <c r="BH468"/>
      <c r="BI468"/>
      <c r="BJ468"/>
      <c r="BK468"/>
      <c r="BL468" s="277">
        <v>62.880596160888672</v>
      </c>
      <c r="BM468" s="283">
        <v>42233</v>
      </c>
      <c r="BN468"/>
      <c r="BO468"/>
      <c r="BP468" s="277">
        <v>3.5595860481262207</v>
      </c>
      <c r="BQ468" s="283">
        <v>42233</v>
      </c>
      <c r="BR468" s="277">
        <v>52.733222961425781</v>
      </c>
      <c r="BS468" s="283">
        <v>42233</v>
      </c>
      <c r="BT468" s="277">
        <v>15.739701271057129</v>
      </c>
      <c r="BU468" s="283">
        <v>42233</v>
      </c>
      <c r="BV468" s="277">
        <v>11.42683219909668</v>
      </c>
      <c r="BW468" s="283">
        <v>42233</v>
      </c>
      <c r="BX468" s="277">
        <v>4.9214553833007812</v>
      </c>
      <c r="BY468" s="283">
        <v>42233</v>
      </c>
      <c r="BZ468"/>
      <c r="CB468" s="266">
        <v>2.69</v>
      </c>
      <c r="CC468"/>
      <c r="CD468" s="277">
        <v>3.6363636363636398</v>
      </c>
      <c r="CE468" s="291" t="s">
        <v>8401</v>
      </c>
      <c r="CF468"/>
      <c r="CG468"/>
      <c r="CH468">
        <v>2</v>
      </c>
      <c r="CI468">
        <v>3</v>
      </c>
      <c r="CK468"/>
      <c r="CL468"/>
      <c r="CM468" s="259">
        <v>42161</v>
      </c>
      <c r="CN468" s="137" t="s">
        <v>8406</v>
      </c>
    </row>
    <row r="469" spans="1:93">
      <c r="A469" s="258">
        <v>772</v>
      </c>
      <c r="B469" s="236">
        <v>772</v>
      </c>
      <c r="C469" s="235" t="s">
        <v>7661</v>
      </c>
      <c r="D469" s="235" t="s">
        <v>7491</v>
      </c>
      <c r="E469" s="235" t="s">
        <v>7661</v>
      </c>
      <c r="F469" s="235" t="s">
        <v>8445</v>
      </c>
      <c r="G469" s="235" t="str">
        <f t="shared" si="238"/>
        <v>Rapsodyn</v>
      </c>
      <c r="H469" s="235" t="s">
        <v>265</v>
      </c>
      <c r="I469" s="235">
        <v>2</v>
      </c>
      <c r="J469" s="235">
        <v>9044</v>
      </c>
      <c r="K469" s="235">
        <v>42</v>
      </c>
      <c r="L469" s="235">
        <f t="shared" si="245"/>
        <v>42</v>
      </c>
      <c r="M469" s="235">
        <v>11</v>
      </c>
      <c r="N469" s="235">
        <v>7</v>
      </c>
      <c r="O469" s="248">
        <v>42048</v>
      </c>
      <c r="P469">
        <v>3.9</v>
      </c>
      <c r="Q469" s="264">
        <v>42204</v>
      </c>
      <c r="R469"/>
      <c r="S469"/>
      <c r="T469"/>
      <c r="V469" s="219">
        <f t="shared" si="239"/>
        <v>11.613465981733695</v>
      </c>
      <c r="W469" s="219"/>
      <c r="X469">
        <v>15.55</v>
      </c>
      <c r="Y469"/>
      <c r="Z469"/>
      <c r="AA469"/>
      <c r="AB469" s="220">
        <f t="shared" si="240"/>
        <v>3.9374282366921509</v>
      </c>
      <c r="AC469" s="219"/>
      <c r="AD469" s="221">
        <f t="shared" si="241"/>
        <v>65880.994633282171</v>
      </c>
      <c r="AE469" s="219"/>
      <c r="AF469" s="220">
        <f t="shared" si="242"/>
        <v>23.651277073348297</v>
      </c>
      <c r="AG469" s="219"/>
      <c r="AH469" s="220">
        <f t="shared" si="243"/>
        <v>26.520830986037563</v>
      </c>
      <c r="AI469" s="219"/>
      <c r="AJ469">
        <v>3.59</v>
      </c>
      <c r="AK469" s="284" t="s">
        <v>8401</v>
      </c>
      <c r="AL469">
        <v>155</v>
      </c>
      <c r="AM469"/>
      <c r="AN469" s="241">
        <v>72</v>
      </c>
      <c r="AO469" s="242">
        <v>42076</v>
      </c>
      <c r="AP469" s="255">
        <v>110</v>
      </c>
      <c r="AQ469" s="242">
        <v>42114</v>
      </c>
      <c r="AR469" s="223">
        <v>133</v>
      </c>
      <c r="AS469" s="297">
        <f t="shared" si="244"/>
        <v>133</v>
      </c>
      <c r="AT469" s="290">
        <v>42137</v>
      </c>
      <c r="AU469" s="298"/>
      <c r="AV469"/>
      <c r="AW469"/>
      <c r="AX469"/>
      <c r="AY469"/>
      <c r="AZ469"/>
      <c r="BA469"/>
      <c r="BB469"/>
      <c r="BC469"/>
      <c r="BD469"/>
      <c r="BE469"/>
      <c r="BF469" s="277">
        <v>3.4545919895172119</v>
      </c>
      <c r="BG469" s="283">
        <v>42233</v>
      </c>
      <c r="BH469"/>
      <c r="BI469"/>
      <c r="BJ469"/>
      <c r="BK469"/>
      <c r="BL469" s="277">
        <v>62.941757202148437</v>
      </c>
      <c r="BM469" s="283">
        <v>42233</v>
      </c>
      <c r="BN469"/>
      <c r="BO469"/>
      <c r="BP469" s="277">
        <v>3.5814549922943115</v>
      </c>
      <c r="BQ469" s="283">
        <v>42233</v>
      </c>
      <c r="BR469" s="277">
        <v>49.102912902832031</v>
      </c>
      <c r="BS469" s="283">
        <v>42233</v>
      </c>
      <c r="BT469" s="277">
        <v>16.647846221923828</v>
      </c>
      <c r="BU469" s="283">
        <v>42233</v>
      </c>
      <c r="BV469" s="277">
        <v>16.462718963623047</v>
      </c>
      <c r="BW469" s="283">
        <v>42233</v>
      </c>
      <c r="BX469" s="277">
        <v>5.2381515502929687</v>
      </c>
      <c r="BY469" s="283">
        <v>42233</v>
      </c>
      <c r="BZ469"/>
      <c r="CB469" s="266">
        <v>2.2000000000000002</v>
      </c>
      <c r="CC469"/>
      <c r="CD469" s="277">
        <v>3.7735849056603805</v>
      </c>
      <c r="CE469" s="291" t="s">
        <v>8401</v>
      </c>
      <c r="CF469"/>
      <c r="CG469"/>
      <c r="CH469">
        <v>2</v>
      </c>
      <c r="CI469">
        <v>8</v>
      </c>
      <c r="CK469"/>
      <c r="CL469"/>
      <c r="CM469" s="259">
        <v>42161</v>
      </c>
      <c r="CO469" s="137" t="s">
        <v>8405</v>
      </c>
    </row>
    <row r="470" spans="1:93">
      <c r="A470" s="258">
        <v>774</v>
      </c>
      <c r="B470" s="235">
        <v>774</v>
      </c>
      <c r="C470" s="235" t="s">
        <v>7696</v>
      </c>
      <c r="D470" s="235" t="s">
        <v>7522</v>
      </c>
      <c r="E470" s="235" t="s">
        <v>7696</v>
      </c>
      <c r="F470" s="235" t="s">
        <v>8443</v>
      </c>
      <c r="G470" s="235" t="str">
        <f t="shared" si="238"/>
        <v>Rapsodyn</v>
      </c>
      <c r="H470" s="235" t="s">
        <v>265</v>
      </c>
      <c r="I470" s="235">
        <v>2</v>
      </c>
      <c r="J470" s="235">
        <v>9078</v>
      </c>
      <c r="K470" s="235">
        <v>44</v>
      </c>
      <c r="L470" s="235">
        <f t="shared" si="245"/>
        <v>44</v>
      </c>
      <c r="M470" s="235">
        <v>11</v>
      </c>
      <c r="N470" s="235">
        <v>5</v>
      </c>
      <c r="O470" s="248">
        <v>42048</v>
      </c>
      <c r="P470" s="223">
        <v>5.7</v>
      </c>
      <c r="Q470" s="264">
        <v>42204</v>
      </c>
      <c r="R470" s="223"/>
      <c r="S470" s="223"/>
      <c r="T470" s="223"/>
      <c r="U470" s="225"/>
      <c r="V470" s="219">
        <f t="shared" si="239"/>
        <v>16.520505987823586</v>
      </c>
      <c r="W470" s="224"/>
      <c r="X470">
        <v>15.55</v>
      </c>
      <c r="Y470" s="223"/>
      <c r="Z470" s="223"/>
      <c r="AA470" s="223"/>
      <c r="AB470" s="220">
        <f t="shared" si="240"/>
        <v>5.1221540102698047</v>
      </c>
      <c r="AC470" s="224"/>
      <c r="AD470" s="221">
        <f t="shared" si="241"/>
        <v>71524.473791113851</v>
      </c>
      <c r="AE470" s="224"/>
      <c r="AF470" s="220">
        <f t="shared" si="242"/>
        <v>33.401929260450167</v>
      </c>
      <c r="AG470" s="224"/>
      <c r="AH470" s="220">
        <f t="shared" si="243"/>
        <v>37.454506907883115</v>
      </c>
      <c r="AI470" s="224"/>
      <c r="AJ470">
        <v>4.67</v>
      </c>
      <c r="AK470" s="290" t="s">
        <v>8403</v>
      </c>
      <c r="AL470" s="223">
        <v>155</v>
      </c>
      <c r="AM470" s="223"/>
      <c r="AN470" s="241">
        <v>70</v>
      </c>
      <c r="AO470" s="242">
        <v>42074</v>
      </c>
      <c r="AP470" s="255">
        <v>104</v>
      </c>
      <c r="AQ470" s="242">
        <v>42108</v>
      </c>
      <c r="AR470" s="223">
        <v>123</v>
      </c>
      <c r="AS470" s="297">
        <f t="shared" si="244"/>
        <v>123</v>
      </c>
      <c r="AT470" s="290">
        <v>42127</v>
      </c>
      <c r="AU470" s="298"/>
      <c r="AV470" s="223"/>
      <c r="AW470" s="223"/>
      <c r="AX470" s="223"/>
      <c r="AY470" s="223"/>
      <c r="AZ470" s="223"/>
      <c r="BA470" s="223"/>
      <c r="BB470" s="223"/>
      <c r="BC470" s="223"/>
      <c r="BD470" s="223"/>
      <c r="BE470" s="223"/>
      <c r="BF470" s="281">
        <v>-0.55228400230407715</v>
      </c>
      <c r="BG470" s="283">
        <v>42230</v>
      </c>
      <c r="BH470" s="223"/>
      <c r="BI470" s="223"/>
      <c r="BJ470" s="223"/>
      <c r="BK470" s="223"/>
      <c r="BL470" s="281">
        <v>61.691471099853516</v>
      </c>
      <c r="BM470" s="283">
        <v>42230</v>
      </c>
      <c r="BN470" s="223"/>
      <c r="BO470" s="223"/>
      <c r="BP470" s="281">
        <v>3.1359920501708984</v>
      </c>
      <c r="BQ470" s="283">
        <v>42230</v>
      </c>
      <c r="BR470" s="281">
        <v>49.459735870361328</v>
      </c>
      <c r="BS470" s="283">
        <v>42230</v>
      </c>
      <c r="BT470" s="281">
        <v>15.334904670715332</v>
      </c>
      <c r="BU470" s="283">
        <v>42230</v>
      </c>
      <c r="BV470" s="281">
        <v>11.203055381774902</v>
      </c>
      <c r="BW470" s="283">
        <v>42230</v>
      </c>
      <c r="BX470" s="281">
        <v>5.3262252807617187</v>
      </c>
      <c r="BY470" s="283">
        <v>42230</v>
      </c>
      <c r="BZ470" s="223"/>
      <c r="CA470" s="226"/>
      <c r="CB470" s="266">
        <v>2.4</v>
      </c>
      <c r="CC470" s="223"/>
      <c r="CD470" s="281">
        <v>7.0175438596491295</v>
      </c>
      <c r="CE470" s="291" t="s">
        <v>8403</v>
      </c>
      <c r="CF470" s="223"/>
      <c r="CG470" s="223"/>
      <c r="CH470" s="223">
        <v>3</v>
      </c>
      <c r="CI470" s="223">
        <v>5</v>
      </c>
      <c r="CK470" s="223"/>
      <c r="CL470" s="223"/>
      <c r="CM470" s="259">
        <v>42161</v>
      </c>
      <c r="CN470" s="137" t="s">
        <v>8406</v>
      </c>
    </row>
    <row r="471" spans="1:93">
      <c r="A471" s="258">
        <v>776</v>
      </c>
      <c r="B471" s="235">
        <v>776</v>
      </c>
      <c r="C471" s="235" t="s">
        <v>7774</v>
      </c>
      <c r="D471" s="235" t="s">
        <v>7572</v>
      </c>
      <c r="E471" s="235" t="s">
        <v>7774</v>
      </c>
      <c r="F471" s="235" t="s">
        <v>8617</v>
      </c>
      <c r="G471" s="235" t="str">
        <f t="shared" si="238"/>
        <v>Rapsodyn</v>
      </c>
      <c r="H471" s="235" t="s">
        <v>265</v>
      </c>
      <c r="I471" s="235">
        <v>2</v>
      </c>
      <c r="J471" s="235">
        <v>9145</v>
      </c>
      <c r="K471" s="235">
        <v>46</v>
      </c>
      <c r="L471" s="235">
        <f t="shared" si="245"/>
        <v>46</v>
      </c>
      <c r="M471" s="235">
        <v>11</v>
      </c>
      <c r="N471" s="235">
        <v>7</v>
      </c>
      <c r="O471" s="248">
        <v>42048</v>
      </c>
      <c r="P471">
        <v>4.9000000000000004</v>
      </c>
      <c r="Q471" s="264">
        <v>42204</v>
      </c>
      <c r="R471"/>
      <c r="S471"/>
      <c r="T471"/>
      <c r="V471" s="219">
        <f t="shared" si="239"/>
        <v>15.474994560491185</v>
      </c>
      <c r="W471" s="219"/>
      <c r="X471">
        <v>15.55</v>
      </c>
      <c r="Y471"/>
      <c r="Z471"/>
      <c r="AA471"/>
      <c r="AB471" s="220">
        <f t="shared" si="240"/>
        <v>4.6817802952050895</v>
      </c>
      <c r="AC471" s="219"/>
      <c r="AD471" s="221">
        <f t="shared" si="241"/>
        <v>58717.767471959611</v>
      </c>
      <c r="AE471" s="219"/>
      <c r="AF471" s="220">
        <f t="shared" si="242"/>
        <v>30.298368015531157</v>
      </c>
      <c r="AG471" s="219"/>
      <c r="AH471" s="220">
        <f t="shared" si="243"/>
        <v>33.974397864466425</v>
      </c>
      <c r="AI471" s="219"/>
      <c r="AJ471">
        <v>5.16</v>
      </c>
      <c r="AK471" s="284" t="s">
        <v>8398</v>
      </c>
      <c r="AL471">
        <v>160</v>
      </c>
      <c r="AM471"/>
      <c r="AN471" s="241">
        <v>70</v>
      </c>
      <c r="AO471" s="242">
        <v>42074</v>
      </c>
      <c r="AP471" s="255">
        <v>104</v>
      </c>
      <c r="AQ471" s="242">
        <v>42108</v>
      </c>
      <c r="AR471" s="223">
        <v>123</v>
      </c>
      <c r="AS471" s="297">
        <f t="shared" si="244"/>
        <v>123</v>
      </c>
      <c r="AT471" s="290">
        <v>42127</v>
      </c>
      <c r="AU471" s="298"/>
      <c r="AV471"/>
      <c r="AW471"/>
      <c r="AX471"/>
      <c r="AY471"/>
      <c r="AZ471"/>
      <c r="BA471"/>
      <c r="BB471"/>
      <c r="BC471"/>
      <c r="BD471"/>
      <c r="BE471"/>
      <c r="BF471" s="277">
        <v>-1.3484519720077515</v>
      </c>
      <c r="BG471" s="283">
        <v>42233</v>
      </c>
      <c r="BH471"/>
      <c r="BI471"/>
      <c r="BJ471"/>
      <c r="BK471"/>
      <c r="BL471" s="277">
        <v>61.658378601074219</v>
      </c>
      <c r="BM471" s="283">
        <v>42233</v>
      </c>
      <c r="BN471"/>
      <c r="BO471"/>
      <c r="BP471" s="277">
        <v>3.426084041595459</v>
      </c>
      <c r="BQ471" s="283">
        <v>42233</v>
      </c>
      <c r="BR471" s="277">
        <v>51.075340270996094</v>
      </c>
      <c r="BS471" s="283">
        <v>42233</v>
      </c>
      <c r="BT471" s="277">
        <v>15.452252388000488</v>
      </c>
      <c r="BU471" s="283">
        <v>42233</v>
      </c>
      <c r="BV471" s="277">
        <v>14.002650260925293</v>
      </c>
      <c r="BW471" s="283">
        <v>42233</v>
      </c>
      <c r="BX471" s="277">
        <v>5.1721954345703125</v>
      </c>
      <c r="BY471" s="283">
        <v>42233</v>
      </c>
      <c r="BZ471"/>
      <c r="CB471" s="266">
        <v>1.97</v>
      </c>
      <c r="CC471"/>
      <c r="CD471" s="277">
        <v>1.886792452830182</v>
      </c>
      <c r="CE471" s="291" t="s">
        <v>8398</v>
      </c>
      <c r="CF471"/>
      <c r="CG471"/>
      <c r="CH471">
        <v>1</v>
      </c>
      <c r="CI471">
        <v>4</v>
      </c>
      <c r="CK471"/>
      <c r="CL471">
        <v>2</v>
      </c>
      <c r="CM471" s="259">
        <v>42161</v>
      </c>
      <c r="CN471" s="137" t="s">
        <v>8406</v>
      </c>
    </row>
    <row r="472" spans="1:93">
      <c r="A472" s="258">
        <v>779</v>
      </c>
      <c r="B472" s="235">
        <v>779</v>
      </c>
      <c r="C472" s="235" t="s">
        <v>7576</v>
      </c>
      <c r="D472" s="235"/>
      <c r="E472" s="235"/>
      <c r="F472" s="235"/>
      <c r="G472" s="235"/>
      <c r="H472" s="235" t="s">
        <v>265</v>
      </c>
      <c r="I472" s="235">
        <v>2</v>
      </c>
      <c r="K472" s="235">
        <v>49</v>
      </c>
      <c r="L472" s="235">
        <f t="shared" si="245"/>
        <v>49</v>
      </c>
      <c r="M472" s="235">
        <v>11</v>
      </c>
      <c r="O472" s="248">
        <v>42048</v>
      </c>
      <c r="P472"/>
      <c r="Q472" s="219"/>
      <c r="R472"/>
      <c r="S472"/>
      <c r="T472"/>
      <c r="V472" s="219"/>
      <c r="W472" s="219"/>
      <c r="X472">
        <v>15.55</v>
      </c>
      <c r="Y472"/>
      <c r="Z472"/>
      <c r="AA472"/>
      <c r="AB472" s="220"/>
      <c r="AC472" s="219"/>
      <c r="AD472" s="221"/>
      <c r="AE472" s="219"/>
      <c r="AF472" s="220"/>
      <c r="AG472" s="219"/>
      <c r="AH472" s="220"/>
      <c r="AI472" s="219"/>
      <c r="AJ472" s="286"/>
      <c r="AK472" s="284"/>
      <c r="AL472"/>
      <c r="AM472"/>
      <c r="AN472" s="241">
        <v>70</v>
      </c>
      <c r="AO472" s="242">
        <v>42074</v>
      </c>
      <c r="AP472" s="255">
        <v>104</v>
      </c>
      <c r="AQ472" s="242">
        <v>42108</v>
      </c>
      <c r="AR472"/>
      <c r="AS472" s="297"/>
      <c r="AT472" s="290"/>
      <c r="AU472" s="298"/>
      <c r="AV472"/>
      <c r="AW472"/>
      <c r="AX472"/>
      <c r="AY472"/>
      <c r="AZ472"/>
      <c r="BA472"/>
      <c r="BB472"/>
      <c r="BC472"/>
      <c r="BD472"/>
      <c r="BE472"/>
      <c r="BF472" s="277"/>
      <c r="BG472" s="235"/>
      <c r="BH472"/>
      <c r="BI472"/>
      <c r="BJ472"/>
      <c r="BK472"/>
      <c r="BL472" s="277"/>
      <c r="BM472" s="235"/>
      <c r="BN472"/>
      <c r="BO472"/>
      <c r="BP472" s="277"/>
      <c r="BQ472" s="235"/>
      <c r="BR472" s="277"/>
      <c r="BS472" s="235"/>
      <c r="BT472" s="277"/>
      <c r="BU472" s="235"/>
      <c r="BV472" s="277"/>
      <c r="BW472" s="235"/>
      <c r="BX472" s="277"/>
      <c r="BY472" s="235"/>
      <c r="BZ472"/>
      <c r="CB472" s="266"/>
      <c r="CC472"/>
      <c r="CD472" s="277"/>
      <c r="CE472" s="291"/>
      <c r="CF472"/>
      <c r="CG472"/>
      <c r="CH472"/>
      <c r="CI472"/>
      <c r="CK472"/>
      <c r="CL472"/>
      <c r="CM472" s="259">
        <v>42161</v>
      </c>
    </row>
    <row r="473" spans="1:93">
      <c r="A473" s="258">
        <v>780</v>
      </c>
      <c r="B473" s="235">
        <v>780</v>
      </c>
      <c r="C473" s="235" t="s">
        <v>7576</v>
      </c>
      <c r="D473" s="235"/>
      <c r="E473" s="235"/>
      <c r="F473" s="235"/>
      <c r="G473" s="235"/>
      <c r="H473" s="235" t="s">
        <v>265</v>
      </c>
      <c r="I473" s="235">
        <v>2</v>
      </c>
      <c r="K473" s="235">
        <v>50</v>
      </c>
      <c r="L473" s="235">
        <f t="shared" si="245"/>
        <v>50</v>
      </c>
      <c r="M473" s="235">
        <v>11</v>
      </c>
      <c r="O473" s="248">
        <v>42048</v>
      </c>
      <c r="P473"/>
      <c r="Q473" s="219"/>
      <c r="R473"/>
      <c r="S473"/>
      <c r="T473"/>
      <c r="V473" s="219"/>
      <c r="W473" s="219"/>
      <c r="X473">
        <v>15.55</v>
      </c>
      <c r="Y473"/>
      <c r="Z473"/>
      <c r="AA473"/>
      <c r="AB473" s="220"/>
      <c r="AC473" s="219"/>
      <c r="AD473" s="221"/>
      <c r="AE473" s="219"/>
      <c r="AF473" s="220"/>
      <c r="AG473" s="219"/>
      <c r="AH473" s="220"/>
      <c r="AI473" s="219"/>
      <c r="AJ473" s="286"/>
      <c r="AK473" s="284"/>
      <c r="AL473"/>
      <c r="AM473"/>
      <c r="AN473" s="241">
        <v>70</v>
      </c>
      <c r="AO473" s="242">
        <v>42074</v>
      </c>
      <c r="AP473" s="255">
        <v>104</v>
      </c>
      <c r="AQ473" s="242">
        <v>42108</v>
      </c>
      <c r="AR473"/>
      <c r="AS473" s="297"/>
      <c r="AT473" s="290"/>
      <c r="AU473" s="298"/>
      <c r="AV473"/>
      <c r="AW473"/>
      <c r="AX473"/>
      <c r="AY473"/>
      <c r="AZ473"/>
      <c r="BA473"/>
      <c r="BB473"/>
      <c r="BC473"/>
      <c r="BD473"/>
      <c r="BE473"/>
      <c r="BF473" s="277"/>
      <c r="BG473" s="235"/>
      <c r="BH473"/>
      <c r="BI473"/>
      <c r="BJ473"/>
      <c r="BK473"/>
      <c r="BL473" s="277"/>
      <c r="BM473" s="235"/>
      <c r="BN473"/>
      <c r="BO473"/>
      <c r="BP473" s="277"/>
      <c r="BQ473" s="235"/>
      <c r="BR473" s="277"/>
      <c r="BS473" s="235"/>
      <c r="BT473" s="277"/>
      <c r="BU473" s="235"/>
      <c r="BV473" s="277"/>
      <c r="BW473" s="235"/>
      <c r="BX473" s="277"/>
      <c r="BY473" s="235"/>
      <c r="BZ473"/>
      <c r="CB473" s="266"/>
      <c r="CC473"/>
      <c r="CD473" s="277"/>
      <c r="CE473" s="291"/>
      <c r="CF473"/>
      <c r="CG473"/>
      <c r="CH473"/>
      <c r="CI473"/>
      <c r="CK473"/>
      <c r="CL473">
        <v>1</v>
      </c>
      <c r="CM473" s="259">
        <v>42161</v>
      </c>
    </row>
    <row r="474" spans="1:93">
      <c r="A474" s="258">
        <v>781</v>
      </c>
      <c r="B474" s="235">
        <v>781</v>
      </c>
      <c r="C474" s="235" t="s">
        <v>7743</v>
      </c>
      <c r="D474" s="235" t="s">
        <v>8417</v>
      </c>
      <c r="E474" s="235" t="s">
        <v>7743</v>
      </c>
      <c r="F474" s="235" t="s">
        <v>8535</v>
      </c>
      <c r="G474" s="235" t="str">
        <f t="shared" ref="G474:G483" si="246">IF(MID(C474,1,3)="BGA","Complement","Rapsodyn")</f>
        <v>Rapsodyn</v>
      </c>
      <c r="H474" s="235" t="s">
        <v>265</v>
      </c>
      <c r="I474" s="235">
        <v>2</v>
      </c>
      <c r="J474" s="235">
        <v>9121</v>
      </c>
      <c r="K474" s="235">
        <v>51</v>
      </c>
      <c r="L474" s="235">
        <f t="shared" si="245"/>
        <v>51</v>
      </c>
      <c r="M474" s="235">
        <v>11</v>
      </c>
      <c r="N474" s="235">
        <v>5</v>
      </c>
      <c r="O474" s="248">
        <v>42048</v>
      </c>
      <c r="P474">
        <v>3.4</v>
      </c>
      <c r="Q474" s="264">
        <v>42204</v>
      </c>
      <c r="R474"/>
      <c r="S474"/>
      <c r="T474"/>
      <c r="V474" s="219">
        <f t="shared" ref="V474:V483" si="247">+BR474*AF474/100</f>
        <v>10.56075653194601</v>
      </c>
      <c r="W474" s="219"/>
      <c r="X474">
        <v>15.55</v>
      </c>
      <c r="Y474"/>
      <c r="Z474"/>
      <c r="AA474"/>
      <c r="AB474" s="220">
        <f t="shared" ref="AB474:AB483" si="248">+AF474*BT474/100</f>
        <v>3.7563486643215009</v>
      </c>
      <c r="AC474" s="219"/>
      <c r="AD474" s="221">
        <f t="shared" ref="AD474:AD483" si="249">+(AF474/AJ474)*10000</f>
        <v>45270.827475087222</v>
      </c>
      <c r="AE474" s="219"/>
      <c r="AF474" s="220">
        <f t="shared" ref="AF474:AF483" si="250">($P474/$X474)*(((100-$CD474)/100*(100-2)/100))*100</f>
        <v>20.688768156114865</v>
      </c>
      <c r="AG474" s="219"/>
      <c r="AH474" s="220">
        <f t="shared" ref="AH474:AH483" si="251">($P474/$X474)*(((100-$CD474)/(100-9)*(100-2)/(100-2))*100)</f>
        <v>23.198887818025192</v>
      </c>
      <c r="AI474" s="219"/>
      <c r="AJ474">
        <v>4.57</v>
      </c>
      <c r="AK474" s="284" t="s">
        <v>8401</v>
      </c>
      <c r="AL474">
        <v>165</v>
      </c>
      <c r="AM474"/>
      <c r="AN474" s="241">
        <v>75</v>
      </c>
      <c r="AO474" s="242">
        <v>42079</v>
      </c>
      <c r="AP474" s="255">
        <v>110</v>
      </c>
      <c r="AQ474" s="242">
        <v>42114</v>
      </c>
      <c r="AR474" s="223">
        <v>133</v>
      </c>
      <c r="AS474" s="297">
        <f t="shared" ref="AS474:AS483" si="252">IF(AR474=0,,AR474)</f>
        <v>133</v>
      </c>
      <c r="AT474" s="290">
        <v>42137</v>
      </c>
      <c r="AU474" s="298"/>
      <c r="AV474"/>
      <c r="AW474"/>
      <c r="AX474"/>
      <c r="AY474"/>
      <c r="AZ474"/>
      <c r="BA474"/>
      <c r="BB474"/>
      <c r="BC474"/>
      <c r="BD474"/>
      <c r="BE474"/>
      <c r="BF474" s="277">
        <v>34.548477172851562</v>
      </c>
      <c r="BG474" s="283">
        <v>42233</v>
      </c>
      <c r="BH474"/>
      <c r="BI474"/>
      <c r="BJ474"/>
      <c r="BK474"/>
      <c r="BL474" s="277">
        <v>59.096843719482422</v>
      </c>
      <c r="BM474" s="283">
        <v>42233</v>
      </c>
      <c r="BN474"/>
      <c r="BO474"/>
      <c r="BP474" s="277">
        <v>3.3110690116882324</v>
      </c>
      <c r="BQ474" s="283">
        <v>42233</v>
      </c>
      <c r="BR474" s="277">
        <v>51.045845031738281</v>
      </c>
      <c r="BS474" s="283">
        <v>42233</v>
      </c>
      <c r="BT474" s="277">
        <v>18.156463623046875</v>
      </c>
      <c r="BU474" s="283">
        <v>42233</v>
      </c>
      <c r="BV474" s="277">
        <v>64.631698608398438</v>
      </c>
      <c r="BW474" s="283">
        <v>42233</v>
      </c>
      <c r="BX474" s="277">
        <v>5.0925216674804687</v>
      </c>
      <c r="BY474" s="283">
        <v>42233</v>
      </c>
      <c r="BZ474"/>
      <c r="CB474" s="266">
        <v>1.81</v>
      </c>
      <c r="CC474"/>
      <c r="CD474" s="277">
        <v>3.4482758620689689</v>
      </c>
      <c r="CE474" s="291" t="s">
        <v>8401</v>
      </c>
      <c r="CF474"/>
      <c r="CG474"/>
      <c r="CH474">
        <v>4</v>
      </c>
      <c r="CI474">
        <v>3</v>
      </c>
      <c r="CK474"/>
      <c r="CL474">
        <v>4</v>
      </c>
      <c r="CM474" s="259">
        <v>42161</v>
      </c>
      <c r="CN474" s="137" t="s">
        <v>8406</v>
      </c>
    </row>
    <row r="475" spans="1:93">
      <c r="A475" s="258">
        <v>782</v>
      </c>
      <c r="B475" s="235">
        <v>782</v>
      </c>
      <c r="C475" s="235" t="s">
        <v>7805</v>
      </c>
      <c r="D475" s="235" t="s">
        <v>7599</v>
      </c>
      <c r="E475" s="235" t="s">
        <v>7805</v>
      </c>
      <c r="F475" s="235" t="s">
        <v>8579</v>
      </c>
      <c r="G475" s="235" t="str">
        <f t="shared" si="246"/>
        <v>Rapsodyn</v>
      </c>
      <c r="H475" s="235" t="s">
        <v>265</v>
      </c>
      <c r="I475" s="235">
        <v>2</v>
      </c>
      <c r="J475" s="235">
        <v>9176</v>
      </c>
      <c r="K475" s="235">
        <v>52</v>
      </c>
      <c r="L475" s="235">
        <f t="shared" si="245"/>
        <v>52</v>
      </c>
      <c r="M475" s="235">
        <v>11</v>
      </c>
      <c r="N475" s="235">
        <v>7</v>
      </c>
      <c r="O475" s="248">
        <v>42048</v>
      </c>
      <c r="P475" s="223">
        <v>6</v>
      </c>
      <c r="Q475" s="264">
        <v>42204</v>
      </c>
      <c r="R475" s="223"/>
      <c r="S475" s="223"/>
      <c r="T475" s="223"/>
      <c r="U475" s="225"/>
      <c r="V475" s="219">
        <f t="shared" si="247"/>
        <v>18.178868772616784</v>
      </c>
      <c r="W475" s="224"/>
      <c r="X475">
        <v>15.55</v>
      </c>
      <c r="Y475" s="223"/>
      <c r="Z475" s="223"/>
      <c r="AA475" s="223"/>
      <c r="AB475" s="220">
        <f t="shared" si="248"/>
        <v>5.5538780322149943</v>
      </c>
      <c r="AC475" s="224"/>
      <c r="AD475" s="221">
        <f t="shared" si="249"/>
        <v>81975.56146172712</v>
      </c>
      <c r="AE475" s="224"/>
      <c r="AF475" s="220">
        <f t="shared" si="250"/>
        <v>35.823320358774751</v>
      </c>
      <c r="AG475" s="224"/>
      <c r="AH475" s="220">
        <f t="shared" si="251"/>
        <v>40.169679702595595</v>
      </c>
      <c r="AI475" s="224"/>
      <c r="AJ475">
        <v>4.37</v>
      </c>
      <c r="AK475" s="290" t="s">
        <v>8401</v>
      </c>
      <c r="AL475" s="223">
        <v>150</v>
      </c>
      <c r="AM475" s="223"/>
      <c r="AN475" s="241">
        <v>65</v>
      </c>
      <c r="AO475" s="242">
        <v>42069</v>
      </c>
      <c r="AP475" s="255">
        <v>104</v>
      </c>
      <c r="AQ475" s="242">
        <v>42108</v>
      </c>
      <c r="AR475" s="223">
        <v>131</v>
      </c>
      <c r="AS475" s="297">
        <f t="shared" si="252"/>
        <v>131</v>
      </c>
      <c r="AT475" s="290">
        <v>42135</v>
      </c>
      <c r="AU475" s="298"/>
      <c r="AV475" s="223"/>
      <c r="AW475" s="223"/>
      <c r="AX475" s="223"/>
      <c r="AY475" s="223"/>
      <c r="AZ475" s="223"/>
      <c r="BA475" s="223"/>
      <c r="BB475" s="223"/>
      <c r="BC475" s="223"/>
      <c r="BD475" s="223"/>
      <c r="BE475" s="223"/>
      <c r="BF475" s="281">
        <v>-0.25277900695800781</v>
      </c>
      <c r="BG475" s="283">
        <v>42233</v>
      </c>
      <c r="BH475" s="223"/>
      <c r="BI475" s="223"/>
      <c r="BJ475" s="223"/>
      <c r="BK475" s="223"/>
      <c r="BL475" s="281">
        <v>64.47723388671875</v>
      </c>
      <c r="BM475" s="283">
        <v>42233</v>
      </c>
      <c r="BN475" s="223"/>
      <c r="BO475" s="223"/>
      <c r="BP475" s="281">
        <v>3.8286540508270264</v>
      </c>
      <c r="BQ475" s="283">
        <v>42233</v>
      </c>
      <c r="BR475" s="281">
        <v>50.745906829833984</v>
      </c>
      <c r="BS475" s="283">
        <v>42233</v>
      </c>
      <c r="BT475" s="281">
        <v>15.50352668762207</v>
      </c>
      <c r="BU475" s="283">
        <v>42233</v>
      </c>
      <c r="BV475" s="281">
        <v>10.994123458862305</v>
      </c>
      <c r="BW475" s="283">
        <v>42233</v>
      </c>
      <c r="BX475" s="281">
        <v>5.1756057739257812</v>
      </c>
      <c r="BY475" s="283">
        <v>42233</v>
      </c>
      <c r="BZ475" s="223"/>
      <c r="CA475" s="226"/>
      <c r="CB475" s="266">
        <v>1.93</v>
      </c>
      <c r="CC475" s="223"/>
      <c r="CD475" s="281">
        <v>5.2631578947368389</v>
      </c>
      <c r="CE475" s="291" t="s">
        <v>8401</v>
      </c>
      <c r="CF475" s="223"/>
      <c r="CG475" s="223"/>
      <c r="CH475" s="223">
        <v>2</v>
      </c>
      <c r="CI475" s="223">
        <v>2</v>
      </c>
      <c r="CK475" s="223"/>
      <c r="CL475" s="223"/>
      <c r="CM475" s="259">
        <v>42161</v>
      </c>
      <c r="CN475" s="137" t="s">
        <v>8406</v>
      </c>
    </row>
    <row r="476" spans="1:93">
      <c r="A476" s="258">
        <v>787</v>
      </c>
      <c r="B476" s="235">
        <v>787</v>
      </c>
      <c r="C476" s="235" t="s">
        <v>7718</v>
      </c>
      <c r="D476" s="235" t="s">
        <v>7542</v>
      </c>
      <c r="E476" s="235" t="s">
        <v>7718</v>
      </c>
      <c r="F476" s="235" t="s">
        <v>8613</v>
      </c>
      <c r="G476" s="235" t="str">
        <f t="shared" si="246"/>
        <v>Rapsodyn</v>
      </c>
      <c r="H476" s="235" t="s">
        <v>265</v>
      </c>
      <c r="I476" s="235">
        <v>2</v>
      </c>
      <c r="J476" s="235">
        <v>9100</v>
      </c>
      <c r="K476" s="235">
        <v>57</v>
      </c>
      <c r="L476" s="235">
        <f t="shared" si="245"/>
        <v>57</v>
      </c>
      <c r="M476" s="235">
        <v>11</v>
      </c>
      <c r="N476" s="235">
        <v>7</v>
      </c>
      <c r="O476" s="248">
        <v>42048</v>
      </c>
      <c r="P476">
        <v>4.75</v>
      </c>
      <c r="Q476" s="264">
        <v>42204</v>
      </c>
      <c r="R476"/>
      <c r="S476"/>
      <c r="T476"/>
      <c r="V476" s="219">
        <f t="shared" si="247"/>
        <v>14.219074126608502</v>
      </c>
      <c r="W476" s="219"/>
      <c r="X476">
        <v>15.55</v>
      </c>
      <c r="Y476"/>
      <c r="Z476"/>
      <c r="AA476"/>
      <c r="AB476" s="220">
        <f t="shared" si="248"/>
        <v>4.8850490512827456</v>
      </c>
      <c r="AC476" s="219"/>
      <c r="AD476" s="221">
        <f t="shared" si="249"/>
        <v>57085.605107414151</v>
      </c>
      <c r="AE476" s="219"/>
      <c r="AF476" s="220">
        <f t="shared" si="250"/>
        <v>28.885316184351556</v>
      </c>
      <c r="AG476" s="219"/>
      <c r="AH476" s="220">
        <f t="shared" si="251"/>
        <v>32.389903772540436</v>
      </c>
      <c r="AI476" s="219"/>
      <c r="AJ476">
        <v>5.0599999999999996</v>
      </c>
      <c r="AK476" s="284" t="s">
        <v>8401</v>
      </c>
      <c r="AL476">
        <v>170</v>
      </c>
      <c r="AM476"/>
      <c r="AN476" s="241">
        <v>65</v>
      </c>
      <c r="AO476" s="242">
        <v>42069</v>
      </c>
      <c r="AP476" s="255">
        <v>104</v>
      </c>
      <c r="AQ476" s="242">
        <v>42108</v>
      </c>
      <c r="AR476" s="223">
        <v>121</v>
      </c>
      <c r="AS476" s="297">
        <f t="shared" si="252"/>
        <v>121</v>
      </c>
      <c r="AT476" s="290">
        <v>42125</v>
      </c>
      <c r="AU476" s="298"/>
      <c r="AV476"/>
      <c r="AW476"/>
      <c r="AX476"/>
      <c r="AY476"/>
      <c r="AZ476"/>
      <c r="BA476"/>
      <c r="BB476"/>
      <c r="BC476"/>
      <c r="BD476"/>
      <c r="BE476"/>
      <c r="BF476" s="277">
        <v>-1.9219260215759277</v>
      </c>
      <c r="BG476" s="283">
        <v>42233</v>
      </c>
      <c r="BH476"/>
      <c r="BI476"/>
      <c r="BJ476"/>
      <c r="BK476"/>
      <c r="BL476" s="277">
        <v>64.441329956054687</v>
      </c>
      <c r="BM476" s="283">
        <v>42233</v>
      </c>
      <c r="BN476"/>
      <c r="BO476"/>
      <c r="BP476" s="277">
        <v>4.0171079635620117</v>
      </c>
      <c r="BQ476" s="283">
        <v>42233</v>
      </c>
      <c r="BR476" s="277">
        <v>49.225959777832031</v>
      </c>
      <c r="BS476" s="283">
        <v>42233</v>
      </c>
      <c r="BT476" s="277">
        <v>16.911876678466797</v>
      </c>
      <c r="BU476" s="283">
        <v>42233</v>
      </c>
      <c r="BV476" s="277">
        <v>10.83349609375</v>
      </c>
      <c r="BW476" s="283">
        <v>42233</v>
      </c>
      <c r="BX476" s="277">
        <v>5.5855178833007813</v>
      </c>
      <c r="BY476" s="283">
        <v>42233</v>
      </c>
      <c r="BZ476"/>
      <c r="CB476" s="266">
        <v>2.08</v>
      </c>
      <c r="CC476"/>
      <c r="CD476" s="277">
        <v>3.5087719298245648</v>
      </c>
      <c r="CE476" s="291" t="s">
        <v>8401</v>
      </c>
      <c r="CF476"/>
      <c r="CG476"/>
      <c r="CH476">
        <v>3</v>
      </c>
      <c r="CI476">
        <v>2</v>
      </c>
      <c r="CK476"/>
      <c r="CL476"/>
      <c r="CM476" s="259">
        <v>42161</v>
      </c>
      <c r="CN476" s="137" t="s">
        <v>8406</v>
      </c>
    </row>
    <row r="477" spans="1:93">
      <c r="A477" s="258">
        <v>789</v>
      </c>
      <c r="B477" s="235">
        <v>789</v>
      </c>
      <c r="C477" s="235" t="s">
        <v>7627</v>
      </c>
      <c r="D477" s="235" t="s">
        <v>7461</v>
      </c>
      <c r="E477" s="235" t="s">
        <v>7627</v>
      </c>
      <c r="F477" s="235" t="s">
        <v>8440</v>
      </c>
      <c r="G477" s="235" t="str">
        <f t="shared" si="246"/>
        <v>Rapsodyn</v>
      </c>
      <c r="H477" s="235" t="s">
        <v>265</v>
      </c>
      <c r="I477" s="235">
        <v>2</v>
      </c>
      <c r="J477" s="235">
        <v>9019</v>
      </c>
      <c r="K477" s="235">
        <v>59</v>
      </c>
      <c r="L477" s="235">
        <f t="shared" si="245"/>
        <v>59</v>
      </c>
      <c r="M477" s="235">
        <v>11</v>
      </c>
      <c r="N477" s="236">
        <v>5</v>
      </c>
      <c r="O477" s="248">
        <v>42048</v>
      </c>
      <c r="P477">
        <v>3.35</v>
      </c>
      <c r="Q477" s="264">
        <v>42204</v>
      </c>
      <c r="R477"/>
      <c r="S477"/>
      <c r="T477"/>
      <c r="V477" s="219">
        <f t="shared" si="247"/>
        <v>9.3174863861918062</v>
      </c>
      <c r="W477" s="219"/>
      <c r="X477">
        <v>15.55</v>
      </c>
      <c r="Y477"/>
      <c r="Z477"/>
      <c r="AA477"/>
      <c r="AB477" s="220">
        <f t="shared" si="248"/>
        <v>3.8516206786563543</v>
      </c>
      <c r="AC477" s="219"/>
      <c r="AD477" s="221">
        <f t="shared" si="249"/>
        <v>42423.590772864736</v>
      </c>
      <c r="AE477" s="219"/>
      <c r="AF477" s="220">
        <f t="shared" si="250"/>
        <v>19.981511254019292</v>
      </c>
      <c r="AG477" s="219"/>
      <c r="AH477" s="220">
        <f t="shared" si="251"/>
        <v>22.405821096680075</v>
      </c>
      <c r="AI477" s="219"/>
      <c r="AJ477">
        <v>4.71</v>
      </c>
      <c r="AK477" s="284" t="s">
        <v>8398</v>
      </c>
      <c r="AL477">
        <v>170</v>
      </c>
      <c r="AM477"/>
      <c r="AN477" s="241">
        <v>72</v>
      </c>
      <c r="AO477" s="242">
        <v>42076</v>
      </c>
      <c r="AP477" s="255">
        <v>106</v>
      </c>
      <c r="AQ477" s="242">
        <v>42110</v>
      </c>
      <c r="AR477" s="223">
        <v>141</v>
      </c>
      <c r="AS477" s="297">
        <f t="shared" si="252"/>
        <v>141</v>
      </c>
      <c r="AT477" s="290">
        <v>42145</v>
      </c>
      <c r="AU477" s="298"/>
      <c r="AV477"/>
      <c r="AW477"/>
      <c r="AX477"/>
      <c r="AY477"/>
      <c r="AZ477"/>
      <c r="BA477"/>
      <c r="BB477"/>
      <c r="BC477"/>
      <c r="BD477"/>
      <c r="BE477"/>
      <c r="BF477" s="277">
        <v>28.523248672485352</v>
      </c>
      <c r="BG477" s="283">
        <v>42230</v>
      </c>
      <c r="BH477"/>
      <c r="BI477"/>
      <c r="BJ477"/>
      <c r="BK477"/>
      <c r="BL477" s="277">
        <v>58.938835144042969</v>
      </c>
      <c r="BM477" s="283">
        <v>42230</v>
      </c>
      <c r="BN477"/>
      <c r="BO477"/>
      <c r="BP477" s="277">
        <v>3.250385046005249</v>
      </c>
      <c r="BQ477" s="283">
        <v>42230</v>
      </c>
      <c r="BR477" s="277">
        <v>46.630538940429687</v>
      </c>
      <c r="BS477" s="283">
        <v>42230</v>
      </c>
      <c r="BT477" s="277">
        <v>19.275922775268555</v>
      </c>
      <c r="BU477" s="283">
        <v>42230</v>
      </c>
      <c r="BV477" s="277">
        <v>53.012100219726562</v>
      </c>
      <c r="BW477" s="283">
        <v>42230</v>
      </c>
      <c r="BX477" s="277">
        <v>5.37445068359375</v>
      </c>
      <c r="BY477" s="283">
        <v>42230</v>
      </c>
      <c r="BZ477"/>
      <c r="CB477" s="266">
        <v>2.77</v>
      </c>
      <c r="CC477"/>
      <c r="CD477" s="277">
        <v>5.3571428571428541</v>
      </c>
      <c r="CE477" s="291" t="s">
        <v>8398</v>
      </c>
      <c r="CF477"/>
      <c r="CG477"/>
      <c r="CH477">
        <v>2</v>
      </c>
      <c r="CI477">
        <v>2</v>
      </c>
      <c r="CK477"/>
      <c r="CL477">
        <v>3</v>
      </c>
      <c r="CM477" s="259">
        <v>42161</v>
      </c>
      <c r="CN477" s="137" t="s">
        <v>8406</v>
      </c>
    </row>
    <row r="478" spans="1:93">
      <c r="A478" s="258">
        <v>790</v>
      </c>
      <c r="B478" s="235">
        <v>790</v>
      </c>
      <c r="C478" s="235" t="s">
        <v>7797</v>
      </c>
      <c r="D478" s="235" t="s">
        <v>7595</v>
      </c>
      <c r="E478" s="235" t="s">
        <v>7797</v>
      </c>
      <c r="F478" s="235" t="s">
        <v>8547</v>
      </c>
      <c r="G478" s="235" t="str">
        <f t="shared" si="246"/>
        <v>Rapsodyn</v>
      </c>
      <c r="H478" s="235" t="s">
        <v>265</v>
      </c>
      <c r="I478" s="235">
        <v>2</v>
      </c>
      <c r="J478" s="235">
        <v>9168</v>
      </c>
      <c r="K478" s="235">
        <v>60</v>
      </c>
      <c r="L478" s="235">
        <f t="shared" si="245"/>
        <v>60</v>
      </c>
      <c r="M478" s="235">
        <v>11</v>
      </c>
      <c r="N478" s="235">
        <v>7</v>
      </c>
      <c r="O478" s="248">
        <v>42048</v>
      </c>
      <c r="P478" s="223">
        <v>4.95</v>
      </c>
      <c r="Q478" s="264">
        <v>42204</v>
      </c>
      <c r="R478" s="223"/>
      <c r="S478" s="223"/>
      <c r="T478" s="223"/>
      <c r="U478" s="225"/>
      <c r="V478" s="219">
        <f t="shared" si="247"/>
        <v>15.553189590490902</v>
      </c>
      <c r="W478" s="224"/>
      <c r="X478">
        <v>15.55</v>
      </c>
      <c r="Y478" s="223"/>
      <c r="Z478" s="223"/>
      <c r="AA478" s="223"/>
      <c r="AB478" s="220">
        <f t="shared" si="248"/>
        <v>4.4299850598178887</v>
      </c>
      <c r="AC478" s="224"/>
      <c r="AD478" s="221">
        <f t="shared" si="249"/>
        <v>65253.782145622201</v>
      </c>
      <c r="AE478" s="224"/>
      <c r="AF478" s="220">
        <f t="shared" si="250"/>
        <v>30.081993569131839</v>
      </c>
      <c r="AG478" s="224"/>
      <c r="AH478" s="220">
        <f t="shared" si="251"/>
        <v>33.731771214545674</v>
      </c>
      <c r="AI478" s="224"/>
      <c r="AJ478">
        <v>4.6100000000000003</v>
      </c>
      <c r="AK478" s="290" t="s">
        <v>8398</v>
      </c>
      <c r="AL478" s="223">
        <v>170</v>
      </c>
      <c r="AM478" s="223"/>
      <c r="AN478" s="241">
        <v>70</v>
      </c>
      <c r="AO478" s="242">
        <v>42074</v>
      </c>
      <c r="AP478" s="255">
        <v>104</v>
      </c>
      <c r="AQ478" s="242">
        <v>42108</v>
      </c>
      <c r="AR478" s="223">
        <v>127</v>
      </c>
      <c r="AS478" s="297">
        <f t="shared" si="252"/>
        <v>127</v>
      </c>
      <c r="AT478" s="290">
        <v>42131</v>
      </c>
      <c r="AU478" s="298"/>
      <c r="AV478" s="223"/>
      <c r="AW478" s="223"/>
      <c r="AX478" s="223"/>
      <c r="AY478" s="223"/>
      <c r="AZ478" s="223"/>
      <c r="BA478" s="223"/>
      <c r="BB478" s="223"/>
      <c r="BC478" s="223"/>
      <c r="BD478" s="223"/>
      <c r="BE478" s="223"/>
      <c r="BF478" s="281">
        <v>1.0586049556732178</v>
      </c>
      <c r="BG478" s="283">
        <v>42230</v>
      </c>
      <c r="BH478" s="223"/>
      <c r="BI478" s="223"/>
      <c r="BJ478" s="223"/>
      <c r="BK478" s="223"/>
      <c r="BL478" s="281">
        <v>65.866371154785156</v>
      </c>
      <c r="BM478" s="283">
        <v>42230</v>
      </c>
      <c r="BN478" s="223"/>
      <c r="BO478" s="223"/>
      <c r="BP478" s="281">
        <v>3.7796800136566162</v>
      </c>
      <c r="BQ478" s="283">
        <v>42230</v>
      </c>
      <c r="BR478" s="281">
        <v>51.702655792236328</v>
      </c>
      <c r="BS478" s="283">
        <v>42230</v>
      </c>
      <c r="BT478" s="281">
        <v>14.726367950439453</v>
      </c>
      <c r="BU478" s="283">
        <v>42230</v>
      </c>
      <c r="BV478" s="281">
        <v>14.231960296630859</v>
      </c>
      <c r="BW478" s="283">
        <v>42230</v>
      </c>
      <c r="BX478" s="281">
        <v>5.113372802734375</v>
      </c>
      <c r="BY478" s="283">
        <v>42230</v>
      </c>
      <c r="BZ478" s="223"/>
      <c r="CA478" s="226"/>
      <c r="CB478" s="266">
        <v>2.04</v>
      </c>
      <c r="CC478" s="223"/>
      <c r="CD478" s="281">
        <v>3.5714285714285587</v>
      </c>
      <c r="CE478" s="291" t="s">
        <v>8398</v>
      </c>
      <c r="CF478" s="223"/>
      <c r="CG478" s="223"/>
      <c r="CH478" s="223">
        <v>1</v>
      </c>
      <c r="CI478" s="223">
        <v>4</v>
      </c>
      <c r="CK478" s="223"/>
      <c r="CL478" s="223"/>
      <c r="CM478" s="259">
        <v>42161</v>
      </c>
      <c r="CN478" s="137" t="s">
        <v>8406</v>
      </c>
    </row>
    <row r="479" spans="1:93">
      <c r="A479" s="258">
        <v>791</v>
      </c>
      <c r="B479" s="235">
        <v>791</v>
      </c>
      <c r="C479" s="235" t="s">
        <v>7648</v>
      </c>
      <c r="D479" s="235" t="s">
        <v>7480</v>
      </c>
      <c r="E479" s="235" t="s">
        <v>7648</v>
      </c>
      <c r="F479" s="235" t="s">
        <v>8618</v>
      </c>
      <c r="G479" s="235" t="str">
        <f t="shared" si="246"/>
        <v>Rapsodyn</v>
      </c>
      <c r="H479" s="235" t="s">
        <v>265</v>
      </c>
      <c r="I479" s="235">
        <v>2</v>
      </c>
      <c r="J479" s="235">
        <v>9034</v>
      </c>
      <c r="K479" s="235">
        <v>61</v>
      </c>
      <c r="L479" s="235">
        <f t="shared" si="245"/>
        <v>61</v>
      </c>
      <c r="M479" s="235">
        <v>11</v>
      </c>
      <c r="N479" s="235">
        <v>7</v>
      </c>
      <c r="O479" s="248">
        <v>42048</v>
      </c>
      <c r="P479">
        <v>3.65</v>
      </c>
      <c r="Q479" s="264">
        <v>42204</v>
      </c>
      <c r="R479"/>
      <c r="S479"/>
      <c r="T479"/>
      <c r="V479" s="219">
        <f t="shared" si="247"/>
        <v>10.943356750554607</v>
      </c>
      <c r="W479" s="219"/>
      <c r="X479">
        <v>15.55</v>
      </c>
      <c r="Y479"/>
      <c r="Z479"/>
      <c r="AA479"/>
      <c r="AB479" s="220">
        <f t="shared" si="248"/>
        <v>3.8972101864911859</v>
      </c>
      <c r="AC479" s="219"/>
      <c r="AD479" s="221">
        <f t="shared" si="249"/>
        <v>57594.974395617479</v>
      </c>
      <c r="AE479" s="219"/>
      <c r="AF479" s="220">
        <f t="shared" si="250"/>
        <v>22.577229963082051</v>
      </c>
      <c r="AG479" s="219"/>
      <c r="AH479" s="220">
        <f t="shared" si="251"/>
        <v>25.316472261809874</v>
      </c>
      <c r="AI479" s="219"/>
      <c r="AJ479">
        <v>3.92</v>
      </c>
      <c r="AK479" s="284" t="s">
        <v>8398</v>
      </c>
      <c r="AL479">
        <v>170</v>
      </c>
      <c r="AM479"/>
      <c r="AN479" s="241">
        <v>72</v>
      </c>
      <c r="AO479" s="242">
        <v>42076</v>
      </c>
      <c r="AP479" s="255">
        <v>106</v>
      </c>
      <c r="AQ479" s="242">
        <v>42110</v>
      </c>
      <c r="AR479" s="223">
        <v>131</v>
      </c>
      <c r="AS479" s="297">
        <f t="shared" si="252"/>
        <v>131</v>
      </c>
      <c r="AT479" s="290">
        <v>42135</v>
      </c>
      <c r="AU479" s="298"/>
      <c r="AV479"/>
      <c r="AW479"/>
      <c r="AX479"/>
      <c r="AY479"/>
      <c r="AZ479"/>
      <c r="BA479"/>
      <c r="BB479"/>
      <c r="BC479"/>
      <c r="BD479"/>
      <c r="BE479"/>
      <c r="BF479" s="277">
        <v>-4.5916609764099121</v>
      </c>
      <c r="BG479" s="283">
        <v>42230</v>
      </c>
      <c r="BH479"/>
      <c r="BI479"/>
      <c r="BJ479"/>
      <c r="BK479"/>
      <c r="BL479" s="277">
        <v>61.411178588867188</v>
      </c>
      <c r="BM479" s="283">
        <v>42230</v>
      </c>
      <c r="BN479"/>
      <c r="BO479"/>
      <c r="BP479" s="277">
        <v>2.5027050971984863</v>
      </c>
      <c r="BQ479" s="283">
        <v>42230</v>
      </c>
      <c r="BR479" s="277">
        <v>48.470767974853516</v>
      </c>
      <c r="BS479" s="283">
        <v>42230</v>
      </c>
      <c r="BT479" s="277">
        <v>17.261684417724609</v>
      </c>
      <c r="BU479" s="283">
        <v>42230</v>
      </c>
      <c r="BV479" s="277">
        <v>57.199386596679687</v>
      </c>
      <c r="BW479" s="283">
        <v>42230</v>
      </c>
      <c r="BX479" s="277">
        <v>5.5062713623046875</v>
      </c>
      <c r="BY479" s="283">
        <v>42230</v>
      </c>
      <c r="BZ479"/>
      <c r="CB479" s="266">
        <v>2.1800000000000002</v>
      </c>
      <c r="CC479"/>
      <c r="CD479" s="277">
        <v>1.8518518518518614</v>
      </c>
      <c r="CE479" s="291" t="s">
        <v>8398</v>
      </c>
      <c r="CF479"/>
      <c r="CG479"/>
      <c r="CH479">
        <v>2</v>
      </c>
      <c r="CI479">
        <v>8</v>
      </c>
      <c r="CK479"/>
      <c r="CL479">
        <v>3</v>
      </c>
      <c r="CM479" s="259">
        <v>42161</v>
      </c>
      <c r="CO479" s="137" t="s">
        <v>8405</v>
      </c>
    </row>
    <row r="480" spans="1:93">
      <c r="A480" s="258">
        <v>793</v>
      </c>
      <c r="B480" s="235">
        <v>793</v>
      </c>
      <c r="C480" s="235" t="s">
        <v>7616</v>
      </c>
      <c r="D480" s="235" t="s">
        <v>7453</v>
      </c>
      <c r="E480" s="235" t="s">
        <v>7616</v>
      </c>
      <c r="F480" s="235" t="s">
        <v>8520</v>
      </c>
      <c r="G480" s="235" t="str">
        <f t="shared" si="246"/>
        <v>Rapsodyn</v>
      </c>
      <c r="H480" s="235" t="s">
        <v>265</v>
      </c>
      <c r="I480" s="235">
        <v>2</v>
      </c>
      <c r="J480" s="235">
        <v>9009</v>
      </c>
      <c r="K480" s="235">
        <v>63</v>
      </c>
      <c r="L480" s="235">
        <f t="shared" si="245"/>
        <v>63</v>
      </c>
      <c r="M480" s="235">
        <v>11</v>
      </c>
      <c r="N480" s="235">
        <v>7</v>
      </c>
      <c r="O480" s="248">
        <v>42048</v>
      </c>
      <c r="P480">
        <v>3.65</v>
      </c>
      <c r="Q480" s="264">
        <v>42204</v>
      </c>
      <c r="R480"/>
      <c r="S480"/>
      <c r="T480"/>
      <c r="V480" s="219">
        <f t="shared" si="247"/>
        <v>11.121623109415056</v>
      </c>
      <c r="W480" s="219"/>
      <c r="X480">
        <v>15.55</v>
      </c>
      <c r="Y480"/>
      <c r="Z480"/>
      <c r="AA480"/>
      <c r="AB480" s="220">
        <f t="shared" si="248"/>
        <v>4.0198690679414604</v>
      </c>
      <c r="AC480" s="219"/>
      <c r="AD480" s="221">
        <f t="shared" si="249"/>
        <v>46910.524615298404</v>
      </c>
      <c r="AE480" s="219"/>
      <c r="AF480" s="220">
        <f t="shared" si="250"/>
        <v>21.813393946113759</v>
      </c>
      <c r="AG480" s="219"/>
      <c r="AH480" s="220">
        <f t="shared" si="251"/>
        <v>24.459961814435704</v>
      </c>
      <c r="AI480" s="219"/>
      <c r="AJ480">
        <v>4.6500000000000004</v>
      </c>
      <c r="AK480" s="284" t="s">
        <v>8401</v>
      </c>
      <c r="AL480">
        <v>150</v>
      </c>
      <c r="AM480"/>
      <c r="AN480" s="241">
        <v>75</v>
      </c>
      <c r="AO480" s="242">
        <v>42079</v>
      </c>
      <c r="AP480" s="255">
        <v>106</v>
      </c>
      <c r="AQ480" s="242">
        <v>42110</v>
      </c>
      <c r="AR480" s="223">
        <v>127</v>
      </c>
      <c r="AS480" s="297">
        <f t="shared" si="252"/>
        <v>127</v>
      </c>
      <c r="AT480" s="290">
        <v>42131</v>
      </c>
      <c r="AU480" s="298"/>
      <c r="AV480"/>
      <c r="AW480"/>
      <c r="AX480"/>
      <c r="AY480"/>
      <c r="AZ480"/>
      <c r="BA480"/>
      <c r="BB480"/>
      <c r="BC480"/>
      <c r="BD480"/>
      <c r="BE480"/>
      <c r="BF480" s="277">
        <v>39.202350616455078</v>
      </c>
      <c r="BG480" s="283">
        <v>42233</v>
      </c>
      <c r="BH480"/>
      <c r="BI480"/>
      <c r="BJ480"/>
      <c r="BK480"/>
      <c r="BL480" s="277">
        <v>60.080192565917969</v>
      </c>
      <c r="BM480" s="283">
        <v>42233</v>
      </c>
      <c r="BN480"/>
      <c r="BO480"/>
      <c r="BP480" s="277">
        <v>3.8979260921478271</v>
      </c>
      <c r="BQ480" s="283">
        <v>42233</v>
      </c>
      <c r="BR480" s="277">
        <v>50.985294342041016</v>
      </c>
      <c r="BS480" s="283">
        <v>42233</v>
      </c>
      <c r="BT480" s="277">
        <v>18.428443908691406</v>
      </c>
      <c r="BU480" s="283">
        <v>42233</v>
      </c>
      <c r="BV480" s="277">
        <v>64.527633666992188</v>
      </c>
      <c r="BW480" s="283">
        <v>42233</v>
      </c>
      <c r="BX480" s="277">
        <v>5.1802978515625</v>
      </c>
      <c r="BY480" s="283">
        <v>42233</v>
      </c>
      <c r="BZ480"/>
      <c r="CB480" s="266">
        <v>1.79</v>
      </c>
      <c r="CC480"/>
      <c r="CD480" s="277">
        <v>5.1724137931034457</v>
      </c>
      <c r="CE480" s="291" t="s">
        <v>8401</v>
      </c>
      <c r="CF480"/>
      <c r="CG480"/>
      <c r="CH480">
        <v>1</v>
      </c>
      <c r="CI480">
        <v>3</v>
      </c>
      <c r="CK480"/>
      <c r="CL480">
        <v>4</v>
      </c>
      <c r="CM480" s="259">
        <v>42161</v>
      </c>
      <c r="CN480" s="137" t="s">
        <v>8406</v>
      </c>
    </row>
    <row r="481" spans="1:93">
      <c r="A481" s="258">
        <v>794</v>
      </c>
      <c r="B481" s="235">
        <v>794</v>
      </c>
      <c r="C481" s="235" t="s">
        <v>7719</v>
      </c>
      <c r="D481" s="235" t="s">
        <v>7543</v>
      </c>
      <c r="E481" s="235" t="s">
        <v>7719</v>
      </c>
      <c r="F481" s="235" t="s">
        <v>8518</v>
      </c>
      <c r="G481" s="235" t="str">
        <f t="shared" si="246"/>
        <v>Rapsodyn</v>
      </c>
      <c r="H481" s="235" t="s">
        <v>265</v>
      </c>
      <c r="I481" s="235">
        <v>2</v>
      </c>
      <c r="J481" s="235">
        <v>9101</v>
      </c>
      <c r="K481" s="235">
        <v>64</v>
      </c>
      <c r="L481" s="235">
        <f t="shared" si="245"/>
        <v>64</v>
      </c>
      <c r="M481" s="235">
        <v>11</v>
      </c>
      <c r="N481" s="235">
        <v>7</v>
      </c>
      <c r="O481" s="248">
        <v>42048</v>
      </c>
      <c r="P481">
        <v>4.8499999999999996</v>
      </c>
      <c r="Q481" s="264">
        <v>42204</v>
      </c>
      <c r="R481"/>
      <c r="S481"/>
      <c r="T481"/>
      <c r="V481" s="219">
        <f t="shared" si="247"/>
        <v>14.588098376084325</v>
      </c>
      <c r="W481" s="219"/>
      <c r="X481">
        <v>15.55</v>
      </c>
      <c r="Y481"/>
      <c r="Z481"/>
      <c r="AA481"/>
      <c r="AB481" s="220">
        <f t="shared" si="248"/>
        <v>4.1183622186348883</v>
      </c>
      <c r="AC481" s="219"/>
      <c r="AD481" s="221">
        <f t="shared" si="249"/>
        <v>64468.734494882767</v>
      </c>
      <c r="AE481" s="219"/>
      <c r="AF481" s="220">
        <f t="shared" si="250"/>
        <v>28.301774443253535</v>
      </c>
      <c r="AG481" s="219"/>
      <c r="AH481" s="220">
        <f t="shared" si="251"/>
        <v>31.735562282186066</v>
      </c>
      <c r="AI481" s="219"/>
      <c r="AJ481">
        <v>4.3899999999999997</v>
      </c>
      <c r="AK481" s="284" t="s">
        <v>8401</v>
      </c>
      <c r="AL481">
        <v>150</v>
      </c>
      <c r="AM481"/>
      <c r="AN481" s="241">
        <v>72</v>
      </c>
      <c r="AO481" s="242">
        <v>42076</v>
      </c>
      <c r="AP481" s="255">
        <v>104</v>
      </c>
      <c r="AQ481" s="242">
        <v>42108</v>
      </c>
      <c r="AR481" s="223">
        <v>131</v>
      </c>
      <c r="AS481" s="297">
        <f t="shared" si="252"/>
        <v>131</v>
      </c>
      <c r="AT481" s="290">
        <v>42135</v>
      </c>
      <c r="AU481" s="298"/>
      <c r="AV481"/>
      <c r="AW481"/>
      <c r="AX481"/>
      <c r="AY481"/>
      <c r="AZ481"/>
      <c r="BA481"/>
      <c r="BB481"/>
      <c r="BC481"/>
      <c r="BD481"/>
      <c r="BE481"/>
      <c r="BF481" s="277">
        <v>-2.395327091217041</v>
      </c>
      <c r="BG481" s="283">
        <v>42233</v>
      </c>
      <c r="BH481"/>
      <c r="BI481"/>
      <c r="BJ481"/>
      <c r="BK481"/>
      <c r="BL481" s="277">
        <v>67.357551574707031</v>
      </c>
      <c r="BM481" s="283">
        <v>42233</v>
      </c>
      <c r="BN481"/>
      <c r="BO481"/>
      <c r="BP481" s="277">
        <v>3.3709290027618408</v>
      </c>
      <c r="BQ481" s="283">
        <v>42233</v>
      </c>
      <c r="BR481" s="277">
        <v>51.544818878173828</v>
      </c>
      <c r="BS481" s="283">
        <v>42233</v>
      </c>
      <c r="BT481" s="277">
        <v>14.551604270935059</v>
      </c>
      <c r="BU481" s="283">
        <v>42233</v>
      </c>
      <c r="BV481" s="277">
        <v>11.782456398010254</v>
      </c>
      <c r="BW481" s="283">
        <v>42233</v>
      </c>
      <c r="BX481" s="277">
        <v>5.160491943359375</v>
      </c>
      <c r="BY481" s="283">
        <v>42233</v>
      </c>
      <c r="BZ481"/>
      <c r="CB481" s="266">
        <v>2.65</v>
      </c>
      <c r="CC481"/>
      <c r="CD481" s="277">
        <v>7.4074074074074137</v>
      </c>
      <c r="CE481" s="291" t="s">
        <v>8401</v>
      </c>
      <c r="CF481"/>
      <c r="CG481"/>
      <c r="CH481">
        <v>1</v>
      </c>
      <c r="CI481">
        <v>7</v>
      </c>
      <c r="CK481"/>
      <c r="CL481"/>
      <c r="CM481" s="259">
        <v>42161</v>
      </c>
      <c r="CO481" s="137" t="s">
        <v>8405</v>
      </c>
    </row>
    <row r="482" spans="1:93">
      <c r="A482" s="258">
        <v>796</v>
      </c>
      <c r="B482" s="235">
        <v>796</v>
      </c>
      <c r="C482" s="235" t="s">
        <v>7783</v>
      </c>
      <c r="D482" s="235" t="s">
        <v>7581</v>
      </c>
      <c r="E482" s="235" t="s">
        <v>7783</v>
      </c>
      <c r="F482" s="235" t="s">
        <v>8524</v>
      </c>
      <c r="G482" s="235" t="str">
        <f t="shared" si="246"/>
        <v>Rapsodyn</v>
      </c>
      <c r="H482" s="235" t="s">
        <v>265</v>
      </c>
      <c r="I482" s="235">
        <v>2</v>
      </c>
      <c r="J482" s="235">
        <v>9154</v>
      </c>
      <c r="K482" s="235">
        <v>66</v>
      </c>
      <c r="L482" s="235">
        <f t="shared" si="245"/>
        <v>66</v>
      </c>
      <c r="M482" s="235">
        <v>11</v>
      </c>
      <c r="N482" s="235">
        <v>7</v>
      </c>
      <c r="O482" s="248">
        <v>42048</v>
      </c>
      <c r="P482">
        <v>6.4</v>
      </c>
      <c r="Q482" s="264">
        <v>42204</v>
      </c>
      <c r="R482"/>
      <c r="S482"/>
      <c r="T482"/>
      <c r="V482" s="219">
        <f t="shared" si="247"/>
        <v>19.920935870467716</v>
      </c>
      <c r="W482" s="219"/>
      <c r="X482">
        <v>15.55</v>
      </c>
      <c r="Y482"/>
      <c r="Z482"/>
      <c r="AA482"/>
      <c r="AB482" s="220">
        <f t="shared" si="248"/>
        <v>5.5504346521196473</v>
      </c>
      <c r="AC482" s="219"/>
      <c r="AD482" s="221">
        <f t="shared" si="249"/>
        <v>76612.525312826328</v>
      </c>
      <c r="AE482" s="219"/>
      <c r="AF482" s="220">
        <f t="shared" si="250"/>
        <v>38.919162858915776</v>
      </c>
      <c r="AG482" s="219"/>
      <c r="AH482" s="220">
        <f t="shared" si="251"/>
        <v>43.64113350405448</v>
      </c>
      <c r="AI482" s="219"/>
      <c r="AJ482">
        <v>5.08</v>
      </c>
      <c r="AK482" s="284" t="s">
        <v>8399</v>
      </c>
      <c r="AL482">
        <v>170</v>
      </c>
      <c r="AM482"/>
      <c r="AN482" s="241">
        <v>70</v>
      </c>
      <c r="AO482" s="242">
        <v>42074</v>
      </c>
      <c r="AP482" s="255">
        <v>104</v>
      </c>
      <c r="AQ482" s="242">
        <v>42108</v>
      </c>
      <c r="AR482" s="223">
        <v>127</v>
      </c>
      <c r="AS482" s="297">
        <f t="shared" si="252"/>
        <v>127</v>
      </c>
      <c r="AT482" s="290">
        <v>42131</v>
      </c>
      <c r="AU482" s="298"/>
      <c r="AV482"/>
      <c r="AW482"/>
      <c r="AX482"/>
      <c r="AY482"/>
      <c r="AZ482"/>
      <c r="BA482"/>
      <c r="BB482"/>
      <c r="BC482"/>
      <c r="BD482"/>
      <c r="BE482"/>
      <c r="BF482" s="277">
        <v>-0.68412202596664429</v>
      </c>
      <c r="BG482" s="283">
        <v>42233</v>
      </c>
      <c r="BH482"/>
      <c r="BI482"/>
      <c r="BJ482"/>
      <c r="BK482"/>
      <c r="BL482" s="277">
        <v>64.254585266113281</v>
      </c>
      <c r="BM482" s="283">
        <v>42233</v>
      </c>
      <c r="BN482"/>
      <c r="BO482"/>
      <c r="BP482" s="277">
        <v>3.6421949863433838</v>
      </c>
      <c r="BQ482" s="283">
        <v>42233</v>
      </c>
      <c r="BR482" s="277">
        <v>51.185417175292969</v>
      </c>
      <c r="BS482" s="283">
        <v>42233</v>
      </c>
      <c r="BT482" s="277">
        <v>14.261444091796875</v>
      </c>
      <c r="BU482" s="283">
        <v>42233</v>
      </c>
      <c r="BV482" s="277">
        <v>12.290802001953125</v>
      </c>
      <c r="BW482" s="283">
        <v>42233</v>
      </c>
      <c r="BX482" s="277">
        <v>5.5928497314453125</v>
      </c>
      <c r="BY482" s="283">
        <v>42233</v>
      </c>
      <c r="BZ482"/>
      <c r="CB482" s="266">
        <v>2.84</v>
      </c>
      <c r="CC482"/>
      <c r="CD482" s="277">
        <v>3.5087719298245648</v>
      </c>
      <c r="CE482" s="291" t="s">
        <v>8399</v>
      </c>
      <c r="CF482"/>
      <c r="CG482"/>
      <c r="CH482">
        <v>2</v>
      </c>
      <c r="CI482">
        <v>2</v>
      </c>
      <c r="CK482"/>
      <c r="CL482"/>
      <c r="CM482" s="259">
        <v>42161</v>
      </c>
      <c r="CN482" s="137" t="s">
        <v>8406</v>
      </c>
    </row>
    <row r="483" spans="1:93">
      <c r="A483" s="258">
        <v>800</v>
      </c>
      <c r="B483" s="235">
        <v>800</v>
      </c>
      <c r="C483" s="235" t="s">
        <v>7758</v>
      </c>
      <c r="D483" s="235" t="s">
        <v>8423</v>
      </c>
      <c r="E483" s="235" t="s">
        <v>7758</v>
      </c>
      <c r="F483" s="235" t="s">
        <v>8556</v>
      </c>
      <c r="G483" s="235" t="str">
        <f t="shared" si="246"/>
        <v>Rapsodyn</v>
      </c>
      <c r="H483" s="235" t="s">
        <v>265</v>
      </c>
      <c r="I483" s="235">
        <v>2</v>
      </c>
      <c r="J483" s="235">
        <v>9129</v>
      </c>
      <c r="K483" s="235">
        <v>70</v>
      </c>
      <c r="L483" s="235">
        <f t="shared" si="245"/>
        <v>70</v>
      </c>
      <c r="M483" s="235">
        <v>11</v>
      </c>
      <c r="N483" s="235">
        <v>7</v>
      </c>
      <c r="O483" s="248">
        <v>42048</v>
      </c>
      <c r="P483">
        <v>5.7</v>
      </c>
      <c r="Q483" s="264">
        <v>42204</v>
      </c>
      <c r="R483"/>
      <c r="S483"/>
      <c r="T483"/>
      <c r="V483" s="219">
        <f t="shared" si="247"/>
        <v>17.378442116021798</v>
      </c>
      <c r="W483" s="219"/>
      <c r="X483">
        <v>15.55</v>
      </c>
      <c r="Y483"/>
      <c r="Z483"/>
      <c r="AA483"/>
      <c r="AB483" s="220">
        <f t="shared" si="248"/>
        <v>5.4196954244834092</v>
      </c>
      <c r="AC483" s="219"/>
      <c r="AD483" s="221">
        <f t="shared" si="249"/>
        <v>70870.823751567645</v>
      </c>
      <c r="AE483" s="219"/>
      <c r="AF483" s="220">
        <f t="shared" si="250"/>
        <v>34.51409116701344</v>
      </c>
      <c r="AG483" s="219"/>
      <c r="AH483" s="220">
        <f t="shared" si="251"/>
        <v>38.701604807146708</v>
      </c>
      <c r="AI483" s="219"/>
      <c r="AJ483">
        <v>4.87</v>
      </c>
      <c r="AK483" s="284" t="s">
        <v>8403</v>
      </c>
      <c r="AL483">
        <v>145</v>
      </c>
      <c r="AM483"/>
      <c r="AN483" s="241">
        <v>79</v>
      </c>
      <c r="AO483" s="242">
        <v>42083</v>
      </c>
      <c r="AP483" s="255">
        <v>106</v>
      </c>
      <c r="AQ483" s="242">
        <v>42110</v>
      </c>
      <c r="AR483" s="223">
        <v>128</v>
      </c>
      <c r="AS483" s="297">
        <f t="shared" si="252"/>
        <v>128</v>
      </c>
      <c r="AT483" s="290">
        <v>42132</v>
      </c>
      <c r="AU483" s="298"/>
      <c r="AV483"/>
      <c r="AW483"/>
      <c r="AX483"/>
      <c r="AY483"/>
      <c r="AZ483"/>
      <c r="BA483"/>
      <c r="BB483"/>
      <c r="BC483"/>
      <c r="BD483"/>
      <c r="BE483"/>
      <c r="BF483" s="277">
        <v>-2.0539910793304443</v>
      </c>
      <c r="BG483" s="283">
        <v>42233</v>
      </c>
      <c r="BH483"/>
      <c r="BI483"/>
      <c r="BJ483"/>
      <c r="BK483"/>
      <c r="BL483" s="277">
        <v>62.444301605224609</v>
      </c>
      <c r="BM483" s="283">
        <v>42233</v>
      </c>
      <c r="BN483"/>
      <c r="BO483"/>
      <c r="BP483" s="277">
        <v>3.6616311073303223</v>
      </c>
      <c r="BQ483" s="283">
        <v>42233</v>
      </c>
      <c r="BR483" s="277">
        <v>50.351730346679687</v>
      </c>
      <c r="BS483" s="283">
        <v>42233</v>
      </c>
      <c r="BT483" s="277">
        <v>15.702848434448242</v>
      </c>
      <c r="BU483" s="283">
        <v>42233</v>
      </c>
      <c r="BV483" s="277">
        <v>18.763519287109375</v>
      </c>
      <c r="BW483" s="283">
        <v>42233</v>
      </c>
      <c r="BX483" s="277">
        <v>5.2526473999023438</v>
      </c>
      <c r="BY483" s="283">
        <v>42233</v>
      </c>
      <c r="BZ483"/>
      <c r="CB483" s="266">
        <v>1.76</v>
      </c>
      <c r="CC483"/>
      <c r="CD483" s="277">
        <v>3.9215686274509665</v>
      </c>
      <c r="CE483" s="291" t="s">
        <v>8403</v>
      </c>
      <c r="CF483"/>
      <c r="CG483"/>
      <c r="CH483">
        <v>1</v>
      </c>
      <c r="CI483">
        <v>2</v>
      </c>
      <c r="CK483"/>
      <c r="CL483"/>
      <c r="CM483" s="259">
        <v>42161</v>
      </c>
      <c r="CN483" s="137" t="s">
        <v>8406</v>
      </c>
    </row>
    <row r="484" spans="1:93">
      <c r="A484" s="258">
        <v>801</v>
      </c>
      <c r="B484" s="235">
        <v>801</v>
      </c>
      <c r="C484" s="235" t="s">
        <v>7576</v>
      </c>
      <c r="D484" s="235"/>
      <c r="E484" s="235"/>
      <c r="F484" s="235"/>
      <c r="G484" s="235"/>
      <c r="H484" s="235" t="s">
        <v>265</v>
      </c>
      <c r="I484" s="235">
        <v>2</v>
      </c>
      <c r="K484" s="235">
        <v>71</v>
      </c>
      <c r="L484" s="235">
        <f t="shared" si="245"/>
        <v>71</v>
      </c>
      <c r="M484" s="235">
        <v>11</v>
      </c>
      <c r="O484" s="248">
        <v>42048</v>
      </c>
      <c r="P484"/>
      <c r="Q484" s="219"/>
      <c r="R484"/>
      <c r="S484"/>
      <c r="T484"/>
      <c r="V484" s="219"/>
      <c r="W484" s="219"/>
      <c r="X484">
        <v>15.55</v>
      </c>
      <c r="Y484"/>
      <c r="Z484"/>
      <c r="AA484"/>
      <c r="AB484" s="220"/>
      <c r="AC484" s="219"/>
      <c r="AD484" s="221"/>
      <c r="AE484" s="219"/>
      <c r="AF484" s="220"/>
      <c r="AG484" s="219"/>
      <c r="AH484" s="220"/>
      <c r="AI484" s="219"/>
      <c r="AJ484" s="286"/>
      <c r="AK484" s="284"/>
      <c r="AL484"/>
      <c r="AM484"/>
      <c r="AN484" s="241">
        <v>70</v>
      </c>
      <c r="AO484" s="242">
        <v>42074</v>
      </c>
      <c r="AP484" s="255">
        <v>104</v>
      </c>
      <c r="AQ484" s="242">
        <v>42108</v>
      </c>
      <c r="AR484"/>
      <c r="AS484" s="297"/>
      <c r="AT484" s="290"/>
      <c r="AU484" s="298"/>
      <c r="AV484"/>
      <c r="AW484"/>
      <c r="AX484"/>
      <c r="AY484"/>
      <c r="AZ484"/>
      <c r="BA484"/>
      <c r="BB484"/>
      <c r="BC484"/>
      <c r="BD484"/>
      <c r="BE484"/>
      <c r="BF484" s="277"/>
      <c r="BG484" s="235"/>
      <c r="BH484"/>
      <c r="BI484"/>
      <c r="BJ484"/>
      <c r="BK484"/>
      <c r="BL484" s="277"/>
      <c r="BM484" s="235"/>
      <c r="BN484"/>
      <c r="BO484"/>
      <c r="BP484" s="277"/>
      <c r="BQ484" s="235"/>
      <c r="BR484" s="277"/>
      <c r="BS484" s="235"/>
      <c r="BT484" s="277"/>
      <c r="BU484" s="235"/>
      <c r="BV484" s="277"/>
      <c r="BW484" s="235"/>
      <c r="BX484" s="277"/>
      <c r="BY484" s="235"/>
      <c r="BZ484"/>
      <c r="CB484" s="266"/>
      <c r="CC484"/>
      <c r="CD484" s="277"/>
      <c r="CE484" s="291"/>
      <c r="CF484"/>
      <c r="CG484"/>
      <c r="CH484"/>
      <c r="CI484"/>
      <c r="CK484"/>
      <c r="CL484"/>
      <c r="CM484" s="259">
        <v>42161</v>
      </c>
    </row>
    <row r="485" spans="1:93">
      <c r="A485" s="258">
        <v>802</v>
      </c>
      <c r="B485" s="235">
        <v>802</v>
      </c>
      <c r="C485" s="235" t="s">
        <v>7576</v>
      </c>
      <c r="D485" s="235"/>
      <c r="E485" s="235"/>
      <c r="F485" s="235"/>
      <c r="G485" s="235"/>
      <c r="H485" s="235" t="s">
        <v>265</v>
      </c>
      <c r="I485" s="235">
        <v>2</v>
      </c>
      <c r="K485" s="235">
        <v>72</v>
      </c>
      <c r="L485" s="235">
        <f t="shared" si="245"/>
        <v>72</v>
      </c>
      <c r="M485" s="235">
        <v>11</v>
      </c>
      <c r="O485" s="248">
        <v>42048</v>
      </c>
      <c r="P485"/>
      <c r="Q485" s="219"/>
      <c r="R485"/>
      <c r="S485"/>
      <c r="T485"/>
      <c r="V485" s="219"/>
      <c r="W485" s="219"/>
      <c r="X485">
        <v>15.55</v>
      </c>
      <c r="Y485"/>
      <c r="Z485"/>
      <c r="AA485"/>
      <c r="AB485" s="220"/>
      <c r="AC485" s="219"/>
      <c r="AD485" s="221"/>
      <c r="AE485" s="219"/>
      <c r="AF485" s="220"/>
      <c r="AG485" s="219"/>
      <c r="AH485" s="220"/>
      <c r="AI485" s="219"/>
      <c r="AJ485" s="286"/>
      <c r="AK485" s="284"/>
      <c r="AL485"/>
      <c r="AM485"/>
      <c r="AN485" s="241">
        <v>70</v>
      </c>
      <c r="AO485" s="242">
        <v>42074</v>
      </c>
      <c r="AP485" s="255">
        <v>104</v>
      </c>
      <c r="AQ485" s="242">
        <v>42108</v>
      </c>
      <c r="AR485"/>
      <c r="AS485" s="297"/>
      <c r="AT485" s="290"/>
      <c r="AU485" s="298"/>
      <c r="AV485"/>
      <c r="AW485"/>
      <c r="AX485"/>
      <c r="AY485"/>
      <c r="AZ485"/>
      <c r="BA485"/>
      <c r="BB485"/>
      <c r="BC485"/>
      <c r="BD485"/>
      <c r="BE485"/>
      <c r="BF485" s="277"/>
      <c r="BG485" s="235"/>
      <c r="BH485"/>
      <c r="BI485"/>
      <c r="BJ485"/>
      <c r="BK485"/>
      <c r="BL485" s="277"/>
      <c r="BM485" s="235"/>
      <c r="BN485"/>
      <c r="BO485"/>
      <c r="BP485" s="277"/>
      <c r="BQ485" s="235"/>
      <c r="BR485" s="277"/>
      <c r="BS485" s="235"/>
      <c r="BT485" s="277"/>
      <c r="BU485" s="235"/>
      <c r="BV485" s="277"/>
      <c r="BW485" s="235"/>
      <c r="BX485" s="277"/>
      <c r="BY485" s="235"/>
      <c r="BZ485"/>
      <c r="CB485" s="266"/>
      <c r="CC485"/>
      <c r="CD485" s="277"/>
      <c r="CE485" s="291"/>
      <c r="CF485"/>
      <c r="CG485"/>
      <c r="CH485"/>
      <c r="CI485"/>
      <c r="CK485"/>
      <c r="CL485"/>
      <c r="CM485" s="259">
        <v>42161</v>
      </c>
    </row>
    <row r="486" spans="1:93">
      <c r="A486" s="258">
        <v>803</v>
      </c>
      <c r="B486" s="235">
        <v>803</v>
      </c>
      <c r="C486" s="235" t="s">
        <v>7576</v>
      </c>
      <c r="D486" s="235"/>
      <c r="E486" s="235"/>
      <c r="F486" s="235"/>
      <c r="G486" s="235"/>
      <c r="H486" s="235" t="s">
        <v>265</v>
      </c>
      <c r="I486" s="235">
        <v>2</v>
      </c>
      <c r="K486" s="235">
        <v>73</v>
      </c>
      <c r="L486" s="235">
        <f t="shared" si="245"/>
        <v>73</v>
      </c>
      <c r="M486" s="235">
        <v>11</v>
      </c>
      <c r="O486" s="248">
        <v>42048</v>
      </c>
      <c r="P486"/>
      <c r="Q486" s="219"/>
      <c r="R486"/>
      <c r="S486"/>
      <c r="T486"/>
      <c r="V486" s="219"/>
      <c r="W486" s="219"/>
      <c r="X486">
        <v>15.55</v>
      </c>
      <c r="Y486"/>
      <c r="Z486"/>
      <c r="AA486"/>
      <c r="AB486" s="220"/>
      <c r="AC486" s="219"/>
      <c r="AD486" s="221"/>
      <c r="AE486" s="219"/>
      <c r="AF486" s="220"/>
      <c r="AG486" s="219"/>
      <c r="AH486" s="220"/>
      <c r="AI486" s="219"/>
      <c r="AJ486" s="286"/>
      <c r="AK486" s="284"/>
      <c r="AL486"/>
      <c r="AM486"/>
      <c r="AN486" s="241">
        <v>70</v>
      </c>
      <c r="AO486" s="242">
        <v>42074</v>
      </c>
      <c r="AP486" s="255">
        <v>104</v>
      </c>
      <c r="AQ486" s="242">
        <v>42108</v>
      </c>
      <c r="AR486"/>
      <c r="AS486" s="297"/>
      <c r="AT486" s="290"/>
      <c r="AU486" s="298"/>
      <c r="AV486"/>
      <c r="AW486"/>
      <c r="AX486"/>
      <c r="AY486"/>
      <c r="AZ486"/>
      <c r="BA486"/>
      <c r="BB486"/>
      <c r="BC486"/>
      <c r="BD486"/>
      <c r="BE486"/>
      <c r="BF486" s="277"/>
      <c r="BG486" s="235"/>
      <c r="BH486"/>
      <c r="BI486"/>
      <c r="BJ486"/>
      <c r="BK486"/>
      <c r="BL486" s="277"/>
      <c r="BM486" s="235"/>
      <c r="BN486"/>
      <c r="BO486"/>
      <c r="BP486" s="277"/>
      <c r="BQ486" s="235"/>
      <c r="BR486" s="277"/>
      <c r="BS486" s="235"/>
      <c r="BT486" s="277"/>
      <c r="BU486" s="235"/>
      <c r="BV486" s="277"/>
      <c r="BW486" s="235"/>
      <c r="BX486" s="277"/>
      <c r="BY486" s="235"/>
      <c r="BZ486"/>
      <c r="CB486" s="266"/>
      <c r="CC486"/>
      <c r="CD486" s="277"/>
      <c r="CE486" s="291"/>
      <c r="CF486"/>
      <c r="CG486"/>
      <c r="CH486"/>
      <c r="CI486"/>
      <c r="CK486"/>
      <c r="CL486">
        <v>1</v>
      </c>
      <c r="CM486" s="259">
        <v>42161</v>
      </c>
    </row>
    <row r="487" spans="1:93">
      <c r="A487" s="258">
        <v>804</v>
      </c>
      <c r="B487" s="235">
        <v>804</v>
      </c>
      <c r="C487" s="346" t="s">
        <v>7576</v>
      </c>
      <c r="D487" s="235"/>
      <c r="E487" s="235"/>
      <c r="F487" s="235"/>
      <c r="G487" s="235"/>
      <c r="H487" s="235" t="s">
        <v>265</v>
      </c>
      <c r="I487" s="235">
        <v>2</v>
      </c>
      <c r="K487" s="235">
        <v>73</v>
      </c>
      <c r="L487" s="235">
        <f t="shared" si="245"/>
        <v>73</v>
      </c>
      <c r="M487" s="235">
        <v>12</v>
      </c>
      <c r="O487" s="248">
        <v>42048</v>
      </c>
      <c r="P487"/>
      <c r="Q487" s="219"/>
      <c r="R487"/>
      <c r="S487"/>
      <c r="T487"/>
      <c r="V487" s="219"/>
      <c r="W487" s="219"/>
      <c r="X487">
        <v>15.55</v>
      </c>
      <c r="Y487"/>
      <c r="Z487"/>
      <c r="AA487"/>
      <c r="AB487" s="220"/>
      <c r="AC487" s="219"/>
      <c r="AD487" s="221"/>
      <c r="AE487" s="219"/>
      <c r="AF487" s="220"/>
      <c r="AG487" s="219"/>
      <c r="AH487" s="220"/>
      <c r="AI487" s="219"/>
      <c r="AJ487" s="286"/>
      <c r="AK487" s="284"/>
      <c r="AL487"/>
      <c r="AM487"/>
      <c r="AN487" s="241">
        <v>70</v>
      </c>
      <c r="AO487" s="242">
        <v>42074</v>
      </c>
      <c r="AP487" s="255">
        <v>104</v>
      </c>
      <c r="AQ487" s="242">
        <v>42108</v>
      </c>
      <c r="AR487"/>
      <c r="AS487" s="297"/>
      <c r="AT487" s="290"/>
      <c r="AU487" s="298"/>
      <c r="AV487"/>
      <c r="AW487"/>
      <c r="AX487"/>
      <c r="AY487"/>
      <c r="AZ487"/>
      <c r="BA487"/>
      <c r="BB487"/>
      <c r="BC487"/>
      <c r="BD487"/>
      <c r="BE487"/>
      <c r="BF487" s="277"/>
      <c r="BG487" s="235"/>
      <c r="BH487"/>
      <c r="BI487"/>
      <c r="BJ487"/>
      <c r="BK487"/>
      <c r="BL487" s="277"/>
      <c r="BM487" s="235"/>
      <c r="BN487"/>
      <c r="BO487"/>
      <c r="BP487" s="277"/>
      <c r="BQ487" s="235"/>
      <c r="BR487" s="277"/>
      <c r="BS487" s="235"/>
      <c r="BT487" s="277"/>
      <c r="BU487" s="235"/>
      <c r="BV487" s="277"/>
      <c r="BW487" s="235"/>
      <c r="BX487" s="277"/>
      <c r="BY487" s="235"/>
      <c r="BZ487"/>
      <c r="CB487" s="266"/>
      <c r="CC487"/>
      <c r="CD487" s="277"/>
      <c r="CE487" s="291"/>
      <c r="CF487"/>
      <c r="CG487"/>
      <c r="CH487"/>
      <c r="CI487"/>
      <c r="CK487"/>
      <c r="CL487"/>
      <c r="CM487" s="259">
        <v>42161</v>
      </c>
      <c r="CN487" s="345" t="s">
        <v>8634</v>
      </c>
    </row>
    <row r="488" spans="1:93">
      <c r="A488" s="258">
        <v>805</v>
      </c>
      <c r="B488" s="235">
        <v>805</v>
      </c>
      <c r="C488" s="346" t="s">
        <v>7576</v>
      </c>
      <c r="D488" s="235"/>
      <c r="E488" s="235"/>
      <c r="F488" s="235"/>
      <c r="G488" s="235"/>
      <c r="H488" s="235" t="s">
        <v>265</v>
      </c>
      <c r="I488" s="235">
        <v>2</v>
      </c>
      <c r="K488" s="235">
        <v>72</v>
      </c>
      <c r="L488" s="235">
        <f t="shared" si="245"/>
        <v>72</v>
      </c>
      <c r="M488" s="235">
        <v>12</v>
      </c>
      <c r="O488" s="248">
        <v>42048</v>
      </c>
      <c r="P488"/>
      <c r="Q488" s="219"/>
      <c r="R488"/>
      <c r="S488"/>
      <c r="T488"/>
      <c r="V488" s="219"/>
      <c r="W488" s="219"/>
      <c r="X488">
        <v>15.55</v>
      </c>
      <c r="Y488"/>
      <c r="Z488"/>
      <c r="AA488"/>
      <c r="AB488" s="220"/>
      <c r="AC488" s="219"/>
      <c r="AD488" s="221"/>
      <c r="AE488" s="219"/>
      <c r="AF488" s="220"/>
      <c r="AG488" s="219"/>
      <c r="AH488" s="220"/>
      <c r="AI488" s="219"/>
      <c r="AJ488" s="286"/>
      <c r="AK488" s="284"/>
      <c r="AL488"/>
      <c r="AM488"/>
      <c r="AN488" s="241">
        <v>70</v>
      </c>
      <c r="AO488" s="242">
        <v>42074</v>
      </c>
      <c r="AP488" s="255">
        <v>104</v>
      </c>
      <c r="AQ488" s="242">
        <v>42108</v>
      </c>
      <c r="AR488"/>
      <c r="AS488" s="297"/>
      <c r="AT488" s="290"/>
      <c r="AU488" s="298"/>
      <c r="AV488"/>
      <c r="AW488"/>
      <c r="AX488"/>
      <c r="AY488"/>
      <c r="AZ488"/>
      <c r="BA488"/>
      <c r="BB488"/>
      <c r="BC488"/>
      <c r="BD488"/>
      <c r="BE488"/>
      <c r="BF488" s="277"/>
      <c r="BG488" s="235"/>
      <c r="BH488"/>
      <c r="BI488"/>
      <c r="BJ488"/>
      <c r="BK488"/>
      <c r="BL488" s="277"/>
      <c r="BM488" s="235"/>
      <c r="BN488"/>
      <c r="BO488"/>
      <c r="BP488" s="277"/>
      <c r="BQ488" s="235"/>
      <c r="BR488" s="277"/>
      <c r="BS488" s="235"/>
      <c r="BT488" s="277"/>
      <c r="BU488" s="235"/>
      <c r="BV488" s="277"/>
      <c r="BW488" s="235"/>
      <c r="BX488" s="277"/>
      <c r="BY488" s="235"/>
      <c r="BZ488"/>
      <c r="CB488" s="266"/>
      <c r="CC488"/>
      <c r="CD488" s="277"/>
      <c r="CE488" s="291"/>
      <c r="CF488"/>
      <c r="CG488"/>
      <c r="CH488"/>
      <c r="CI488"/>
      <c r="CK488"/>
      <c r="CL488">
        <v>2</v>
      </c>
      <c r="CM488" s="259">
        <v>42161</v>
      </c>
      <c r="CN488" s="345" t="s">
        <v>8634</v>
      </c>
    </row>
    <row r="489" spans="1:93">
      <c r="A489" s="258">
        <v>806</v>
      </c>
      <c r="B489" s="235">
        <v>806</v>
      </c>
      <c r="C489" s="346" t="s">
        <v>7576</v>
      </c>
      <c r="D489" s="235"/>
      <c r="E489" s="235"/>
      <c r="F489" s="235"/>
      <c r="G489" s="235"/>
      <c r="H489" s="235" t="s">
        <v>265</v>
      </c>
      <c r="I489" s="235">
        <v>2</v>
      </c>
      <c r="K489" s="235">
        <v>71</v>
      </c>
      <c r="L489" s="235">
        <f t="shared" si="245"/>
        <v>71</v>
      </c>
      <c r="M489" s="235">
        <v>12</v>
      </c>
      <c r="O489" s="248">
        <v>42048</v>
      </c>
      <c r="P489" s="223"/>
      <c r="Q489" s="224"/>
      <c r="R489" s="223"/>
      <c r="S489" s="223"/>
      <c r="T489" s="223"/>
      <c r="U489" s="225"/>
      <c r="V489" s="219"/>
      <c r="W489" s="224"/>
      <c r="X489">
        <v>15.55</v>
      </c>
      <c r="Y489" s="223"/>
      <c r="Z489" s="223"/>
      <c r="AA489" s="223"/>
      <c r="AB489" s="220"/>
      <c r="AC489" s="224"/>
      <c r="AD489" s="221"/>
      <c r="AE489" s="224"/>
      <c r="AF489" s="220"/>
      <c r="AG489" s="224"/>
      <c r="AH489" s="220"/>
      <c r="AI489" s="224"/>
      <c r="AJ489" s="286"/>
      <c r="AK489" s="290"/>
      <c r="AL489" s="223"/>
      <c r="AM489" s="223"/>
      <c r="AN489" s="241">
        <v>70</v>
      </c>
      <c r="AO489" s="242">
        <v>42074</v>
      </c>
      <c r="AP489" s="255">
        <v>104</v>
      </c>
      <c r="AQ489" s="242">
        <v>42108</v>
      </c>
      <c r="AR489" s="223"/>
      <c r="AS489" s="297"/>
      <c r="AT489" s="290"/>
      <c r="AU489" s="298"/>
      <c r="AV489" s="223"/>
      <c r="AW489" s="223"/>
      <c r="AX489" s="223"/>
      <c r="AY489" s="223"/>
      <c r="AZ489" s="223"/>
      <c r="BA489" s="223"/>
      <c r="BB489" s="223"/>
      <c r="BC489" s="223"/>
      <c r="BD489" s="223"/>
      <c r="BE489" s="223"/>
      <c r="BF489" s="281"/>
      <c r="BG489" s="235"/>
      <c r="BH489" s="223"/>
      <c r="BI489" s="223"/>
      <c r="BJ489" s="223"/>
      <c r="BK489" s="223"/>
      <c r="BL489" s="281"/>
      <c r="BM489" s="235"/>
      <c r="BN489" s="223"/>
      <c r="BO489" s="223"/>
      <c r="BP489" s="281"/>
      <c r="BQ489" s="235"/>
      <c r="BR489" s="281"/>
      <c r="BS489" s="235"/>
      <c r="BT489" s="281"/>
      <c r="BU489" s="235"/>
      <c r="BV489" s="281"/>
      <c r="BW489" s="235"/>
      <c r="BX489" s="281"/>
      <c r="BY489" s="235"/>
      <c r="BZ489" s="223"/>
      <c r="CA489" s="226"/>
      <c r="CB489" s="266"/>
      <c r="CC489" s="223"/>
      <c r="CD489" s="281"/>
      <c r="CE489" s="291"/>
      <c r="CF489" s="223"/>
      <c r="CG489" s="223"/>
      <c r="CH489" s="223"/>
      <c r="CI489" s="223"/>
      <c r="CK489" s="223"/>
      <c r="CL489" s="223">
        <v>3</v>
      </c>
      <c r="CM489" s="259">
        <v>42161</v>
      </c>
      <c r="CN489" s="345" t="s">
        <v>8634</v>
      </c>
    </row>
    <row r="490" spans="1:93">
      <c r="A490" s="258">
        <v>807</v>
      </c>
      <c r="B490" s="235">
        <v>807</v>
      </c>
      <c r="C490" s="346" t="s">
        <v>7800</v>
      </c>
      <c r="D490" s="235" t="s">
        <v>7598</v>
      </c>
      <c r="E490" s="235" t="s">
        <v>7800</v>
      </c>
      <c r="F490" s="235" t="s">
        <v>8521</v>
      </c>
      <c r="G490" s="235" t="str">
        <f t="shared" ref="G490:G499" si="253">IF(MID(C490,1,3)="BGA","Complement","Rapsodyn")</f>
        <v>Rapsodyn</v>
      </c>
      <c r="H490" s="235" t="s">
        <v>265</v>
      </c>
      <c r="I490" s="235">
        <v>2</v>
      </c>
      <c r="J490" s="235">
        <v>9171</v>
      </c>
      <c r="K490" s="235">
        <v>70</v>
      </c>
      <c r="L490" s="235">
        <f t="shared" si="245"/>
        <v>70</v>
      </c>
      <c r="M490" s="235">
        <v>12</v>
      </c>
      <c r="N490" s="235">
        <v>7</v>
      </c>
      <c r="O490" s="248">
        <v>42048</v>
      </c>
      <c r="P490">
        <v>6.55</v>
      </c>
      <c r="Q490" s="264">
        <v>42204</v>
      </c>
      <c r="R490"/>
      <c r="S490"/>
      <c r="T490"/>
      <c r="V490" s="219">
        <f t="shared" ref="V490:V499" si="254">+BR490*AF490/100</f>
        <v>20.741959846901356</v>
      </c>
      <c r="W490" s="219"/>
      <c r="X490">
        <v>15.55</v>
      </c>
      <c r="Y490"/>
      <c r="Z490"/>
      <c r="AA490"/>
      <c r="AB490" s="220">
        <f t="shared" ref="AB490:AB499" si="255">+AF490*BT490/100</f>
        <v>6.5629392709762717</v>
      </c>
      <c r="AC490" s="219"/>
      <c r="AD490" s="221">
        <f t="shared" ref="AD490:AD499" si="256">+(AF490/AJ490)*10000</f>
        <v>89300.890972704219</v>
      </c>
      <c r="AE490" s="219"/>
      <c r="AF490" s="220">
        <f t="shared" ref="AF490:AF499" si="257">($P490/$X490)*(((100-$CD490)/100*(100-2)/100))*100</f>
        <v>40.542604501607713</v>
      </c>
      <c r="AG490" s="219"/>
      <c r="AH490" s="220">
        <f t="shared" ref="AH490:AH499" si="258">($P490/$X490)*(((100-$CD490)/(100-9)*(100-2)/(100-2))*100)</f>
        <v>45.461543509315675</v>
      </c>
      <c r="AI490" s="219"/>
      <c r="AJ490">
        <v>4.54</v>
      </c>
      <c r="AK490" s="284" t="s">
        <v>8403</v>
      </c>
      <c r="AL490">
        <v>180</v>
      </c>
      <c r="AM490"/>
      <c r="AN490" s="241">
        <v>65</v>
      </c>
      <c r="AO490" s="242">
        <v>42069</v>
      </c>
      <c r="AP490" s="255">
        <v>104</v>
      </c>
      <c r="AQ490" s="242">
        <v>42108</v>
      </c>
      <c r="AR490">
        <v>129</v>
      </c>
      <c r="AS490" s="297">
        <f t="shared" ref="AS490:AS499" si="259">IF(AR490=0,,AR490)</f>
        <v>129</v>
      </c>
      <c r="AT490" s="290">
        <v>42133</v>
      </c>
      <c r="AU490" s="298"/>
      <c r="AV490"/>
      <c r="AW490"/>
      <c r="AX490"/>
      <c r="AY490"/>
      <c r="AZ490"/>
      <c r="BA490"/>
      <c r="BB490"/>
      <c r="BC490"/>
      <c r="BD490"/>
      <c r="BE490"/>
      <c r="BF490" s="277">
        <v>-4.572052001953125</v>
      </c>
      <c r="BG490" s="283">
        <v>42233</v>
      </c>
      <c r="BH490"/>
      <c r="BI490"/>
      <c r="BJ490"/>
      <c r="BK490"/>
      <c r="BL490" s="277">
        <v>65.023117065429688</v>
      </c>
      <c r="BM490" s="283">
        <v>42233</v>
      </c>
      <c r="BN490"/>
      <c r="BO490"/>
      <c r="BP490" s="277">
        <v>3.3678510189056396</v>
      </c>
      <c r="BQ490" s="283">
        <v>42233</v>
      </c>
      <c r="BR490" s="277">
        <v>51.160896301269531</v>
      </c>
      <c r="BS490" s="283">
        <v>42233</v>
      </c>
      <c r="BT490" s="277">
        <v>16.187759399414063</v>
      </c>
      <c r="BU490" s="283">
        <v>42233</v>
      </c>
      <c r="BV490" s="277">
        <v>8.9642419815063477</v>
      </c>
      <c r="BW490" s="283">
        <v>42233</v>
      </c>
      <c r="BX490" s="277">
        <v>5.2421493530273437</v>
      </c>
      <c r="BY490" s="283">
        <v>42233</v>
      </c>
      <c r="BZ490"/>
      <c r="CB490" s="266">
        <v>2.14</v>
      </c>
      <c r="CC490"/>
      <c r="CD490" s="277">
        <v>1.7857142857142794</v>
      </c>
      <c r="CE490" s="291" t="s">
        <v>8403</v>
      </c>
      <c r="CF490"/>
      <c r="CG490"/>
      <c r="CH490">
        <v>2</v>
      </c>
      <c r="CI490">
        <v>3</v>
      </c>
      <c r="CK490"/>
      <c r="CL490">
        <v>1</v>
      </c>
      <c r="CM490" s="259">
        <v>42161</v>
      </c>
      <c r="CN490" s="345" t="s">
        <v>8634</v>
      </c>
    </row>
    <row r="491" spans="1:93">
      <c r="A491" s="258">
        <v>808</v>
      </c>
      <c r="B491" s="235">
        <v>808</v>
      </c>
      <c r="C491" s="347" t="s">
        <v>7748</v>
      </c>
      <c r="D491" s="236" t="s">
        <v>7873</v>
      </c>
      <c r="E491" s="236" t="s">
        <v>7748</v>
      </c>
      <c r="F491" s="236" t="s">
        <v>8473</v>
      </c>
      <c r="G491" s="235" t="str">
        <f t="shared" si="253"/>
        <v>Rapsodyn</v>
      </c>
      <c r="H491" s="235" t="s">
        <v>265</v>
      </c>
      <c r="I491" s="235">
        <v>2</v>
      </c>
      <c r="J491" s="236">
        <v>9122</v>
      </c>
      <c r="K491" s="236">
        <v>69</v>
      </c>
      <c r="L491" s="235">
        <f t="shared" si="245"/>
        <v>69</v>
      </c>
      <c r="M491" s="236">
        <v>12</v>
      </c>
      <c r="N491" s="235">
        <v>7</v>
      </c>
      <c r="O491" s="248">
        <v>42048</v>
      </c>
      <c r="P491">
        <v>3.45</v>
      </c>
      <c r="Q491" s="264">
        <v>42204</v>
      </c>
      <c r="R491"/>
      <c r="S491"/>
      <c r="T491"/>
      <c r="V491" s="219">
        <f t="shared" si="254"/>
        <v>9.7152855549492365</v>
      </c>
      <c r="W491" s="219"/>
      <c r="X491">
        <v>15.55</v>
      </c>
      <c r="Y491"/>
      <c r="Z491"/>
      <c r="AA491"/>
      <c r="AB491" s="220">
        <f t="shared" si="255"/>
        <v>4.0466678679283277</v>
      </c>
      <c r="AC491" s="219"/>
      <c r="AD491" s="221">
        <f t="shared" si="256"/>
        <v>66888.709671788325</v>
      </c>
      <c r="AE491" s="219"/>
      <c r="AF491" s="220">
        <f t="shared" si="257"/>
        <v>20.534833869239012</v>
      </c>
      <c r="AG491" s="219"/>
      <c r="AH491" s="220">
        <f t="shared" si="258"/>
        <v>23.026277045569646</v>
      </c>
      <c r="AI491" s="219"/>
      <c r="AJ491">
        <v>3.07</v>
      </c>
      <c r="AK491" s="284" t="s">
        <v>8403</v>
      </c>
      <c r="AL491">
        <v>180</v>
      </c>
      <c r="AM491"/>
      <c r="AN491" s="241">
        <v>61</v>
      </c>
      <c r="AO491" s="243">
        <v>42065</v>
      </c>
      <c r="AP491" s="255">
        <v>113</v>
      </c>
      <c r="AQ491" s="242">
        <v>42117</v>
      </c>
      <c r="AR491">
        <v>137</v>
      </c>
      <c r="AS491" s="297">
        <f t="shared" si="259"/>
        <v>137</v>
      </c>
      <c r="AT491" s="290">
        <v>42141</v>
      </c>
      <c r="AU491" s="298"/>
      <c r="AV491"/>
      <c r="AW491"/>
      <c r="AX491"/>
      <c r="AY491"/>
      <c r="AZ491"/>
      <c r="BA491"/>
      <c r="BB491"/>
      <c r="BC491"/>
      <c r="BD491"/>
      <c r="BE491"/>
      <c r="BF491" s="277">
        <v>43.073982238769531</v>
      </c>
      <c r="BG491" s="283">
        <v>42233</v>
      </c>
      <c r="BH491"/>
      <c r="BI491"/>
      <c r="BJ491"/>
      <c r="BK491"/>
      <c r="BL491" s="277">
        <v>58.110076904296875</v>
      </c>
      <c r="BM491" s="283">
        <v>42233</v>
      </c>
      <c r="BN491"/>
      <c r="BO491"/>
      <c r="BP491" s="277">
        <v>2.2972939014434814</v>
      </c>
      <c r="BQ491" s="283">
        <v>42233</v>
      </c>
      <c r="BR491" s="277">
        <v>47.311244964599609</v>
      </c>
      <c r="BS491" s="283">
        <v>42233</v>
      </c>
      <c r="BT491" s="277">
        <v>19.706357955932617</v>
      </c>
      <c r="BU491" s="283">
        <v>42233</v>
      </c>
      <c r="BV491" s="277">
        <v>77.181358337402344</v>
      </c>
      <c r="BW491" s="283">
        <v>42233</v>
      </c>
      <c r="BX491" s="277">
        <v>5.4997406005859375</v>
      </c>
      <c r="BY491" s="283">
        <v>42233</v>
      </c>
      <c r="BZ491"/>
      <c r="CB491" s="266">
        <v>2.34</v>
      </c>
      <c r="CC491"/>
      <c r="CD491" s="277">
        <v>5.5555555555555687</v>
      </c>
      <c r="CE491" s="291" t="s">
        <v>8403</v>
      </c>
      <c r="CF491"/>
      <c r="CG491"/>
      <c r="CH491">
        <v>2</v>
      </c>
      <c r="CI491">
        <v>8</v>
      </c>
      <c r="CK491"/>
      <c r="CL491">
        <v>3</v>
      </c>
      <c r="CM491" s="259">
        <v>42161</v>
      </c>
      <c r="CN491" s="345" t="s">
        <v>8634</v>
      </c>
      <c r="CO491" s="137" t="s">
        <v>8405</v>
      </c>
    </row>
    <row r="492" spans="1:93">
      <c r="A492" s="258">
        <v>815</v>
      </c>
      <c r="B492" s="235">
        <v>815</v>
      </c>
      <c r="C492" s="346" t="s">
        <v>7761</v>
      </c>
      <c r="D492" s="235" t="s">
        <v>7838</v>
      </c>
      <c r="E492" s="235" t="s">
        <v>7761</v>
      </c>
      <c r="F492" s="235" t="s">
        <v>8512</v>
      </c>
      <c r="G492" s="235" t="str">
        <f t="shared" si="253"/>
        <v>Rapsodyn</v>
      </c>
      <c r="H492" s="235" t="s">
        <v>265</v>
      </c>
      <c r="I492" s="235">
        <v>2</v>
      </c>
      <c r="J492" s="235">
        <v>9132</v>
      </c>
      <c r="K492" s="235">
        <v>62</v>
      </c>
      <c r="L492" s="235">
        <f t="shared" si="245"/>
        <v>62</v>
      </c>
      <c r="M492" s="235">
        <v>12</v>
      </c>
      <c r="N492" s="235">
        <v>5</v>
      </c>
      <c r="O492" s="248">
        <v>42048</v>
      </c>
      <c r="P492">
        <v>6.05</v>
      </c>
      <c r="Q492" s="264">
        <v>42204</v>
      </c>
      <c r="R492"/>
      <c r="S492"/>
      <c r="T492"/>
      <c r="V492" s="219">
        <f t="shared" si="254"/>
        <v>18.092648102141755</v>
      </c>
      <c r="W492" s="219"/>
      <c r="X492">
        <v>15.55</v>
      </c>
      <c r="Y492"/>
      <c r="Z492"/>
      <c r="AA492"/>
      <c r="AB492" s="220">
        <f t="shared" si="255"/>
        <v>6.1522369036460143</v>
      </c>
      <c r="AC492" s="219"/>
      <c r="AD492" s="221">
        <f t="shared" si="256"/>
        <v>82881.091564524933</v>
      </c>
      <c r="AE492" s="219"/>
      <c r="AF492" s="220">
        <f t="shared" si="257"/>
        <v>35.970393739003825</v>
      </c>
      <c r="AG492" s="219"/>
      <c r="AH492" s="220">
        <f t="shared" si="258"/>
        <v>40.334597150710721</v>
      </c>
      <c r="AI492" s="219"/>
      <c r="AJ492">
        <v>4.34</v>
      </c>
      <c r="AK492" s="284" t="s">
        <v>8398</v>
      </c>
      <c r="AL492">
        <v>175</v>
      </c>
      <c r="AM492"/>
      <c r="AN492" s="241">
        <v>65</v>
      </c>
      <c r="AO492" s="242">
        <v>42069</v>
      </c>
      <c r="AP492" s="255">
        <v>100</v>
      </c>
      <c r="AQ492" s="242">
        <v>42104</v>
      </c>
      <c r="AR492">
        <v>128</v>
      </c>
      <c r="AS492" s="297">
        <f t="shared" si="259"/>
        <v>128</v>
      </c>
      <c r="AT492" s="290">
        <v>42132</v>
      </c>
      <c r="AU492" s="298"/>
      <c r="AV492"/>
      <c r="AW492"/>
      <c r="AX492"/>
      <c r="AY492"/>
      <c r="AZ492"/>
      <c r="BA492"/>
      <c r="BB492"/>
      <c r="BC492"/>
      <c r="BD492"/>
      <c r="BE492"/>
      <c r="BF492" s="277">
        <v>-0.57404297590255737</v>
      </c>
      <c r="BG492" s="283">
        <v>42230</v>
      </c>
      <c r="BH492"/>
      <c r="BI492"/>
      <c r="BJ492"/>
      <c r="BK492"/>
      <c r="BL492" s="277">
        <v>64.286148071289062</v>
      </c>
      <c r="BM492" s="283">
        <v>42230</v>
      </c>
      <c r="BN492"/>
      <c r="BO492"/>
      <c r="BP492" s="277">
        <v>3.9614899158477783</v>
      </c>
      <c r="BQ492" s="283">
        <v>42230</v>
      </c>
      <c r="BR492" s="277">
        <v>50.298721313476562</v>
      </c>
      <c r="BS492" s="283">
        <v>42230</v>
      </c>
      <c r="BT492" s="277">
        <v>17.103612899780273</v>
      </c>
      <c r="BU492" s="283">
        <v>42230</v>
      </c>
      <c r="BV492" s="277">
        <v>13.212930679321289</v>
      </c>
      <c r="BW492" s="283">
        <v>42230</v>
      </c>
      <c r="BX492" s="277">
        <v>5.5093612670898437</v>
      </c>
      <c r="BY492" s="283">
        <v>42230</v>
      </c>
      <c r="BZ492"/>
      <c r="CB492" s="266">
        <v>1.76</v>
      </c>
      <c r="CC492"/>
      <c r="CD492" s="277">
        <v>5.660377358490563</v>
      </c>
      <c r="CE492" s="291" t="s">
        <v>8398</v>
      </c>
      <c r="CF492"/>
      <c r="CG492"/>
      <c r="CH492">
        <v>2</v>
      </c>
      <c r="CI492">
        <v>3</v>
      </c>
      <c r="CK492"/>
      <c r="CL492">
        <v>1</v>
      </c>
      <c r="CM492" s="259">
        <v>42161</v>
      </c>
      <c r="CN492" s="345" t="s">
        <v>8634</v>
      </c>
    </row>
    <row r="493" spans="1:93">
      <c r="A493" s="258">
        <v>816</v>
      </c>
      <c r="B493" s="235">
        <v>816</v>
      </c>
      <c r="C493" s="346" t="s">
        <v>7637</v>
      </c>
      <c r="D493" s="235" t="s">
        <v>7470</v>
      </c>
      <c r="E493" s="235" t="s">
        <v>7637</v>
      </c>
      <c r="F493" s="235" t="s">
        <v>8549</v>
      </c>
      <c r="G493" s="235" t="str">
        <f t="shared" si="253"/>
        <v>Rapsodyn</v>
      </c>
      <c r="H493" s="235" t="s">
        <v>265</v>
      </c>
      <c r="I493" s="235">
        <v>2</v>
      </c>
      <c r="J493" s="235">
        <v>9025</v>
      </c>
      <c r="K493" s="235">
        <v>61</v>
      </c>
      <c r="L493" s="235">
        <f t="shared" si="245"/>
        <v>61</v>
      </c>
      <c r="M493" s="235">
        <v>12</v>
      </c>
      <c r="N493" s="235">
        <v>7</v>
      </c>
      <c r="O493" s="248">
        <v>42048</v>
      </c>
      <c r="P493">
        <v>5.2</v>
      </c>
      <c r="Q493" s="264">
        <v>42204</v>
      </c>
      <c r="R493"/>
      <c r="S493"/>
      <c r="T493"/>
      <c r="V493" s="219">
        <f t="shared" si="254"/>
        <v>14.921106848757926</v>
      </c>
      <c r="W493" s="219"/>
      <c r="X493">
        <v>15.55</v>
      </c>
      <c r="Y493"/>
      <c r="Z493"/>
      <c r="AA493"/>
      <c r="AB493" s="220">
        <f t="shared" si="255"/>
        <v>5.8467673909713014</v>
      </c>
      <c r="AC493" s="219"/>
      <c r="AD493" s="221">
        <f t="shared" si="256"/>
        <v>69814.943038265788</v>
      </c>
      <c r="AE493" s="219"/>
      <c r="AF493" s="220">
        <f t="shared" si="257"/>
        <v>31.486539310257871</v>
      </c>
      <c r="AG493" s="219"/>
      <c r="AH493" s="220">
        <f t="shared" si="258"/>
        <v>35.306727192484715</v>
      </c>
      <c r="AI493" s="219"/>
      <c r="AJ493">
        <v>4.51</v>
      </c>
      <c r="AK493" s="284" t="s">
        <v>8398</v>
      </c>
      <c r="AL493">
        <v>165</v>
      </c>
      <c r="AM493"/>
      <c r="AN493" s="241">
        <v>79</v>
      </c>
      <c r="AO493" s="242">
        <v>42083</v>
      </c>
      <c r="AP493" s="255">
        <v>106</v>
      </c>
      <c r="AQ493" s="242">
        <v>42110</v>
      </c>
      <c r="AR493">
        <v>131</v>
      </c>
      <c r="AS493" s="297">
        <f t="shared" si="259"/>
        <v>131</v>
      </c>
      <c r="AT493" s="290">
        <v>42135</v>
      </c>
      <c r="AU493" s="298"/>
      <c r="AV493"/>
      <c r="AW493"/>
      <c r="AX493"/>
      <c r="AY493"/>
      <c r="AZ493"/>
      <c r="BA493"/>
      <c r="BB493"/>
      <c r="BC493"/>
      <c r="BD493"/>
      <c r="BE493"/>
      <c r="BF493" s="277">
        <v>-4.6608519554138184</v>
      </c>
      <c r="BG493" s="283">
        <v>42230</v>
      </c>
      <c r="BH493"/>
      <c r="BI493"/>
      <c r="BJ493"/>
      <c r="BK493"/>
      <c r="BL493" s="277">
        <v>59.198463439941406</v>
      </c>
      <c r="BM493" s="283">
        <v>42230</v>
      </c>
      <c r="BN493"/>
      <c r="BO493"/>
      <c r="BP493" s="277">
        <v>3.6489949226379395</v>
      </c>
      <c r="BQ493" s="283">
        <v>42230</v>
      </c>
      <c r="BR493" s="277">
        <v>47.388843536376953</v>
      </c>
      <c r="BS493" s="283">
        <v>42230</v>
      </c>
      <c r="BT493" s="277">
        <v>18.569101333618164</v>
      </c>
      <c r="BU493" s="283">
        <v>42230</v>
      </c>
      <c r="BV493" s="277">
        <v>67.498985290527344</v>
      </c>
      <c r="BW493" s="283">
        <v>42230</v>
      </c>
      <c r="BX493" s="277">
        <v>5.6102218627929687</v>
      </c>
      <c r="BY493" s="283">
        <v>42230</v>
      </c>
      <c r="BZ493"/>
      <c r="CB493" s="266">
        <v>1.5</v>
      </c>
      <c r="CC493"/>
      <c r="CD493" s="277">
        <v>3.9215686274509665</v>
      </c>
      <c r="CE493" s="291" t="s">
        <v>8398</v>
      </c>
      <c r="CF493"/>
      <c r="CG493"/>
      <c r="CH493">
        <v>3</v>
      </c>
      <c r="CI493">
        <v>3</v>
      </c>
      <c r="CK493"/>
      <c r="CL493">
        <v>2</v>
      </c>
      <c r="CM493" s="259">
        <v>42161</v>
      </c>
      <c r="CN493" s="345" t="s">
        <v>8634</v>
      </c>
    </row>
    <row r="494" spans="1:93">
      <c r="A494" s="258">
        <v>817</v>
      </c>
      <c r="B494" s="235">
        <v>817</v>
      </c>
      <c r="C494" s="349" t="s">
        <v>7709</v>
      </c>
      <c r="D494" s="238" t="s">
        <v>7820</v>
      </c>
      <c r="E494" s="238" t="s">
        <v>7709</v>
      </c>
      <c r="F494" s="238" t="s">
        <v>8619</v>
      </c>
      <c r="G494" s="235" t="str">
        <f t="shared" si="253"/>
        <v>Rapsodyn</v>
      </c>
      <c r="H494" s="235" t="s">
        <v>265</v>
      </c>
      <c r="I494" s="235">
        <v>2</v>
      </c>
      <c r="J494" s="238">
        <v>9091</v>
      </c>
      <c r="K494" s="238">
        <v>60</v>
      </c>
      <c r="L494" s="235">
        <f t="shared" si="245"/>
        <v>60</v>
      </c>
      <c r="M494" s="238">
        <v>12</v>
      </c>
      <c r="N494" s="235">
        <v>7</v>
      </c>
      <c r="O494" s="248">
        <v>42048</v>
      </c>
      <c r="P494">
        <v>4.45</v>
      </c>
      <c r="Q494" s="264">
        <v>42204</v>
      </c>
      <c r="R494"/>
      <c r="S494"/>
      <c r="T494"/>
      <c r="V494" s="219">
        <f t="shared" si="254"/>
        <v>13.058534152008342</v>
      </c>
      <c r="W494" s="219"/>
      <c r="X494">
        <v>15.55</v>
      </c>
      <c r="Y494"/>
      <c r="Z494"/>
      <c r="AA494"/>
      <c r="AB494" s="220">
        <f t="shared" si="255"/>
        <v>4.6235431306890549</v>
      </c>
      <c r="AC494" s="219"/>
      <c r="AD494" s="221">
        <f t="shared" si="256"/>
        <v>68718.350580193277</v>
      </c>
      <c r="AE494" s="219"/>
      <c r="AF494" s="220">
        <f t="shared" si="257"/>
        <v>27.006311778015956</v>
      </c>
      <c r="AG494" s="219"/>
      <c r="AH494" s="220">
        <f t="shared" si="258"/>
        <v>30.282924173599408</v>
      </c>
      <c r="AI494" s="219"/>
      <c r="AJ494">
        <v>3.93</v>
      </c>
      <c r="AK494" s="284" t="s">
        <v>8398</v>
      </c>
      <c r="AL494">
        <v>175</v>
      </c>
      <c r="AM494"/>
      <c r="AN494" s="241">
        <v>63</v>
      </c>
      <c r="AO494" s="246">
        <v>42067</v>
      </c>
      <c r="AP494" s="255">
        <v>104</v>
      </c>
      <c r="AQ494" s="242">
        <v>42108</v>
      </c>
      <c r="AR494">
        <v>131</v>
      </c>
      <c r="AS494" s="297">
        <f t="shared" si="259"/>
        <v>131</v>
      </c>
      <c r="AT494" s="290">
        <v>42135</v>
      </c>
      <c r="AU494" s="298"/>
      <c r="AV494"/>
      <c r="AW494"/>
      <c r="AX494"/>
      <c r="AY494"/>
      <c r="AZ494"/>
      <c r="BA494"/>
      <c r="BB494"/>
      <c r="BC494"/>
      <c r="BD494"/>
      <c r="BE494"/>
      <c r="BF494" s="277">
        <v>-1.3047349452972412</v>
      </c>
      <c r="BG494" s="283">
        <v>42230</v>
      </c>
      <c r="BH494"/>
      <c r="BI494"/>
      <c r="BJ494"/>
      <c r="BK494"/>
      <c r="BL494" s="277">
        <v>58.751171112060547</v>
      </c>
      <c r="BM494" s="283">
        <v>42230</v>
      </c>
      <c r="BN494"/>
      <c r="BO494"/>
      <c r="BP494" s="277">
        <v>4.3374872207641602</v>
      </c>
      <c r="BQ494" s="283">
        <v>42230</v>
      </c>
      <c r="BR494" s="277">
        <v>48.3536376953125</v>
      </c>
      <c r="BS494" s="283">
        <v>42230</v>
      </c>
      <c r="BT494" s="277">
        <v>17.120231628417969</v>
      </c>
      <c r="BU494" s="283">
        <v>42230</v>
      </c>
      <c r="BV494" s="277">
        <v>20.440280914306641</v>
      </c>
      <c r="BW494" s="283">
        <v>42230</v>
      </c>
      <c r="BX494" s="277">
        <v>5.3268280029296875</v>
      </c>
      <c r="BY494" s="283">
        <v>42230</v>
      </c>
      <c r="BZ494"/>
      <c r="CB494" s="266">
        <v>1.53</v>
      </c>
      <c r="CC494"/>
      <c r="CD494" s="277">
        <v>3.7037037037037068</v>
      </c>
      <c r="CE494" s="291" t="s">
        <v>8398</v>
      </c>
      <c r="CF494"/>
      <c r="CG494"/>
      <c r="CH494">
        <v>2</v>
      </c>
      <c r="CI494">
        <v>5</v>
      </c>
      <c r="CK494"/>
      <c r="CL494">
        <v>2</v>
      </c>
      <c r="CM494" s="259">
        <v>42161</v>
      </c>
      <c r="CN494" s="345" t="s">
        <v>8634</v>
      </c>
    </row>
    <row r="495" spans="1:93">
      <c r="A495" s="258">
        <v>821</v>
      </c>
      <c r="B495" s="235">
        <v>821</v>
      </c>
      <c r="C495" s="346" t="s">
        <v>7658</v>
      </c>
      <c r="D495" s="235" t="s">
        <v>7488</v>
      </c>
      <c r="E495" s="235" t="s">
        <v>7658</v>
      </c>
      <c r="F495" s="235" t="s">
        <v>8566</v>
      </c>
      <c r="G495" s="235" t="str">
        <f t="shared" si="253"/>
        <v>Rapsodyn</v>
      </c>
      <c r="H495" s="235" t="s">
        <v>265</v>
      </c>
      <c r="I495" s="235">
        <v>2</v>
      </c>
      <c r="J495" s="235">
        <v>9041</v>
      </c>
      <c r="K495" s="235">
        <v>56</v>
      </c>
      <c r="L495" s="235">
        <f t="shared" si="245"/>
        <v>56</v>
      </c>
      <c r="M495" s="235">
        <v>12</v>
      </c>
      <c r="N495" s="235">
        <v>7</v>
      </c>
      <c r="O495" s="248">
        <v>42048</v>
      </c>
      <c r="P495">
        <v>6.6</v>
      </c>
      <c r="Q495" s="264">
        <v>42204</v>
      </c>
      <c r="R495"/>
      <c r="S495"/>
      <c r="T495"/>
      <c r="V495" s="219">
        <f t="shared" si="254"/>
        <v>19.190192325066299</v>
      </c>
      <c r="W495" s="219"/>
      <c r="X495">
        <v>15.55</v>
      </c>
      <c r="Y495"/>
      <c r="Z495"/>
      <c r="AA495"/>
      <c r="AB495" s="220">
        <f t="shared" si="255"/>
        <v>6.1962190785605227</v>
      </c>
      <c r="AC495" s="219"/>
      <c r="AD495" s="221">
        <f t="shared" si="256"/>
        <v>99298.063063447247</v>
      </c>
      <c r="AE495" s="219"/>
      <c r="AF495" s="220">
        <f t="shared" si="257"/>
        <v>38.726244594744429</v>
      </c>
      <c r="AG495" s="219"/>
      <c r="AH495" s="220">
        <f t="shared" si="258"/>
        <v>43.424808919874891</v>
      </c>
      <c r="AI495" s="219"/>
      <c r="AJ495">
        <v>3.9</v>
      </c>
      <c r="AK495" s="284" t="s">
        <v>8399</v>
      </c>
      <c r="AL495">
        <v>165</v>
      </c>
      <c r="AM495"/>
      <c r="AN495" s="241">
        <v>70</v>
      </c>
      <c r="AO495" s="242">
        <v>42074</v>
      </c>
      <c r="AP495" s="255">
        <v>106</v>
      </c>
      <c r="AQ495" s="242">
        <v>42110</v>
      </c>
      <c r="AR495">
        <v>132</v>
      </c>
      <c r="AS495" s="297">
        <f t="shared" si="259"/>
        <v>132</v>
      </c>
      <c r="AT495" s="290">
        <v>42136</v>
      </c>
      <c r="AU495" s="298"/>
      <c r="AV495"/>
      <c r="AW495"/>
      <c r="AX495"/>
      <c r="AY495"/>
      <c r="AZ495"/>
      <c r="BA495"/>
      <c r="BB495"/>
      <c r="BC495"/>
      <c r="BD495"/>
      <c r="BE495"/>
      <c r="BF495" s="277">
        <v>-0.73649001121520996</v>
      </c>
      <c r="BG495" s="283">
        <v>42234</v>
      </c>
      <c r="BH495"/>
      <c r="BI495"/>
      <c r="BJ495"/>
      <c r="BK495"/>
      <c r="BL495" s="277">
        <v>67.658950805664063</v>
      </c>
      <c r="BM495" s="283">
        <v>42234</v>
      </c>
      <c r="BN495"/>
      <c r="BO495"/>
      <c r="BP495" s="277">
        <v>4.377896785736084</v>
      </c>
      <c r="BQ495" s="283">
        <v>42234</v>
      </c>
      <c r="BR495" s="277">
        <v>49.553455352783203</v>
      </c>
      <c r="BS495" s="283">
        <v>42234</v>
      </c>
      <c r="BT495" s="277">
        <v>16.000051498413086</v>
      </c>
      <c r="BU495" s="283">
        <v>42234</v>
      </c>
      <c r="BV495" s="277">
        <v>11.883853912353516</v>
      </c>
      <c r="BW495" s="283">
        <v>42234</v>
      </c>
      <c r="BX495" s="277">
        <v>5.3100738525390625</v>
      </c>
      <c r="BY495" s="283">
        <v>42234</v>
      </c>
      <c r="BZ495"/>
      <c r="CB495" s="266">
        <v>1.87</v>
      </c>
      <c r="CC495"/>
      <c r="CD495" s="277">
        <v>6.8965517241379226</v>
      </c>
      <c r="CE495" s="291" t="s">
        <v>8399</v>
      </c>
      <c r="CF495"/>
      <c r="CG495"/>
      <c r="CH495">
        <v>2</v>
      </c>
      <c r="CI495">
        <v>4</v>
      </c>
      <c r="CK495"/>
      <c r="CL495">
        <v>1</v>
      </c>
      <c r="CM495" s="259">
        <v>42161</v>
      </c>
      <c r="CN495" s="345" t="s">
        <v>8634</v>
      </c>
    </row>
    <row r="496" spans="1:93">
      <c r="A496" s="258">
        <v>822</v>
      </c>
      <c r="B496" s="235">
        <v>822</v>
      </c>
      <c r="C496" s="346" t="s">
        <v>7680</v>
      </c>
      <c r="D496" s="235" t="s">
        <v>7507</v>
      </c>
      <c r="E496" s="235" t="s">
        <v>7680</v>
      </c>
      <c r="F496" s="235" t="s">
        <v>8615</v>
      </c>
      <c r="G496" s="235" t="str">
        <f t="shared" si="253"/>
        <v>Rapsodyn</v>
      </c>
      <c r="H496" s="235" t="s">
        <v>265</v>
      </c>
      <c r="I496" s="235">
        <v>2</v>
      </c>
      <c r="J496" s="235">
        <v>9062</v>
      </c>
      <c r="K496" s="235">
        <v>55</v>
      </c>
      <c r="L496" s="235">
        <f t="shared" si="245"/>
        <v>55</v>
      </c>
      <c r="M496" s="235">
        <v>12</v>
      </c>
      <c r="N496" s="235">
        <v>5</v>
      </c>
      <c r="O496" s="248">
        <v>42048</v>
      </c>
      <c r="P496">
        <v>5.15</v>
      </c>
      <c r="Q496" s="264">
        <v>42204</v>
      </c>
      <c r="R496"/>
      <c r="S496"/>
      <c r="T496"/>
      <c r="V496" s="219">
        <f t="shared" si="254"/>
        <v>15.245688645795683</v>
      </c>
      <c r="W496" s="219"/>
      <c r="X496">
        <v>15.55</v>
      </c>
      <c r="Y496"/>
      <c r="Z496"/>
      <c r="AA496"/>
      <c r="AB496" s="220">
        <f t="shared" si="255"/>
        <v>5.3256173124014659</v>
      </c>
      <c r="AC496" s="219"/>
      <c r="AD496" s="221">
        <f t="shared" si="256"/>
        <v>69609.121722070107</v>
      </c>
      <c r="AE496" s="219"/>
      <c r="AF496" s="220">
        <f t="shared" si="257"/>
        <v>31.254495653209482</v>
      </c>
      <c r="AG496" s="219"/>
      <c r="AH496" s="220">
        <f t="shared" si="258"/>
        <v>35.046530223379094</v>
      </c>
      <c r="AI496" s="219"/>
      <c r="AJ496">
        <v>4.49</v>
      </c>
      <c r="AK496" s="284" t="s">
        <v>8399</v>
      </c>
      <c r="AL496">
        <v>160</v>
      </c>
      <c r="AM496"/>
      <c r="AN496" s="241">
        <v>72</v>
      </c>
      <c r="AO496" s="242">
        <v>42076</v>
      </c>
      <c r="AP496" s="255">
        <v>110</v>
      </c>
      <c r="AQ496" s="242">
        <v>42114</v>
      </c>
      <c r="AR496">
        <v>133</v>
      </c>
      <c r="AS496" s="297">
        <f t="shared" si="259"/>
        <v>133</v>
      </c>
      <c r="AT496" s="290">
        <v>42137</v>
      </c>
      <c r="AU496" s="298"/>
      <c r="AV496"/>
      <c r="AW496"/>
      <c r="AX496"/>
      <c r="AY496"/>
      <c r="AZ496"/>
      <c r="BA496"/>
      <c r="BB496"/>
      <c r="BC496"/>
      <c r="BD496"/>
      <c r="BE496"/>
      <c r="BF496" s="277">
        <v>-2.133167028427124</v>
      </c>
      <c r="BG496" s="283">
        <v>42234</v>
      </c>
      <c r="BH496"/>
      <c r="BI496"/>
      <c r="BJ496"/>
      <c r="BK496"/>
      <c r="BL496" s="277">
        <v>61.105064392089844</v>
      </c>
      <c r="BM496" s="283">
        <v>42234</v>
      </c>
      <c r="BN496"/>
      <c r="BO496"/>
      <c r="BP496" s="277">
        <v>2.9155089855194092</v>
      </c>
      <c r="BQ496" s="283">
        <v>42234</v>
      </c>
      <c r="BR496" s="277">
        <v>48.779186248779297</v>
      </c>
      <c r="BS496" s="283">
        <v>42234</v>
      </c>
      <c r="BT496" s="277">
        <v>17.039524078369141</v>
      </c>
      <c r="BU496" s="283">
        <v>42234</v>
      </c>
      <c r="BV496" s="277">
        <v>24.582309722900391</v>
      </c>
      <c r="BW496" s="283">
        <v>42234</v>
      </c>
      <c r="BX496" s="277">
        <v>5.3411178588867188</v>
      </c>
      <c r="BY496" s="283">
        <v>42234</v>
      </c>
      <c r="BZ496"/>
      <c r="CB496" s="266">
        <v>2.06</v>
      </c>
      <c r="CC496"/>
      <c r="CD496" s="277">
        <v>3.7037037037037068</v>
      </c>
      <c r="CE496" s="291" t="s">
        <v>8399</v>
      </c>
      <c r="CF496"/>
      <c r="CG496"/>
      <c r="CH496">
        <v>2</v>
      </c>
      <c r="CI496">
        <v>7</v>
      </c>
      <c r="CK496"/>
      <c r="CL496">
        <v>3</v>
      </c>
      <c r="CM496" s="259">
        <v>42161</v>
      </c>
      <c r="CN496" s="345" t="s">
        <v>8634</v>
      </c>
      <c r="CO496" s="137" t="s">
        <v>8405</v>
      </c>
    </row>
    <row r="497" spans="1:94">
      <c r="A497" s="258">
        <v>823</v>
      </c>
      <c r="B497" s="235">
        <v>823</v>
      </c>
      <c r="C497" s="346" t="s">
        <v>7700</v>
      </c>
      <c r="D497" s="235" t="s">
        <v>7526</v>
      </c>
      <c r="E497" s="235" t="s">
        <v>7700</v>
      </c>
      <c r="F497" s="235" t="s">
        <v>8516</v>
      </c>
      <c r="G497" s="235" t="str">
        <f t="shared" si="253"/>
        <v>Rapsodyn</v>
      </c>
      <c r="H497" s="235" t="s">
        <v>265</v>
      </c>
      <c r="I497" s="235">
        <v>2</v>
      </c>
      <c r="J497" s="235">
        <v>9082</v>
      </c>
      <c r="K497" s="235">
        <v>54</v>
      </c>
      <c r="L497" s="235">
        <f t="shared" si="245"/>
        <v>54</v>
      </c>
      <c r="M497" s="235">
        <v>12</v>
      </c>
      <c r="N497" s="236">
        <v>5</v>
      </c>
      <c r="O497" s="248">
        <v>42048</v>
      </c>
      <c r="P497">
        <v>5.7</v>
      </c>
      <c r="Q497" s="264">
        <v>42204</v>
      </c>
      <c r="R497"/>
      <c r="S497"/>
      <c r="T497"/>
      <c r="V497" s="219">
        <f t="shared" si="254"/>
        <v>16.370600059947609</v>
      </c>
      <c r="W497" s="219"/>
      <c r="X497">
        <v>15.55</v>
      </c>
      <c r="Y497"/>
      <c r="Z497"/>
      <c r="AA497"/>
      <c r="AB497" s="220">
        <f t="shared" si="255"/>
        <v>5.7142031785552669</v>
      </c>
      <c r="AC497" s="219"/>
      <c r="AD497" s="221">
        <f t="shared" si="256"/>
        <v>79453.762278490787</v>
      </c>
      <c r="AE497" s="219"/>
      <c r="AF497" s="220">
        <f t="shared" si="257"/>
        <v>33.211672632409147</v>
      </c>
      <c r="AG497" s="219"/>
      <c r="AH497" s="220">
        <f t="shared" si="258"/>
        <v>37.241166889895887</v>
      </c>
      <c r="AI497" s="219"/>
      <c r="AJ497">
        <v>4.18</v>
      </c>
      <c r="AK497" s="284" t="s">
        <v>8399</v>
      </c>
      <c r="AL497">
        <v>170</v>
      </c>
      <c r="AM497"/>
      <c r="AN497" s="241">
        <v>70</v>
      </c>
      <c r="AO497" s="242">
        <v>42074</v>
      </c>
      <c r="AP497" s="255">
        <v>106</v>
      </c>
      <c r="AQ497" s="242">
        <v>42110</v>
      </c>
      <c r="AR497">
        <v>131</v>
      </c>
      <c r="AS497" s="297">
        <f t="shared" si="259"/>
        <v>131</v>
      </c>
      <c r="AT497" s="290">
        <v>42135</v>
      </c>
      <c r="AU497" s="298"/>
      <c r="AV497"/>
      <c r="AW497"/>
      <c r="AX497"/>
      <c r="AY497"/>
      <c r="AZ497"/>
      <c r="BA497"/>
      <c r="BB497"/>
      <c r="BC497"/>
      <c r="BD497"/>
      <c r="BE497"/>
      <c r="BF497" s="277">
        <v>0.5681300163269043</v>
      </c>
      <c r="BG497" s="283">
        <v>42233</v>
      </c>
      <c r="BH497"/>
      <c r="BI497"/>
      <c r="BJ497"/>
      <c r="BK497"/>
      <c r="BL497" s="277">
        <v>65.657173156738281</v>
      </c>
      <c r="BM497" s="283">
        <v>42233</v>
      </c>
      <c r="BN497"/>
      <c r="BO497"/>
      <c r="BP497" s="277">
        <v>2.6079080104827881</v>
      </c>
      <c r="BQ497" s="283">
        <v>42233</v>
      </c>
      <c r="BR497" s="277">
        <v>49.291706085205078</v>
      </c>
      <c r="BS497" s="283">
        <v>42233</v>
      </c>
      <c r="BT497" s="277">
        <v>17.205406188964844</v>
      </c>
      <c r="BU497" s="283">
        <v>42233</v>
      </c>
      <c r="BV497" s="277">
        <v>13.476614952087402</v>
      </c>
      <c r="BW497" s="283">
        <v>42233</v>
      </c>
      <c r="BX497" s="277">
        <v>5.4457168579101563</v>
      </c>
      <c r="BY497" s="283">
        <v>42233</v>
      </c>
      <c r="BZ497"/>
      <c r="CB497" s="266">
        <v>2.33</v>
      </c>
      <c r="CC497"/>
      <c r="CD497" s="277">
        <v>7.547169811320745</v>
      </c>
      <c r="CE497" s="291" t="s">
        <v>8399</v>
      </c>
      <c r="CF497"/>
      <c r="CG497"/>
      <c r="CH497">
        <v>2</v>
      </c>
      <c r="CI497">
        <v>5</v>
      </c>
      <c r="CK497"/>
      <c r="CL497">
        <v>3</v>
      </c>
      <c r="CM497" s="259">
        <v>42161</v>
      </c>
      <c r="CN497" s="345" t="s">
        <v>8634</v>
      </c>
    </row>
    <row r="498" spans="1:94">
      <c r="A498" s="258">
        <v>824</v>
      </c>
      <c r="B498" s="235">
        <v>824</v>
      </c>
      <c r="C498" s="346" t="s">
        <v>7772</v>
      </c>
      <c r="D498" s="235" t="s">
        <v>7570</v>
      </c>
      <c r="E498" s="235" t="s">
        <v>7772</v>
      </c>
      <c r="F498" s="235" t="s">
        <v>8486</v>
      </c>
      <c r="G498" s="235" t="str">
        <f t="shared" si="253"/>
        <v>Rapsodyn</v>
      </c>
      <c r="H498" s="235" t="s">
        <v>265</v>
      </c>
      <c r="I498" s="235">
        <v>2</v>
      </c>
      <c r="J498" s="235">
        <v>9143</v>
      </c>
      <c r="K498" s="235">
        <v>53</v>
      </c>
      <c r="L498" s="235">
        <f t="shared" si="245"/>
        <v>53</v>
      </c>
      <c r="M498" s="235">
        <v>12</v>
      </c>
      <c r="N498" s="235">
        <v>7</v>
      </c>
      <c r="O498" s="248">
        <v>42048</v>
      </c>
      <c r="P498">
        <v>6</v>
      </c>
      <c r="Q498" s="264">
        <v>42204</v>
      </c>
      <c r="R498"/>
      <c r="S498"/>
      <c r="T498"/>
      <c r="V498" s="219">
        <f t="shared" si="254"/>
        <v>18.537253181078</v>
      </c>
      <c r="W498" s="219"/>
      <c r="X498">
        <v>15.55</v>
      </c>
      <c r="Y498"/>
      <c r="Z498"/>
      <c r="AA498"/>
      <c r="AB498" s="220">
        <f t="shared" si="255"/>
        <v>5.2863599597922972</v>
      </c>
      <c r="AC498" s="219"/>
      <c r="AD498" s="221">
        <f t="shared" si="256"/>
        <v>87874.521012406389</v>
      </c>
      <c r="AE498" s="219"/>
      <c r="AF498" s="220">
        <f t="shared" si="257"/>
        <v>35.589181010024589</v>
      </c>
      <c r="AG498" s="219"/>
      <c r="AH498" s="220">
        <f t="shared" si="258"/>
        <v>39.907132776434842</v>
      </c>
      <c r="AI498" s="219"/>
      <c r="AJ498">
        <v>4.05</v>
      </c>
      <c r="AK498" s="284" t="s">
        <v>8399</v>
      </c>
      <c r="AL498">
        <v>175</v>
      </c>
      <c r="AM498"/>
      <c r="AN498" s="241">
        <v>65</v>
      </c>
      <c r="AO498" s="242">
        <v>42069</v>
      </c>
      <c r="AP498" s="255">
        <v>106</v>
      </c>
      <c r="AQ498" s="242">
        <v>42110</v>
      </c>
      <c r="AR498">
        <v>132</v>
      </c>
      <c r="AS498" s="297">
        <f t="shared" si="259"/>
        <v>132</v>
      </c>
      <c r="AT498" s="290">
        <v>42136</v>
      </c>
      <c r="AU498" s="298"/>
      <c r="AV498"/>
      <c r="AW498"/>
      <c r="AX498"/>
      <c r="AY498"/>
      <c r="AZ498"/>
      <c r="BA498"/>
      <c r="BB498"/>
      <c r="BC498"/>
      <c r="BD498"/>
      <c r="BE498"/>
      <c r="BF498" s="277">
        <v>1.7804299592971802</v>
      </c>
      <c r="BG498" s="283">
        <v>42233</v>
      </c>
      <c r="BH498"/>
      <c r="BI498"/>
      <c r="BJ498"/>
      <c r="BK498"/>
      <c r="BL498" s="277">
        <v>65.26397705078125</v>
      </c>
      <c r="BM498" s="283">
        <v>42233</v>
      </c>
      <c r="BN498"/>
      <c r="BO498"/>
      <c r="BP498" s="277">
        <v>3.5502660274505615</v>
      </c>
      <c r="BQ498" s="283">
        <v>42233</v>
      </c>
      <c r="BR498" s="277">
        <v>52.086765289306641</v>
      </c>
      <c r="BS498" s="283">
        <v>42233</v>
      </c>
      <c r="BT498" s="277">
        <v>14.853839874267578</v>
      </c>
      <c r="BU498" s="283">
        <v>42233</v>
      </c>
      <c r="BV498" s="277">
        <v>14.432119369506836</v>
      </c>
      <c r="BW498" s="283">
        <v>42233</v>
      </c>
      <c r="BX498" s="277">
        <v>5.1985321044921875</v>
      </c>
      <c r="BY498" s="283">
        <v>42233</v>
      </c>
      <c r="BZ498"/>
      <c r="CB498" s="266">
        <v>2.0099999999999998</v>
      </c>
      <c r="CC498"/>
      <c r="CD498" s="277">
        <v>5.8823529411764675</v>
      </c>
      <c r="CE498" s="291" t="s">
        <v>8399</v>
      </c>
      <c r="CF498"/>
      <c r="CG498"/>
      <c r="CH498">
        <v>2</v>
      </c>
      <c r="CI498">
        <v>3</v>
      </c>
      <c r="CK498"/>
      <c r="CL498" s="223">
        <v>1</v>
      </c>
      <c r="CM498" s="259">
        <v>42161</v>
      </c>
      <c r="CN498" s="345" t="s">
        <v>8634</v>
      </c>
    </row>
    <row r="499" spans="1:94">
      <c r="A499" s="258">
        <v>825</v>
      </c>
      <c r="B499" s="235">
        <v>825</v>
      </c>
      <c r="C499" s="346" t="s">
        <v>7725</v>
      </c>
      <c r="D499" s="235" t="s">
        <v>7548</v>
      </c>
      <c r="E499" s="235" t="s">
        <v>7725</v>
      </c>
      <c r="F499" s="235" t="s">
        <v>8622</v>
      </c>
      <c r="G499" s="235" t="str">
        <f t="shared" si="253"/>
        <v>Rapsodyn</v>
      </c>
      <c r="H499" s="235" t="s">
        <v>265</v>
      </c>
      <c r="I499" s="235">
        <v>2</v>
      </c>
      <c r="J499" s="235">
        <v>9107</v>
      </c>
      <c r="K499" s="235">
        <v>52</v>
      </c>
      <c r="L499" s="235">
        <f t="shared" si="245"/>
        <v>52</v>
      </c>
      <c r="M499" s="235">
        <v>12</v>
      </c>
      <c r="N499" s="235">
        <v>7</v>
      </c>
      <c r="O499" s="248">
        <v>42048</v>
      </c>
      <c r="P499">
        <v>5.05</v>
      </c>
      <c r="Q499" s="264">
        <v>42204</v>
      </c>
      <c r="R499"/>
      <c r="S499"/>
      <c r="T499"/>
      <c r="V499" s="219">
        <f t="shared" si="254"/>
        <v>15.344061932416951</v>
      </c>
      <c r="W499" s="219"/>
      <c r="X499">
        <v>15.55</v>
      </c>
      <c r="Y499"/>
      <c r="Z499"/>
      <c r="AA499"/>
      <c r="AB499" s="220">
        <f t="shared" si="255"/>
        <v>5.2582465981166351</v>
      </c>
      <c r="AC499" s="219"/>
      <c r="AD499" s="221">
        <f t="shared" si="256"/>
        <v>66697.411444930869</v>
      </c>
      <c r="AE499" s="219"/>
      <c r="AF499" s="220">
        <f t="shared" si="257"/>
        <v>30.747506676113133</v>
      </c>
      <c r="AG499" s="219"/>
      <c r="AH499" s="220">
        <f t="shared" si="258"/>
        <v>34.478029464132248</v>
      </c>
      <c r="AI499" s="219"/>
      <c r="AJ499">
        <v>4.6100000000000003</v>
      </c>
      <c r="AK499" s="284" t="s">
        <v>8403</v>
      </c>
      <c r="AL499">
        <v>175</v>
      </c>
      <c r="AM499"/>
      <c r="AN499" s="241">
        <v>72</v>
      </c>
      <c r="AO499" s="242">
        <v>42076</v>
      </c>
      <c r="AP499" s="255">
        <v>106</v>
      </c>
      <c r="AQ499" s="242">
        <v>42110</v>
      </c>
      <c r="AR499">
        <v>128</v>
      </c>
      <c r="AS499" s="297">
        <f t="shared" si="259"/>
        <v>128</v>
      </c>
      <c r="AT499" s="290">
        <v>42132</v>
      </c>
      <c r="AU499" s="298"/>
      <c r="AV499"/>
      <c r="AW499"/>
      <c r="AX499"/>
      <c r="AY499"/>
      <c r="AZ499"/>
      <c r="BA499"/>
      <c r="BB499"/>
      <c r="BC499"/>
      <c r="BD499"/>
      <c r="BE499"/>
      <c r="BF499" s="277">
        <v>3.204535961151123</v>
      </c>
      <c r="BG499" s="283">
        <v>42233</v>
      </c>
      <c r="BH499"/>
      <c r="BI499"/>
      <c r="BJ499"/>
      <c r="BK499"/>
      <c r="BL499" s="277">
        <v>62.413845062255859</v>
      </c>
      <c r="BM499" s="283">
        <v>42233</v>
      </c>
      <c r="BN499"/>
      <c r="BO499"/>
      <c r="BP499" s="277">
        <v>3.6803228855133057</v>
      </c>
      <c r="BQ499" s="283">
        <v>42233</v>
      </c>
      <c r="BR499" s="277">
        <v>49.903434753417969</v>
      </c>
      <c r="BS499" s="283">
        <v>42233</v>
      </c>
      <c r="BT499" s="277">
        <v>17.101375579833984</v>
      </c>
      <c r="BU499" s="283">
        <v>42233</v>
      </c>
      <c r="BV499" s="277">
        <v>14.024347305297852</v>
      </c>
      <c r="BW499" s="283">
        <v>42233</v>
      </c>
      <c r="BX499" s="277">
        <v>5.2929763793945313</v>
      </c>
      <c r="BY499" s="283">
        <v>42233</v>
      </c>
      <c r="BZ499"/>
      <c r="CB499" s="266">
        <v>1.96</v>
      </c>
      <c r="CC499"/>
      <c r="CD499" s="277">
        <v>3.3898305084745792</v>
      </c>
      <c r="CE499" s="291" t="s">
        <v>8403</v>
      </c>
      <c r="CF499"/>
      <c r="CG499"/>
      <c r="CH499">
        <v>3</v>
      </c>
      <c r="CI499">
        <v>7</v>
      </c>
      <c r="CK499"/>
      <c r="CL499" s="223">
        <v>3</v>
      </c>
      <c r="CM499" s="259">
        <v>42161</v>
      </c>
      <c r="CN499" s="345" t="s">
        <v>8634</v>
      </c>
      <c r="CO499" s="137" t="s">
        <v>8405</v>
      </c>
    </row>
    <row r="500" spans="1:94">
      <c r="A500" s="258">
        <v>827</v>
      </c>
      <c r="B500" s="235">
        <v>827</v>
      </c>
      <c r="C500" s="346" t="s">
        <v>7576</v>
      </c>
      <c r="D500" s="235"/>
      <c r="E500" s="235"/>
      <c r="F500" s="235"/>
      <c r="G500" s="235"/>
      <c r="H500" s="235" t="s">
        <v>265</v>
      </c>
      <c r="I500" s="235">
        <v>2</v>
      </c>
      <c r="K500" s="235">
        <v>50</v>
      </c>
      <c r="L500" s="235">
        <f t="shared" si="245"/>
        <v>50</v>
      </c>
      <c r="M500" s="235">
        <v>12</v>
      </c>
      <c r="O500" s="248">
        <v>42048</v>
      </c>
      <c r="P500" s="223"/>
      <c r="Q500" s="224"/>
      <c r="R500" s="223"/>
      <c r="S500" s="223"/>
      <c r="T500" s="223"/>
      <c r="U500" s="225"/>
      <c r="V500" s="219"/>
      <c r="W500" s="224"/>
      <c r="X500">
        <v>15.55</v>
      </c>
      <c r="Y500" s="223"/>
      <c r="Z500" s="223"/>
      <c r="AA500" s="223"/>
      <c r="AB500" s="220"/>
      <c r="AC500" s="224"/>
      <c r="AD500" s="221"/>
      <c r="AE500" s="224"/>
      <c r="AF500" s="220"/>
      <c r="AG500" s="224"/>
      <c r="AH500" s="220"/>
      <c r="AI500" s="224"/>
      <c r="AJ500" s="286"/>
      <c r="AK500" s="290"/>
      <c r="AL500" s="223"/>
      <c r="AM500" s="223"/>
      <c r="AN500" s="241">
        <v>70</v>
      </c>
      <c r="AO500" s="242">
        <v>42074</v>
      </c>
      <c r="AP500" s="255">
        <v>104</v>
      </c>
      <c r="AQ500" s="242">
        <v>42108</v>
      </c>
      <c r="AR500" s="223"/>
      <c r="AS500" s="297"/>
      <c r="AT500" s="290"/>
      <c r="AU500" s="298"/>
      <c r="AV500" s="223"/>
      <c r="AW500" s="223"/>
      <c r="AX500" s="223"/>
      <c r="AY500" s="223"/>
      <c r="AZ500" s="223"/>
      <c r="BA500" s="223"/>
      <c r="BB500" s="223"/>
      <c r="BC500" s="223"/>
      <c r="BD500" s="223"/>
      <c r="BE500" s="223"/>
      <c r="BF500" s="281"/>
      <c r="BG500" s="235"/>
      <c r="BH500" s="223"/>
      <c r="BI500" s="223"/>
      <c r="BJ500" s="223"/>
      <c r="BK500" s="223"/>
      <c r="BL500" s="281"/>
      <c r="BM500" s="235"/>
      <c r="BN500" s="223"/>
      <c r="BO500" s="223"/>
      <c r="BP500" s="281"/>
      <c r="BQ500" s="235"/>
      <c r="BR500" s="281"/>
      <c r="BS500" s="235"/>
      <c r="BT500" s="281"/>
      <c r="BU500" s="235"/>
      <c r="BV500" s="281"/>
      <c r="BW500" s="235"/>
      <c r="BX500" s="281"/>
      <c r="BY500" s="235"/>
      <c r="BZ500" s="223"/>
      <c r="CA500" s="226"/>
      <c r="CB500" s="266"/>
      <c r="CC500" s="223"/>
      <c r="CD500" s="281"/>
      <c r="CE500" s="291"/>
      <c r="CF500" s="223"/>
      <c r="CG500" s="223"/>
      <c r="CH500" s="223"/>
      <c r="CI500" s="223"/>
      <c r="CK500" s="223"/>
      <c r="CL500">
        <v>2</v>
      </c>
      <c r="CM500" s="259">
        <v>42161</v>
      </c>
      <c r="CN500" s="345" t="s">
        <v>8634</v>
      </c>
    </row>
    <row r="501" spans="1:94">
      <c r="A501" s="258">
        <v>828</v>
      </c>
      <c r="B501" s="235">
        <v>828</v>
      </c>
      <c r="C501" s="346" t="s">
        <v>7576</v>
      </c>
      <c r="D501" s="235"/>
      <c r="E501" s="235"/>
      <c r="F501" s="235"/>
      <c r="G501" s="235"/>
      <c r="H501" s="235" t="s">
        <v>265</v>
      </c>
      <c r="I501" s="235">
        <v>2</v>
      </c>
      <c r="K501" s="235">
        <v>49</v>
      </c>
      <c r="L501" s="235">
        <f t="shared" si="245"/>
        <v>49</v>
      </c>
      <c r="M501" s="235">
        <v>12</v>
      </c>
      <c r="O501" s="248">
        <v>42048</v>
      </c>
      <c r="P501" s="223"/>
      <c r="Q501" s="224"/>
      <c r="R501" s="223"/>
      <c r="S501" s="223"/>
      <c r="T501" s="223"/>
      <c r="U501" s="225"/>
      <c r="V501" s="219"/>
      <c r="W501" s="224"/>
      <c r="X501">
        <v>15.55</v>
      </c>
      <c r="Y501" s="223"/>
      <c r="Z501" s="223"/>
      <c r="AA501" s="223"/>
      <c r="AB501" s="220"/>
      <c r="AC501" s="224"/>
      <c r="AD501" s="221"/>
      <c r="AE501" s="224"/>
      <c r="AF501" s="220"/>
      <c r="AG501" s="224"/>
      <c r="AH501" s="220"/>
      <c r="AI501" s="224"/>
      <c r="AJ501" s="286"/>
      <c r="AK501" s="290"/>
      <c r="AL501" s="223"/>
      <c r="AM501" s="223"/>
      <c r="AN501" s="241">
        <v>70</v>
      </c>
      <c r="AO501" s="242">
        <v>42074</v>
      </c>
      <c r="AP501" s="255">
        <v>104</v>
      </c>
      <c r="AQ501" s="242">
        <v>42108</v>
      </c>
      <c r="AR501" s="223"/>
      <c r="AS501" s="297"/>
      <c r="AT501" s="290"/>
      <c r="AU501" s="298"/>
      <c r="AV501" s="223"/>
      <c r="AW501" s="223"/>
      <c r="AX501" s="223"/>
      <c r="AY501" s="223"/>
      <c r="AZ501" s="223"/>
      <c r="BA501" s="223"/>
      <c r="BB501" s="223"/>
      <c r="BC501" s="223"/>
      <c r="BD501" s="223"/>
      <c r="BE501" s="223"/>
      <c r="BF501" s="281"/>
      <c r="BG501" s="235"/>
      <c r="BH501" s="223"/>
      <c r="BI501" s="223"/>
      <c r="BJ501" s="223"/>
      <c r="BK501" s="223"/>
      <c r="BL501" s="281"/>
      <c r="BM501" s="235"/>
      <c r="BN501" s="223"/>
      <c r="BO501" s="223"/>
      <c r="BP501" s="281"/>
      <c r="BQ501" s="235"/>
      <c r="BR501" s="281"/>
      <c r="BS501" s="235"/>
      <c r="BT501" s="281"/>
      <c r="BU501" s="235"/>
      <c r="BV501" s="281"/>
      <c r="BW501" s="235"/>
      <c r="BX501" s="281"/>
      <c r="BY501" s="235"/>
      <c r="BZ501" s="223"/>
      <c r="CA501" s="226"/>
      <c r="CB501" s="266"/>
      <c r="CC501" s="223"/>
      <c r="CD501" s="281"/>
      <c r="CE501" s="291"/>
      <c r="CF501" s="223"/>
      <c r="CG501" s="223"/>
      <c r="CH501" s="223"/>
      <c r="CI501" s="223"/>
      <c r="CK501" s="223"/>
      <c r="CL501">
        <v>1</v>
      </c>
      <c r="CM501" s="259">
        <v>42161</v>
      </c>
      <c r="CN501" s="345" t="s">
        <v>8634</v>
      </c>
    </row>
    <row r="502" spans="1:94">
      <c r="A502" s="258">
        <v>831</v>
      </c>
      <c r="B502" s="235">
        <v>831</v>
      </c>
      <c r="C502" s="346" t="s">
        <v>7657</v>
      </c>
      <c r="D502" s="235" t="s">
        <v>7487</v>
      </c>
      <c r="E502" s="235" t="s">
        <v>7657</v>
      </c>
      <c r="F502" s="235" t="s">
        <v>8442</v>
      </c>
      <c r="G502" s="235" t="str">
        <f t="shared" ref="G502:G510" si="260">IF(MID(C502,1,3)="BGA","Complement","Rapsodyn")</f>
        <v>Rapsodyn</v>
      </c>
      <c r="H502" s="235" t="s">
        <v>265</v>
      </c>
      <c r="I502" s="235">
        <v>2</v>
      </c>
      <c r="J502" s="235">
        <v>9040</v>
      </c>
      <c r="K502" s="235">
        <v>46</v>
      </c>
      <c r="L502" s="235">
        <f t="shared" si="245"/>
        <v>46</v>
      </c>
      <c r="M502" s="235">
        <v>12</v>
      </c>
      <c r="N502" s="235">
        <v>7</v>
      </c>
      <c r="O502" s="248">
        <v>42048</v>
      </c>
      <c r="P502">
        <v>5.35</v>
      </c>
      <c r="Q502" s="264">
        <v>42204</v>
      </c>
      <c r="R502"/>
      <c r="S502"/>
      <c r="T502"/>
      <c r="V502" s="219">
        <f>+BR502*AF502/100</f>
        <v>15.799061989407059</v>
      </c>
      <c r="W502" s="219"/>
      <c r="X502">
        <v>15.55</v>
      </c>
      <c r="Y502"/>
      <c r="Z502"/>
      <c r="AA502"/>
      <c r="AB502" s="220">
        <f>+AF502*BT502/100</f>
        <v>5.3221165053254138</v>
      </c>
      <c r="AC502" s="219"/>
      <c r="AD502" s="221">
        <f>+(AF502/AJ502)*10000</f>
        <v>78700.711819682852</v>
      </c>
      <c r="AE502" s="219"/>
      <c r="AF502" s="220">
        <f>($P502/$X502)*(((100-$CD502)/100*(100-2)/100))*100</f>
        <v>32.031189710610924</v>
      </c>
      <c r="AG502" s="219"/>
      <c r="AH502" s="220">
        <f>($P502/$X502)*(((100-$CD502)/(100-9)*(100-2)/(100-2))*100)</f>
        <v>35.91745874704074</v>
      </c>
      <c r="AI502" s="219"/>
      <c r="AJ502">
        <v>4.07</v>
      </c>
      <c r="AK502" s="284" t="s">
        <v>8399</v>
      </c>
      <c r="AL502">
        <v>155</v>
      </c>
      <c r="AM502"/>
      <c r="AN502" s="241">
        <v>72</v>
      </c>
      <c r="AO502" s="242">
        <v>42076</v>
      </c>
      <c r="AP502" s="255">
        <v>106</v>
      </c>
      <c r="AQ502" s="242">
        <v>42110</v>
      </c>
      <c r="AR502">
        <v>143</v>
      </c>
      <c r="AS502" s="297">
        <f t="shared" ref="AS502:AS510" si="261">IF(AR502=0,,AR502)</f>
        <v>143</v>
      </c>
      <c r="AT502" s="290">
        <v>42147</v>
      </c>
      <c r="AU502" s="298"/>
      <c r="AV502"/>
      <c r="AW502"/>
      <c r="AX502"/>
      <c r="AY502"/>
      <c r="AZ502"/>
      <c r="BA502"/>
      <c r="BB502"/>
      <c r="BC502"/>
      <c r="BD502"/>
      <c r="BE502"/>
      <c r="BF502" s="277">
        <v>-7.5414090156555176</v>
      </c>
      <c r="BG502" s="283">
        <v>42233</v>
      </c>
      <c r="BH502"/>
      <c r="BI502"/>
      <c r="BJ502"/>
      <c r="BK502"/>
      <c r="BL502" s="277">
        <v>62.957500457763672</v>
      </c>
      <c r="BM502" s="283">
        <v>42233</v>
      </c>
      <c r="BN502"/>
      <c r="BO502"/>
      <c r="BP502" s="277">
        <v>4.3085541725158691</v>
      </c>
      <c r="BQ502" s="283">
        <v>42233</v>
      </c>
      <c r="BR502" s="277">
        <v>49.323993682861328</v>
      </c>
      <c r="BS502" s="283">
        <v>42233</v>
      </c>
      <c r="BT502" s="277">
        <v>16.615419387817383</v>
      </c>
      <c r="BU502" s="283">
        <v>42233</v>
      </c>
      <c r="BV502" s="277">
        <v>17.605775833129883</v>
      </c>
      <c r="BW502" s="283">
        <v>42233</v>
      </c>
      <c r="BX502" s="277">
        <v>5.4727325439453125</v>
      </c>
      <c r="BY502" s="283">
        <v>42233</v>
      </c>
      <c r="BZ502"/>
      <c r="CB502" s="266">
        <v>1.36</v>
      </c>
      <c r="CC502"/>
      <c r="CD502" s="277">
        <v>4.9999999999999964</v>
      </c>
      <c r="CE502" s="291" t="s">
        <v>8399</v>
      </c>
      <c r="CF502"/>
      <c r="CG502"/>
      <c r="CH502">
        <v>3</v>
      </c>
      <c r="CI502">
        <v>2</v>
      </c>
      <c r="CK502"/>
      <c r="CL502">
        <v>2</v>
      </c>
      <c r="CM502" s="259">
        <v>42161</v>
      </c>
      <c r="CN502" s="345" t="s">
        <v>8634</v>
      </c>
    </row>
    <row r="503" spans="1:94">
      <c r="A503" s="258">
        <v>832</v>
      </c>
      <c r="B503" s="235">
        <v>832</v>
      </c>
      <c r="C503" s="346" t="s">
        <v>8238</v>
      </c>
      <c r="D503" s="235" t="s">
        <v>7562</v>
      </c>
      <c r="E503" s="235" t="s">
        <v>8461</v>
      </c>
      <c r="F503" s="235" t="s">
        <v>8469</v>
      </c>
      <c r="G503" s="235" t="str">
        <f t="shared" si="260"/>
        <v>Rapsodyn</v>
      </c>
      <c r="H503" s="235" t="s">
        <v>265</v>
      </c>
      <c r="I503" s="235">
        <v>2</v>
      </c>
      <c r="J503" s="235">
        <v>9359</v>
      </c>
      <c r="K503" s="235">
        <v>45</v>
      </c>
      <c r="L503" s="235">
        <f t="shared" si="245"/>
        <v>45</v>
      </c>
      <c r="M503" s="235">
        <v>12</v>
      </c>
      <c r="N503" s="235">
        <v>7</v>
      </c>
      <c r="O503" s="248">
        <v>42048</v>
      </c>
      <c r="P503" t="s">
        <v>8379</v>
      </c>
      <c r="Q503" s="264">
        <v>42204</v>
      </c>
      <c r="R503" s="278">
        <v>14.510097232610322</v>
      </c>
      <c r="S503" s="190">
        <v>42185</v>
      </c>
      <c r="T503" s="277">
        <v>30.611635504671085</v>
      </c>
      <c r="U503" s="190">
        <v>42185</v>
      </c>
      <c r="V503" t="s">
        <v>8379</v>
      </c>
      <c r="W503" s="219"/>
      <c r="X503">
        <v>15.55</v>
      </c>
      <c r="Y503"/>
      <c r="Z503"/>
      <c r="AA503"/>
      <c r="AB503" t="s">
        <v>8379</v>
      </c>
      <c r="AC503" s="219"/>
      <c r="AD503" t="s">
        <v>8379</v>
      </c>
      <c r="AE503" s="219"/>
      <c r="AF503" t="s">
        <v>8379</v>
      </c>
      <c r="AG503" s="219"/>
      <c r="AH503" t="s">
        <v>8379</v>
      </c>
      <c r="AI503" s="219"/>
      <c r="AJ503">
        <v>4.47</v>
      </c>
      <c r="AK503" s="284" t="s">
        <v>8399</v>
      </c>
      <c r="AL503">
        <v>170</v>
      </c>
      <c r="AM503"/>
      <c r="AN503" s="241">
        <v>70</v>
      </c>
      <c r="AO503" s="242">
        <v>42074</v>
      </c>
      <c r="AP503" s="255">
        <v>104</v>
      </c>
      <c r="AQ503" s="242">
        <v>42108</v>
      </c>
      <c r="AR503">
        <v>132</v>
      </c>
      <c r="AS503" s="297">
        <f t="shared" si="261"/>
        <v>132</v>
      </c>
      <c r="AT503" s="290">
        <v>42136</v>
      </c>
      <c r="AU503" s="298"/>
      <c r="AV503"/>
      <c r="AW503"/>
      <c r="AX503"/>
      <c r="AY503"/>
      <c r="AZ503"/>
      <c r="BA503"/>
      <c r="BB503"/>
      <c r="BC503"/>
      <c r="BD503"/>
      <c r="BE503"/>
      <c r="BF503" s="277">
        <v>-0.64239299297332764</v>
      </c>
      <c r="BG503" s="283">
        <v>42233</v>
      </c>
      <c r="BH503"/>
      <c r="BI503"/>
      <c r="BJ503"/>
      <c r="BK503"/>
      <c r="BL503" s="277">
        <v>64.196067810058594</v>
      </c>
      <c r="BM503" s="283">
        <v>42233</v>
      </c>
      <c r="BN503"/>
      <c r="BO503"/>
      <c r="BP503" s="277">
        <v>3.9680030345916748</v>
      </c>
      <c r="BQ503" s="283">
        <v>42233</v>
      </c>
      <c r="BR503" s="277">
        <v>49.940364837646484</v>
      </c>
      <c r="BS503" s="283">
        <v>42233</v>
      </c>
      <c r="BT503" s="277">
        <v>17.154922485351563</v>
      </c>
      <c r="BU503" s="283">
        <v>42233</v>
      </c>
      <c r="BV503" s="277">
        <v>17.743343353271484</v>
      </c>
      <c r="BW503" s="283">
        <v>42233</v>
      </c>
      <c r="BX503" s="277">
        <v>5.1575546264648437</v>
      </c>
      <c r="BY503" s="283">
        <v>42233</v>
      </c>
      <c r="BZ503"/>
      <c r="CB503" s="266">
        <v>1.1100000000000001</v>
      </c>
      <c r="CC503"/>
      <c r="CD503" s="277">
        <v>5.0847457627118757</v>
      </c>
      <c r="CE503" s="291" t="s">
        <v>8399</v>
      </c>
      <c r="CF503"/>
      <c r="CG503"/>
      <c r="CH503">
        <v>3</v>
      </c>
      <c r="CI503">
        <v>3</v>
      </c>
      <c r="CK503"/>
      <c r="CL503">
        <v>1</v>
      </c>
      <c r="CM503" s="259">
        <v>42161</v>
      </c>
      <c r="CN503" s="345" t="s">
        <v>8634</v>
      </c>
      <c r="CP503" s="345" t="s">
        <v>8412</v>
      </c>
    </row>
    <row r="504" spans="1:94">
      <c r="A504" s="258">
        <v>836</v>
      </c>
      <c r="B504" s="235">
        <v>836</v>
      </c>
      <c r="C504" s="346" t="s">
        <v>7777</v>
      </c>
      <c r="D504" s="235" t="s">
        <v>7575</v>
      </c>
      <c r="E504" s="235" t="s">
        <v>7777</v>
      </c>
      <c r="F504" s="235" t="s">
        <v>8457</v>
      </c>
      <c r="G504" s="235" t="str">
        <f t="shared" si="260"/>
        <v>Rapsodyn</v>
      </c>
      <c r="H504" s="235" t="s">
        <v>265</v>
      </c>
      <c r="I504" s="235">
        <v>2</v>
      </c>
      <c r="J504" s="235">
        <v>9148</v>
      </c>
      <c r="K504" s="235">
        <v>41</v>
      </c>
      <c r="L504" s="235">
        <f t="shared" ref="L504:L531" si="262">K504</f>
        <v>41</v>
      </c>
      <c r="M504" s="235">
        <v>12</v>
      </c>
      <c r="N504" s="235">
        <v>7</v>
      </c>
      <c r="O504" s="248">
        <v>42048</v>
      </c>
      <c r="P504">
        <v>4.95</v>
      </c>
      <c r="Q504" s="264">
        <v>42204</v>
      </c>
      <c r="R504"/>
      <c r="S504"/>
      <c r="T504"/>
      <c r="V504" s="219">
        <f t="shared" ref="V504:V510" si="263">+BR504*AF504/100</f>
        <v>15.137276208106854</v>
      </c>
      <c r="W504" s="219"/>
      <c r="X504">
        <v>15.55</v>
      </c>
      <c r="Y504"/>
      <c r="Z504"/>
      <c r="AA504"/>
      <c r="AB504" s="220">
        <f t="shared" ref="AB504:AB510" si="264">+AF504*BT504/100</f>
        <v>5.2395596263595197</v>
      </c>
      <c r="AC504" s="219"/>
      <c r="AD504" s="221">
        <f t="shared" ref="AD504:AD510" si="265">+(AF504/AJ504)*10000</f>
        <v>66561.815555244888</v>
      </c>
      <c r="AE504" s="219"/>
      <c r="AF504" s="220">
        <f t="shared" ref="AF504:AF510" si="266">($P504/$X504)*(((100-$CD504)/100*(100-2)/100))*100</f>
        <v>30.618435155412644</v>
      </c>
      <c r="AG504" s="219"/>
      <c r="AH504" s="220">
        <f t="shared" ref="AH504:AH510" si="267">($P504/$X504)*(((100-$CD504)/(100-9)*(100-2)/(100-2))*100)</f>
        <v>34.333297998892846</v>
      </c>
      <c r="AI504" s="219"/>
      <c r="AJ504">
        <v>4.5999999999999996</v>
      </c>
      <c r="AK504" s="284" t="s">
        <v>8401</v>
      </c>
      <c r="AL504">
        <v>175</v>
      </c>
      <c r="AM504"/>
      <c r="AN504" s="241">
        <v>70</v>
      </c>
      <c r="AO504" s="242">
        <v>42074</v>
      </c>
      <c r="AP504" s="255">
        <v>106</v>
      </c>
      <c r="AQ504" s="242">
        <v>42110</v>
      </c>
      <c r="AR504">
        <v>131</v>
      </c>
      <c r="AS504" s="297">
        <f t="shared" si="261"/>
        <v>131</v>
      </c>
      <c r="AT504" s="290">
        <v>42135</v>
      </c>
      <c r="AU504" s="298"/>
      <c r="AV504"/>
      <c r="AW504"/>
      <c r="AX504"/>
      <c r="AY504"/>
      <c r="AZ504"/>
      <c r="BA504"/>
      <c r="BB504"/>
      <c r="BC504"/>
      <c r="BD504"/>
      <c r="BE504"/>
      <c r="BF504" s="277">
        <v>0.30804398655891418</v>
      </c>
      <c r="BG504" s="283">
        <v>42233</v>
      </c>
      <c r="BH504"/>
      <c r="BI504"/>
      <c r="BJ504"/>
      <c r="BK504"/>
      <c r="BL504" s="277">
        <v>64.943145751953125</v>
      </c>
      <c r="BM504" s="283">
        <v>42233</v>
      </c>
      <c r="BN504"/>
      <c r="BO504"/>
      <c r="BP504" s="277">
        <v>3.1987888813018799</v>
      </c>
      <c r="BQ504" s="283">
        <v>42233</v>
      </c>
      <c r="BR504" s="277">
        <v>49.438438415527344</v>
      </c>
      <c r="BS504" s="283">
        <v>42233</v>
      </c>
      <c r="BT504" s="277">
        <v>17.112434387207031</v>
      </c>
      <c r="BU504" s="283">
        <v>42233</v>
      </c>
      <c r="BV504" s="277">
        <v>15.038800239562988</v>
      </c>
      <c r="BW504" s="283">
        <v>42233</v>
      </c>
      <c r="BX504" s="277">
        <v>5.19525146484375</v>
      </c>
      <c r="BY504" s="283">
        <v>42233</v>
      </c>
      <c r="BZ504"/>
      <c r="CB504" s="266">
        <v>2.2000000000000002</v>
      </c>
      <c r="CC504"/>
      <c r="CD504" s="277">
        <v>1.8518518518518614</v>
      </c>
      <c r="CE504" s="291" t="s">
        <v>8401</v>
      </c>
      <c r="CF504"/>
      <c r="CG504"/>
      <c r="CH504">
        <v>2</v>
      </c>
      <c r="CI504">
        <v>2</v>
      </c>
      <c r="CK504"/>
      <c r="CL504">
        <v>3</v>
      </c>
      <c r="CM504" s="259">
        <v>42161</v>
      </c>
      <c r="CN504" s="345" t="s">
        <v>8634</v>
      </c>
    </row>
    <row r="505" spans="1:94">
      <c r="A505" s="258">
        <v>838</v>
      </c>
      <c r="B505" s="235">
        <v>838</v>
      </c>
      <c r="C505" s="346" t="s">
        <v>7763</v>
      </c>
      <c r="D505" s="235" t="s">
        <v>7840</v>
      </c>
      <c r="E505" s="235" t="s">
        <v>7763</v>
      </c>
      <c r="F505" s="235" t="s">
        <v>8453</v>
      </c>
      <c r="G505" s="235" t="str">
        <f t="shared" si="260"/>
        <v>Rapsodyn</v>
      </c>
      <c r="H505" s="235" t="s">
        <v>265</v>
      </c>
      <c r="I505" s="235">
        <v>2</v>
      </c>
      <c r="J505" s="235">
        <v>9134</v>
      </c>
      <c r="K505" s="235">
        <v>39</v>
      </c>
      <c r="L505" s="235">
        <f t="shared" si="262"/>
        <v>39</v>
      </c>
      <c r="M505" s="235">
        <v>12</v>
      </c>
      <c r="N505" s="235">
        <v>7</v>
      </c>
      <c r="O505" s="248">
        <v>42048</v>
      </c>
      <c r="P505" s="223">
        <v>6.5</v>
      </c>
      <c r="Q505" s="264">
        <v>42204</v>
      </c>
      <c r="R505" s="223"/>
      <c r="S505" s="223"/>
      <c r="T505" s="223"/>
      <c r="U505" s="225"/>
      <c r="V505" s="219">
        <f t="shared" si="263"/>
        <v>20.345891154617362</v>
      </c>
      <c r="W505" s="224"/>
      <c r="X505">
        <v>15.55</v>
      </c>
      <c r="Y505" s="223"/>
      <c r="Z505" s="223"/>
      <c r="AA505" s="223"/>
      <c r="AB505" s="220">
        <f t="shared" si="264"/>
        <v>6.1140515612635973</v>
      </c>
      <c r="AC505" s="224"/>
      <c r="AD505" s="221">
        <f t="shared" si="265"/>
        <v>81112.130835814794</v>
      </c>
      <c r="AE505" s="224"/>
      <c r="AF505" s="220">
        <f t="shared" si="266"/>
        <v>39.501607717041807</v>
      </c>
      <c r="AG505" s="224"/>
      <c r="AH505" s="220">
        <f t="shared" si="267"/>
        <v>44.294245029201399</v>
      </c>
      <c r="AI505" s="224"/>
      <c r="AJ505">
        <v>4.87</v>
      </c>
      <c r="AK505" s="290" t="s">
        <v>8400</v>
      </c>
      <c r="AL505" s="223">
        <v>170</v>
      </c>
      <c r="AM505" s="223"/>
      <c r="AN505" s="241">
        <v>65</v>
      </c>
      <c r="AO505" s="242">
        <v>42069</v>
      </c>
      <c r="AP505" s="255">
        <v>104</v>
      </c>
      <c r="AQ505" s="242">
        <v>42108</v>
      </c>
      <c r="AR505" s="223">
        <v>127</v>
      </c>
      <c r="AS505" s="297">
        <f t="shared" si="261"/>
        <v>127</v>
      </c>
      <c r="AT505" s="290">
        <v>42131</v>
      </c>
      <c r="AU505" s="298"/>
      <c r="AV505" s="223"/>
      <c r="AW505" s="223"/>
      <c r="AX505" s="223"/>
      <c r="AY505" s="223"/>
      <c r="AZ505" s="223"/>
      <c r="BA505" s="223"/>
      <c r="BB505" s="223"/>
      <c r="BC505" s="223"/>
      <c r="BD505" s="223"/>
      <c r="BE505" s="223"/>
      <c r="BF505" s="281">
        <v>-4.6050238609313965</v>
      </c>
      <c r="BG505" s="283">
        <v>42233</v>
      </c>
      <c r="BH505" s="223"/>
      <c r="BI505" s="223"/>
      <c r="BJ505" s="223"/>
      <c r="BK505" s="223"/>
      <c r="BL505" s="281">
        <v>69.707427978515625</v>
      </c>
      <c r="BM505" s="283">
        <v>42233</v>
      </c>
      <c r="BN505" s="223"/>
      <c r="BO505" s="223"/>
      <c r="BP505" s="281">
        <v>3.6341769695281982</v>
      </c>
      <c r="BQ505" s="283">
        <v>42233</v>
      </c>
      <c r="BR505" s="281">
        <v>51.506488800048828</v>
      </c>
      <c r="BS505" s="283">
        <v>42233</v>
      </c>
      <c r="BT505" s="281">
        <v>15.477981567382813</v>
      </c>
      <c r="BU505" s="283">
        <v>42233</v>
      </c>
      <c r="BV505" s="281">
        <v>17.017990112304687</v>
      </c>
      <c r="BW505" s="283">
        <v>42233</v>
      </c>
      <c r="BX505" s="281">
        <v>5.3451614379882812</v>
      </c>
      <c r="BY505" s="283">
        <v>42233</v>
      </c>
      <c r="BZ505" s="223"/>
      <c r="CA505" s="226"/>
      <c r="CB505" s="266">
        <v>1.58</v>
      </c>
      <c r="CC505" s="223"/>
      <c r="CD505" s="281">
        <v>3.5714285714285587</v>
      </c>
      <c r="CE505" s="291" t="s">
        <v>8400</v>
      </c>
      <c r="CF505" s="223"/>
      <c r="CG505" s="223"/>
      <c r="CH505" s="223">
        <v>2</v>
      </c>
      <c r="CI505" s="223">
        <v>3</v>
      </c>
      <c r="CK505" s="223"/>
      <c r="CL505">
        <v>1</v>
      </c>
      <c r="CM505" s="259">
        <v>42161</v>
      </c>
      <c r="CN505" s="345" t="s">
        <v>8634</v>
      </c>
    </row>
    <row r="506" spans="1:94">
      <c r="A506" s="258">
        <v>841</v>
      </c>
      <c r="B506" s="235">
        <v>841</v>
      </c>
      <c r="C506" s="346" t="s">
        <v>7705</v>
      </c>
      <c r="D506" s="235" t="s">
        <v>7531</v>
      </c>
      <c r="E506" s="235" t="s">
        <v>7705</v>
      </c>
      <c r="F506" s="235" t="s">
        <v>8471</v>
      </c>
      <c r="G506" s="235" t="str">
        <f t="shared" si="260"/>
        <v>Rapsodyn</v>
      </c>
      <c r="H506" s="235" t="s">
        <v>265</v>
      </c>
      <c r="I506" s="235">
        <v>2</v>
      </c>
      <c r="J506" s="235">
        <v>9087</v>
      </c>
      <c r="K506" s="235">
        <v>36</v>
      </c>
      <c r="L506" s="235">
        <f t="shared" si="262"/>
        <v>36</v>
      </c>
      <c r="M506" s="235">
        <v>12</v>
      </c>
      <c r="N506" s="235">
        <v>5</v>
      </c>
      <c r="O506" s="248">
        <v>42048</v>
      </c>
      <c r="P506">
        <v>3.95</v>
      </c>
      <c r="Q506" s="264">
        <v>42204</v>
      </c>
      <c r="R506"/>
      <c r="S506"/>
      <c r="T506"/>
      <c r="V506" s="219">
        <f t="shared" si="263"/>
        <v>11.312945972167995</v>
      </c>
      <c r="W506" s="219"/>
      <c r="X506">
        <v>15.55</v>
      </c>
      <c r="Y506"/>
      <c r="Z506"/>
      <c r="AA506"/>
      <c r="AB506" s="220">
        <f t="shared" si="264"/>
        <v>4.7268867588225127</v>
      </c>
      <c r="AC506" s="219"/>
      <c r="AD506" s="221">
        <f t="shared" si="265"/>
        <v>53336.567999904539</v>
      </c>
      <c r="AE506" s="219"/>
      <c r="AF506" s="220">
        <f t="shared" si="266"/>
        <v>23.628099623957709</v>
      </c>
      <c r="AG506" s="219"/>
      <c r="AH506" s="220">
        <f t="shared" si="267"/>
        <v>26.494841471134457</v>
      </c>
      <c r="AI506" s="219"/>
      <c r="AJ506">
        <v>4.43</v>
      </c>
      <c r="AK506" s="284" t="s">
        <v>8402</v>
      </c>
      <c r="AL506">
        <v>155</v>
      </c>
      <c r="AM506"/>
      <c r="AN506" s="241">
        <v>79</v>
      </c>
      <c r="AO506" s="242">
        <v>42083</v>
      </c>
      <c r="AP506" s="255">
        <v>106</v>
      </c>
      <c r="AQ506" s="242">
        <v>42110</v>
      </c>
      <c r="AR506">
        <v>132</v>
      </c>
      <c r="AS506" s="297">
        <f t="shared" si="261"/>
        <v>132</v>
      </c>
      <c r="AT506" s="290">
        <v>42136</v>
      </c>
      <c r="AU506" s="298"/>
      <c r="AV506"/>
      <c r="AW506"/>
      <c r="AX506"/>
      <c r="AY506"/>
      <c r="AZ506"/>
      <c r="BA506"/>
      <c r="BB506"/>
      <c r="BC506"/>
      <c r="BD506"/>
      <c r="BE506"/>
      <c r="BF506" s="277">
        <v>-4.0550332069396973</v>
      </c>
      <c r="BG506" s="283">
        <v>42233</v>
      </c>
      <c r="BH506"/>
      <c r="BI506"/>
      <c r="BJ506"/>
      <c r="BK506"/>
      <c r="BL506" s="277">
        <v>63.304645538330078</v>
      </c>
      <c r="BM506" s="283">
        <v>42233</v>
      </c>
      <c r="BN506"/>
      <c r="BO506"/>
      <c r="BP506" s="277">
        <v>3.4917340278625488</v>
      </c>
      <c r="BQ506" s="283">
        <v>42233</v>
      </c>
      <c r="BR506" s="277">
        <v>47.879203796386719</v>
      </c>
      <c r="BS506" s="283">
        <v>42233</v>
      </c>
      <c r="BT506" s="277">
        <v>20.005361557006836</v>
      </c>
      <c r="BU506" s="283">
        <v>42233</v>
      </c>
      <c r="BV506" s="277">
        <v>15.254859924316406</v>
      </c>
      <c r="BW506" s="283">
        <v>42233</v>
      </c>
      <c r="BX506" s="277">
        <v>5.3539047241210938</v>
      </c>
      <c r="BY506" s="283">
        <v>42233</v>
      </c>
      <c r="BZ506"/>
      <c r="CB506" s="266">
        <v>1</v>
      </c>
      <c r="CC506"/>
      <c r="CD506" s="277">
        <v>5.0847457627118757</v>
      </c>
      <c r="CE506" s="291" t="s">
        <v>8402</v>
      </c>
      <c r="CF506"/>
      <c r="CG506"/>
      <c r="CH506">
        <v>3</v>
      </c>
      <c r="CI506">
        <v>3</v>
      </c>
      <c r="CK506"/>
      <c r="CL506">
        <v>2</v>
      </c>
      <c r="CM506" s="259">
        <v>42161</v>
      </c>
      <c r="CN506" s="345" t="s">
        <v>8634</v>
      </c>
    </row>
    <row r="507" spans="1:94">
      <c r="A507" s="258">
        <v>842</v>
      </c>
      <c r="B507" s="235">
        <v>842</v>
      </c>
      <c r="C507" s="346" t="s">
        <v>7779</v>
      </c>
      <c r="D507" s="235" t="s">
        <v>7577</v>
      </c>
      <c r="E507" s="235" t="s">
        <v>7779</v>
      </c>
      <c r="F507" s="235" t="s">
        <v>8602</v>
      </c>
      <c r="G507" s="235" t="str">
        <f t="shared" si="260"/>
        <v>Rapsodyn</v>
      </c>
      <c r="H507" s="235" t="s">
        <v>265</v>
      </c>
      <c r="I507" s="235">
        <v>2</v>
      </c>
      <c r="J507" s="235">
        <v>9150</v>
      </c>
      <c r="K507" s="235">
        <v>35</v>
      </c>
      <c r="L507" s="235">
        <f t="shared" si="262"/>
        <v>35</v>
      </c>
      <c r="M507" s="235">
        <v>12</v>
      </c>
      <c r="N507" s="235">
        <v>7</v>
      </c>
      <c r="O507" s="248">
        <v>42048</v>
      </c>
      <c r="P507">
        <v>6.9</v>
      </c>
      <c r="Q507" s="264">
        <v>42204</v>
      </c>
      <c r="R507"/>
      <c r="S507"/>
      <c r="T507"/>
      <c r="V507" s="219">
        <f t="shared" si="263"/>
        <v>22.091568943152371</v>
      </c>
      <c r="W507" s="219"/>
      <c r="X507">
        <v>15.55</v>
      </c>
      <c r="Y507"/>
      <c r="Z507"/>
      <c r="AA507"/>
      <c r="AB507" s="220">
        <f t="shared" si="264"/>
        <v>6.7815729276929551</v>
      </c>
      <c r="AC507" s="219"/>
      <c r="AD507" s="221">
        <f t="shared" si="265"/>
        <v>89807.747176477002</v>
      </c>
      <c r="AE507" s="219"/>
      <c r="AF507" s="220">
        <f t="shared" si="266"/>
        <v>42.74848765600305</v>
      </c>
      <c r="AG507" s="219"/>
      <c r="AH507" s="220">
        <f t="shared" si="267"/>
        <v>47.93506128728756</v>
      </c>
      <c r="AI507" s="219"/>
      <c r="AJ507">
        <v>4.76</v>
      </c>
      <c r="AK507" s="284" t="s">
        <v>8402</v>
      </c>
      <c r="AL507">
        <v>170</v>
      </c>
      <c r="AM507"/>
      <c r="AN507" s="241">
        <v>65</v>
      </c>
      <c r="AO507" s="242">
        <v>42069</v>
      </c>
      <c r="AP507" s="255">
        <v>104</v>
      </c>
      <c r="AQ507" s="242">
        <v>42108</v>
      </c>
      <c r="AR507">
        <v>127</v>
      </c>
      <c r="AS507" s="297">
        <f t="shared" si="261"/>
        <v>127</v>
      </c>
      <c r="AT507" s="290">
        <v>42131</v>
      </c>
      <c r="AU507" s="298"/>
      <c r="AV507"/>
      <c r="AW507"/>
      <c r="AX507"/>
      <c r="AY507"/>
      <c r="AZ507"/>
      <c r="BA507"/>
      <c r="BB507"/>
      <c r="BC507"/>
      <c r="BD507"/>
      <c r="BE507"/>
      <c r="BF507" s="277">
        <v>-3.2391259670257568</v>
      </c>
      <c r="BG507" s="283">
        <v>42233</v>
      </c>
      <c r="BH507"/>
      <c r="BI507"/>
      <c r="BJ507"/>
      <c r="BK507"/>
      <c r="BL507" s="277">
        <v>64.337532043457031</v>
      </c>
      <c r="BM507" s="283">
        <v>42233</v>
      </c>
      <c r="BN507"/>
      <c r="BO507"/>
      <c r="BP507" s="277">
        <v>3.6649849414825439</v>
      </c>
      <c r="BQ507" s="283">
        <v>42233</v>
      </c>
      <c r="BR507" s="277">
        <v>51.678012847900391</v>
      </c>
      <c r="BS507" s="283">
        <v>42233</v>
      </c>
      <c r="BT507" s="277">
        <v>15.863889694213867</v>
      </c>
      <c r="BU507" s="283">
        <v>42233</v>
      </c>
      <c r="BV507" s="277">
        <v>7.5274519920349121</v>
      </c>
      <c r="BW507" s="283">
        <v>42233</v>
      </c>
      <c r="BX507" s="277">
        <v>5.2389678955078125</v>
      </c>
      <c r="BY507" s="283">
        <v>42233</v>
      </c>
      <c r="BZ507"/>
      <c r="CB507" s="266">
        <v>1.93</v>
      </c>
      <c r="CC507"/>
      <c r="CD507" s="277">
        <v>1.6949152542372972</v>
      </c>
      <c r="CE507" s="291" t="s">
        <v>8402</v>
      </c>
      <c r="CF507"/>
      <c r="CG507"/>
      <c r="CH507">
        <v>2</v>
      </c>
      <c r="CI507">
        <v>2</v>
      </c>
      <c r="CK507"/>
      <c r="CL507">
        <v>2</v>
      </c>
      <c r="CM507" s="259">
        <v>42161</v>
      </c>
      <c r="CN507" s="345" t="s">
        <v>8634</v>
      </c>
    </row>
    <row r="508" spans="1:94">
      <c r="A508" s="258">
        <v>846</v>
      </c>
      <c r="B508" s="235">
        <v>846</v>
      </c>
      <c r="C508" s="346" t="s">
        <v>7643</v>
      </c>
      <c r="D508" s="235" t="s">
        <v>7475</v>
      </c>
      <c r="E508" s="235" t="s">
        <v>7643</v>
      </c>
      <c r="F508" s="235" t="s">
        <v>8592</v>
      </c>
      <c r="G508" s="235" t="str">
        <f t="shared" si="260"/>
        <v>Rapsodyn</v>
      </c>
      <c r="H508" s="235" t="s">
        <v>265</v>
      </c>
      <c r="I508" s="235">
        <v>2</v>
      </c>
      <c r="J508" s="235">
        <v>9031</v>
      </c>
      <c r="K508" s="235">
        <v>31</v>
      </c>
      <c r="L508" s="235">
        <f t="shared" si="262"/>
        <v>31</v>
      </c>
      <c r="M508" s="235">
        <v>12</v>
      </c>
      <c r="N508" s="235">
        <v>7</v>
      </c>
      <c r="O508" s="248">
        <v>42048</v>
      </c>
      <c r="P508">
        <v>4.45</v>
      </c>
      <c r="Q508" s="264">
        <v>42204</v>
      </c>
      <c r="R508"/>
      <c r="S508"/>
      <c r="T508"/>
      <c r="V508" s="219">
        <f t="shared" si="263"/>
        <v>12.520571850718406</v>
      </c>
      <c r="W508" s="219"/>
      <c r="X508">
        <v>15.55</v>
      </c>
      <c r="Y508"/>
      <c r="Z508"/>
      <c r="AA508"/>
      <c r="AB508" s="220">
        <f>+AF508*BT508/100</f>
        <v>4.8005548064016184</v>
      </c>
      <c r="AC508" s="219"/>
      <c r="AD508" s="221">
        <f>+(AF508/AJ508)*10000</f>
        <v>53401.128283142585</v>
      </c>
      <c r="AE508" s="219"/>
      <c r="AF508" s="220">
        <f t="shared" si="266"/>
        <v>26.486959628438722</v>
      </c>
      <c r="AG508" s="219"/>
      <c r="AH508" s="220">
        <f t="shared" si="267"/>
        <v>29.700560247184036</v>
      </c>
      <c r="AI508" s="219"/>
      <c r="AJ508">
        <v>4.96</v>
      </c>
      <c r="AK508" s="284" t="s">
        <v>8401</v>
      </c>
      <c r="AL508">
        <v>150</v>
      </c>
      <c r="AM508"/>
      <c r="AN508" s="241">
        <v>79</v>
      </c>
      <c r="AO508" s="242">
        <v>42083</v>
      </c>
      <c r="AP508" s="255">
        <v>106</v>
      </c>
      <c r="AQ508" s="242">
        <v>42110</v>
      </c>
      <c r="AR508">
        <v>128</v>
      </c>
      <c r="AS508" s="297">
        <f t="shared" si="261"/>
        <v>128</v>
      </c>
      <c r="AT508" s="290">
        <v>42132</v>
      </c>
      <c r="AU508" s="298"/>
      <c r="AV508"/>
      <c r="AW508"/>
      <c r="AX508"/>
      <c r="AY508"/>
      <c r="AZ508"/>
      <c r="BA508"/>
      <c r="BB508"/>
      <c r="BC508"/>
      <c r="BD508"/>
      <c r="BE508"/>
      <c r="BF508" s="277">
        <v>-1.033208966255188</v>
      </c>
      <c r="BG508" s="283">
        <v>42233</v>
      </c>
      <c r="BH508"/>
      <c r="BI508"/>
      <c r="BJ508"/>
      <c r="BK508"/>
      <c r="BL508" s="277">
        <v>61.360702514648438</v>
      </c>
      <c r="BM508" s="283">
        <v>42233</v>
      </c>
      <c r="BN508"/>
      <c r="BO508"/>
      <c r="BP508" s="277">
        <v>2.6565930843353271</v>
      </c>
      <c r="BQ508" s="283">
        <v>42233</v>
      </c>
      <c r="BR508" s="277">
        <v>47.270702362060547</v>
      </c>
      <c r="BS508" s="283">
        <v>42233</v>
      </c>
      <c r="BT508" s="277">
        <v>18.12421989440918</v>
      </c>
      <c r="BU508" s="283">
        <v>42233</v>
      </c>
      <c r="BV508" s="277">
        <v>50.898017883300781</v>
      </c>
      <c r="BW508" s="283">
        <v>42233</v>
      </c>
      <c r="BX508" s="277">
        <v>5.4427947998046875</v>
      </c>
      <c r="BY508" s="283">
        <v>42233</v>
      </c>
      <c r="BZ508"/>
      <c r="CB508" s="266">
        <v>2.41</v>
      </c>
      <c r="CC508"/>
      <c r="CD508" s="277">
        <v>5.5555555555555687</v>
      </c>
      <c r="CE508" s="291" t="s">
        <v>8401</v>
      </c>
      <c r="CF508"/>
      <c r="CG508"/>
      <c r="CH508">
        <v>2</v>
      </c>
      <c r="CI508">
        <v>3</v>
      </c>
      <c r="CK508"/>
      <c r="CL508">
        <v>5</v>
      </c>
      <c r="CM508" s="259">
        <v>42161</v>
      </c>
      <c r="CN508" s="345" t="s">
        <v>8634</v>
      </c>
    </row>
    <row r="509" spans="1:94">
      <c r="A509" s="258">
        <v>847</v>
      </c>
      <c r="B509" s="235">
        <v>847</v>
      </c>
      <c r="C509" s="346" t="s">
        <v>7728</v>
      </c>
      <c r="D509" s="235" t="s">
        <v>7551</v>
      </c>
      <c r="E509" s="235" t="s">
        <v>7728</v>
      </c>
      <c r="F509" s="235" t="s">
        <v>8530</v>
      </c>
      <c r="G509" s="235" t="str">
        <f t="shared" si="260"/>
        <v>Rapsodyn</v>
      </c>
      <c r="H509" s="235" t="s">
        <v>265</v>
      </c>
      <c r="I509" s="235">
        <v>2</v>
      </c>
      <c r="J509" s="235">
        <v>9110</v>
      </c>
      <c r="K509" s="235">
        <v>30</v>
      </c>
      <c r="L509" s="235">
        <f t="shared" si="262"/>
        <v>30</v>
      </c>
      <c r="M509" s="235">
        <v>12</v>
      </c>
      <c r="N509" s="235">
        <v>5</v>
      </c>
      <c r="O509" s="248">
        <v>42048</v>
      </c>
      <c r="P509">
        <v>6.3</v>
      </c>
      <c r="Q509" s="264">
        <v>42204</v>
      </c>
      <c r="R509"/>
      <c r="S509"/>
      <c r="T509"/>
      <c r="V509" s="219">
        <f t="shared" si="263"/>
        <v>19.235674921545741</v>
      </c>
      <c r="W509" s="219"/>
      <c r="X509">
        <v>15.55</v>
      </c>
      <c r="Y509"/>
      <c r="Z509"/>
      <c r="AA509"/>
      <c r="AB509" s="220">
        <f t="shared" si="264"/>
        <v>6.319863047895824</v>
      </c>
      <c r="AC509" s="219"/>
      <c r="AD509" s="221">
        <f>+(AF509/AJ509)*10000</f>
        <v>91332.766066223485</v>
      </c>
      <c r="AE509" s="219"/>
      <c r="AF509" s="220">
        <f t="shared" si="266"/>
        <v>38.177096215681416</v>
      </c>
      <c r="AG509" s="219"/>
      <c r="AH509" s="220">
        <f t="shared" si="267"/>
        <v>42.809033657413572</v>
      </c>
      <c r="AI509" s="219"/>
      <c r="AJ509">
        <v>4.18</v>
      </c>
      <c r="AK509" s="284" t="s">
        <v>8403</v>
      </c>
      <c r="AL509">
        <v>175</v>
      </c>
      <c r="AM509"/>
      <c r="AN509" s="241">
        <v>70</v>
      </c>
      <c r="AO509" s="242">
        <v>42074</v>
      </c>
      <c r="AP509" s="255">
        <v>104</v>
      </c>
      <c r="AQ509" s="242">
        <v>42108</v>
      </c>
      <c r="AR509">
        <v>128</v>
      </c>
      <c r="AS509" s="297">
        <f t="shared" si="261"/>
        <v>128</v>
      </c>
      <c r="AT509" s="290">
        <v>42132</v>
      </c>
      <c r="AU509" s="298"/>
      <c r="AV509"/>
      <c r="AW509"/>
      <c r="AX509"/>
      <c r="AY509"/>
      <c r="AZ509"/>
      <c r="BA509"/>
      <c r="BB509"/>
      <c r="BC509"/>
      <c r="BD509"/>
      <c r="BE509"/>
      <c r="BF509" s="277">
        <v>-1.497061014175415</v>
      </c>
      <c r="BG509" s="283">
        <v>42230</v>
      </c>
      <c r="BH509"/>
      <c r="BI509"/>
      <c r="BJ509"/>
      <c r="BK509"/>
      <c r="BL509" s="277">
        <v>63.511215209960938</v>
      </c>
      <c r="BM509" s="283">
        <v>42230</v>
      </c>
      <c r="BN509"/>
      <c r="BO509"/>
      <c r="BP509" s="277">
        <v>3.653069019317627</v>
      </c>
      <c r="BQ509" s="283">
        <v>42230</v>
      </c>
      <c r="BR509" s="277">
        <v>50.385379791259766</v>
      </c>
      <c r="BS509" s="283">
        <v>42230</v>
      </c>
      <c r="BT509" s="277">
        <v>16.554069519042969</v>
      </c>
      <c r="BU509" s="283">
        <v>42230</v>
      </c>
      <c r="BV509" s="277">
        <v>18.720310211181641</v>
      </c>
      <c r="BW509" s="283">
        <v>42230</v>
      </c>
      <c r="BX509" s="277">
        <v>5.135406494140625</v>
      </c>
      <c r="BY509" s="283">
        <v>42230</v>
      </c>
      <c r="BZ509"/>
      <c r="CB509" s="266">
        <v>1.39</v>
      </c>
      <c r="CC509"/>
      <c r="CD509" s="277">
        <v>3.8461538461538494</v>
      </c>
      <c r="CE509" s="291" t="s">
        <v>8403</v>
      </c>
      <c r="CF509"/>
      <c r="CG509"/>
      <c r="CH509">
        <v>3</v>
      </c>
      <c r="CI509">
        <v>5</v>
      </c>
      <c r="CK509"/>
      <c r="CL509">
        <v>2</v>
      </c>
      <c r="CM509" s="259">
        <v>42161</v>
      </c>
      <c r="CN509" s="345" t="s">
        <v>8634</v>
      </c>
    </row>
    <row r="510" spans="1:94">
      <c r="A510" s="258">
        <v>848</v>
      </c>
      <c r="B510" s="235">
        <v>848</v>
      </c>
      <c r="C510" s="347" t="s">
        <v>7738</v>
      </c>
      <c r="D510" s="236" t="s">
        <v>7882</v>
      </c>
      <c r="E510" s="236" t="s">
        <v>7738</v>
      </c>
      <c r="F510" s="236" t="s">
        <v>8537</v>
      </c>
      <c r="G510" s="235" t="str">
        <f t="shared" si="260"/>
        <v>Rapsodyn</v>
      </c>
      <c r="H510" s="235" t="s">
        <v>265</v>
      </c>
      <c r="I510" s="235">
        <v>2</v>
      </c>
      <c r="J510" s="236">
        <v>9118</v>
      </c>
      <c r="K510" s="236">
        <v>29</v>
      </c>
      <c r="L510" s="235">
        <f t="shared" si="262"/>
        <v>29</v>
      </c>
      <c r="M510" s="236">
        <v>12</v>
      </c>
      <c r="N510" s="236">
        <v>5</v>
      </c>
      <c r="O510" s="248">
        <v>42048</v>
      </c>
      <c r="P510">
        <v>3.15</v>
      </c>
      <c r="Q510" s="264">
        <v>42204</v>
      </c>
      <c r="R510"/>
      <c r="S510"/>
      <c r="T510"/>
      <c r="V510" s="219">
        <f t="shared" si="263"/>
        <v>9.195382166345194</v>
      </c>
      <c r="W510" s="219"/>
      <c r="X510">
        <v>15.55</v>
      </c>
      <c r="Y510"/>
      <c r="Z510"/>
      <c r="AA510"/>
      <c r="AB510" s="220">
        <f t="shared" si="264"/>
        <v>3.6120885217540657</v>
      </c>
      <c r="AC510" s="219"/>
      <c r="AD510" s="221">
        <f t="shared" si="265"/>
        <v>47132.217550223977</v>
      </c>
      <c r="AE510" s="219"/>
      <c r="AF510" s="220">
        <f t="shared" si="266"/>
        <v>19.088548107840708</v>
      </c>
      <c r="AG510" s="219"/>
      <c r="AH510" s="220">
        <f t="shared" si="267"/>
        <v>21.404516828706786</v>
      </c>
      <c r="AI510" s="219"/>
      <c r="AJ510">
        <v>4.05</v>
      </c>
      <c r="AK510" s="284" t="s">
        <v>8403</v>
      </c>
      <c r="AL510">
        <v>175</v>
      </c>
      <c r="AM510"/>
      <c r="AN510" s="241">
        <v>63</v>
      </c>
      <c r="AO510" s="243">
        <v>42067</v>
      </c>
      <c r="AP510" s="255">
        <v>110</v>
      </c>
      <c r="AQ510" s="242">
        <v>42114</v>
      </c>
      <c r="AR510">
        <v>133</v>
      </c>
      <c r="AS510" s="297">
        <f t="shared" si="261"/>
        <v>133</v>
      </c>
      <c r="AT510" s="290">
        <v>42137</v>
      </c>
      <c r="AU510" s="298"/>
      <c r="AV510"/>
      <c r="AW510"/>
      <c r="AX510"/>
      <c r="AY510"/>
      <c r="AZ510"/>
      <c r="BA510"/>
      <c r="BB510"/>
      <c r="BC510"/>
      <c r="BD510"/>
      <c r="BE510"/>
      <c r="BF510" s="277">
        <v>22.846551895141602</v>
      </c>
      <c r="BG510" s="283">
        <v>42230</v>
      </c>
      <c r="BH510"/>
      <c r="BI510"/>
      <c r="BJ510"/>
      <c r="BK510"/>
      <c r="BL510" s="277">
        <v>61.920066833496094</v>
      </c>
      <c r="BM510" s="283">
        <v>42230</v>
      </c>
      <c r="BN510"/>
      <c r="BO510"/>
      <c r="BP510" s="277">
        <v>3.1229500770568848</v>
      </c>
      <c r="BQ510" s="283">
        <v>42230</v>
      </c>
      <c r="BR510" s="277">
        <v>48.172245025634766</v>
      </c>
      <c r="BS510" s="283">
        <v>42230</v>
      </c>
      <c r="BT510" s="277">
        <v>18.92280387878418</v>
      </c>
      <c r="BU510" s="283">
        <v>42230</v>
      </c>
      <c r="BV510" s="277">
        <v>56.186714172363281</v>
      </c>
      <c r="BW510" s="283">
        <v>42230</v>
      </c>
      <c r="BX510" s="277">
        <v>5.76287841796875</v>
      </c>
      <c r="BY510" s="283">
        <v>42230</v>
      </c>
      <c r="BZ510"/>
      <c r="CB510" s="266">
        <v>1.54</v>
      </c>
      <c r="CC510"/>
      <c r="CD510" s="277">
        <v>3.8461538461538494</v>
      </c>
      <c r="CE510" s="291" t="s">
        <v>8403</v>
      </c>
      <c r="CF510"/>
      <c r="CG510"/>
      <c r="CH510">
        <v>3</v>
      </c>
      <c r="CI510">
        <v>5</v>
      </c>
      <c r="CK510"/>
      <c r="CL510">
        <v>5</v>
      </c>
      <c r="CM510" s="259">
        <v>42161</v>
      </c>
      <c r="CN510" s="345" t="s">
        <v>8634</v>
      </c>
    </row>
    <row r="511" spans="1:94">
      <c r="A511" s="258">
        <v>849</v>
      </c>
      <c r="B511" s="236">
        <v>849</v>
      </c>
      <c r="C511" s="346" t="s">
        <v>7576</v>
      </c>
      <c r="D511" s="235"/>
      <c r="E511" s="235"/>
      <c r="F511" s="235"/>
      <c r="G511" s="235"/>
      <c r="H511" s="235" t="s">
        <v>265</v>
      </c>
      <c r="I511" s="235">
        <v>2</v>
      </c>
      <c r="K511" s="235">
        <v>28</v>
      </c>
      <c r="L511" s="235">
        <f t="shared" si="262"/>
        <v>28</v>
      </c>
      <c r="M511" s="235">
        <v>12</v>
      </c>
      <c r="O511" s="248">
        <v>42048</v>
      </c>
      <c r="P511"/>
      <c r="Q511" s="219"/>
      <c r="R511"/>
      <c r="S511"/>
      <c r="T511"/>
      <c r="V511" s="219"/>
      <c r="W511" s="219"/>
      <c r="X511">
        <v>15.55</v>
      </c>
      <c r="Y511"/>
      <c r="Z511"/>
      <c r="AA511"/>
      <c r="AB511" s="220"/>
      <c r="AC511" s="219"/>
      <c r="AD511" s="221"/>
      <c r="AE511" s="219"/>
      <c r="AF511" s="220"/>
      <c r="AG511" s="219"/>
      <c r="AH511" s="220"/>
      <c r="AI511" s="219"/>
      <c r="AJ511" s="286"/>
      <c r="AK511" s="284"/>
      <c r="AL511"/>
      <c r="AM511"/>
      <c r="AN511" s="241">
        <v>70</v>
      </c>
      <c r="AO511" s="242">
        <v>42074</v>
      </c>
      <c r="AP511" s="255">
        <v>104</v>
      </c>
      <c r="AQ511" s="242">
        <v>42108</v>
      </c>
      <c r="AS511" s="297"/>
      <c r="AT511" s="290"/>
      <c r="AU511" s="298"/>
      <c r="AV511"/>
      <c r="AW511"/>
      <c r="AX511"/>
      <c r="AY511"/>
      <c r="AZ511"/>
      <c r="BA511"/>
      <c r="BB511"/>
      <c r="BC511"/>
      <c r="BD511"/>
      <c r="BE511"/>
      <c r="BF511" s="277"/>
      <c r="BG511" s="235"/>
      <c r="BH511"/>
      <c r="BI511"/>
      <c r="BJ511"/>
      <c r="BK511"/>
      <c r="BL511" s="277"/>
      <c r="BM511" s="235"/>
      <c r="BN511"/>
      <c r="BO511"/>
      <c r="BP511" s="277"/>
      <c r="BQ511" s="235"/>
      <c r="BR511" s="277"/>
      <c r="BS511" s="235"/>
      <c r="BT511" s="277"/>
      <c r="BU511" s="235"/>
      <c r="BV511" s="277"/>
      <c r="BW511" s="235"/>
      <c r="BX511" s="277"/>
      <c r="BY511" s="235"/>
      <c r="BZ511"/>
      <c r="CB511" s="266"/>
      <c r="CC511"/>
      <c r="CD511" s="277"/>
      <c r="CE511" s="291"/>
      <c r="CF511"/>
      <c r="CG511"/>
      <c r="CH511"/>
      <c r="CI511"/>
      <c r="CK511"/>
      <c r="CL511" s="136">
        <v>3</v>
      </c>
      <c r="CM511" s="259">
        <v>42161</v>
      </c>
      <c r="CN511" s="345" t="s">
        <v>8634</v>
      </c>
    </row>
    <row r="512" spans="1:94">
      <c r="A512" s="258">
        <v>850</v>
      </c>
      <c r="B512" s="235">
        <v>850</v>
      </c>
      <c r="C512" s="346" t="s">
        <v>7576</v>
      </c>
      <c r="D512" s="235"/>
      <c r="E512" s="235"/>
      <c r="F512" s="235"/>
      <c r="G512" s="235"/>
      <c r="H512" s="235" t="s">
        <v>265</v>
      </c>
      <c r="I512" s="235">
        <v>2</v>
      </c>
      <c r="K512" s="235">
        <v>27</v>
      </c>
      <c r="L512" s="235">
        <f t="shared" si="262"/>
        <v>27</v>
      </c>
      <c r="M512" s="235">
        <v>12</v>
      </c>
      <c r="O512" s="248">
        <v>42048</v>
      </c>
      <c r="P512"/>
      <c r="Q512" s="219"/>
      <c r="R512"/>
      <c r="S512"/>
      <c r="T512"/>
      <c r="V512" s="219"/>
      <c r="W512" s="219"/>
      <c r="X512">
        <v>15.55</v>
      </c>
      <c r="Y512"/>
      <c r="Z512"/>
      <c r="AA512"/>
      <c r="AB512" s="220"/>
      <c r="AC512" s="219"/>
      <c r="AD512" s="221"/>
      <c r="AE512" s="219"/>
      <c r="AF512" s="220"/>
      <c r="AG512" s="219"/>
      <c r="AH512" s="220"/>
      <c r="AI512" s="219"/>
      <c r="AJ512" s="286"/>
      <c r="AK512" s="284"/>
      <c r="AL512"/>
      <c r="AM512"/>
      <c r="AN512" s="241">
        <v>70</v>
      </c>
      <c r="AO512" s="242">
        <v>42074</v>
      </c>
      <c r="AP512" s="255">
        <v>104</v>
      </c>
      <c r="AQ512" s="242">
        <v>42108</v>
      </c>
      <c r="AS512" s="297"/>
      <c r="AT512" s="290"/>
      <c r="AU512" s="298"/>
      <c r="AV512"/>
      <c r="AW512"/>
      <c r="AX512"/>
      <c r="AY512"/>
      <c r="AZ512"/>
      <c r="BA512"/>
      <c r="BB512"/>
      <c r="BC512"/>
      <c r="BD512"/>
      <c r="BE512"/>
      <c r="BF512" s="277"/>
      <c r="BG512" s="235"/>
      <c r="BH512"/>
      <c r="BI512"/>
      <c r="BJ512"/>
      <c r="BK512"/>
      <c r="BL512" s="277"/>
      <c r="BM512" s="235"/>
      <c r="BN512"/>
      <c r="BO512"/>
      <c r="BP512" s="277"/>
      <c r="BQ512" s="235"/>
      <c r="BR512" s="277"/>
      <c r="BS512" s="235"/>
      <c r="BT512" s="277"/>
      <c r="BU512" s="235"/>
      <c r="BV512" s="277"/>
      <c r="BW512" s="235"/>
      <c r="BX512" s="277"/>
      <c r="BY512" s="235"/>
      <c r="BZ512"/>
      <c r="CB512" s="266"/>
      <c r="CC512"/>
      <c r="CD512" s="277"/>
      <c r="CE512" s="291"/>
      <c r="CF512"/>
      <c r="CG512"/>
      <c r="CH512"/>
      <c r="CI512"/>
      <c r="CK512"/>
      <c r="CL512" s="136">
        <v>3</v>
      </c>
      <c r="CM512" s="259">
        <v>42161</v>
      </c>
      <c r="CN512" s="345" t="s">
        <v>8634</v>
      </c>
    </row>
    <row r="513" spans="1:93">
      <c r="A513" s="258">
        <v>851</v>
      </c>
      <c r="B513" s="238">
        <v>851</v>
      </c>
      <c r="C513" s="346" t="s">
        <v>7664</v>
      </c>
      <c r="D513" s="235" t="s">
        <v>7494</v>
      </c>
      <c r="E513" s="235" t="s">
        <v>7664</v>
      </c>
      <c r="F513" s="235" t="s">
        <v>8456</v>
      </c>
      <c r="G513" s="235" t="str">
        <f t="shared" ref="G513:G525" si="268">IF(MID(C513,1,3)="BGA","Complement","Rapsodyn")</f>
        <v>Rapsodyn</v>
      </c>
      <c r="H513" s="235" t="s">
        <v>265</v>
      </c>
      <c r="I513" s="235">
        <v>2</v>
      </c>
      <c r="J513" s="235">
        <v>9047</v>
      </c>
      <c r="K513" s="235">
        <v>26</v>
      </c>
      <c r="L513" s="235">
        <f t="shared" si="262"/>
        <v>26</v>
      </c>
      <c r="M513" s="235">
        <v>12</v>
      </c>
      <c r="N513" s="235">
        <v>7</v>
      </c>
      <c r="O513" s="248">
        <v>42048</v>
      </c>
      <c r="P513">
        <v>5.75</v>
      </c>
      <c r="Q513" s="264">
        <v>42204</v>
      </c>
      <c r="R513"/>
      <c r="S513"/>
      <c r="T513"/>
      <c r="V513" s="219">
        <f t="shared" ref="V513:V525" si="269">+BR513*AF513/100</f>
        <v>17.921474835734227</v>
      </c>
      <c r="W513" s="219"/>
      <c r="X513">
        <v>15.55</v>
      </c>
      <c r="Y513"/>
      <c r="Z513"/>
      <c r="AA513"/>
      <c r="AB513" s="220">
        <f t="shared" ref="AB513:AB525" si="270">+AF513*BT513/100</f>
        <v>6.110666454083522</v>
      </c>
      <c r="AC513" s="219"/>
      <c r="AD513" s="221">
        <f t="shared" ref="AD513:AD525" si="271">+(AF513/AJ513)*10000</f>
        <v>75808.544488622836</v>
      </c>
      <c r="AE513" s="219"/>
      <c r="AF513" s="220">
        <f t="shared" ref="AF513:AF525" si="272">($P513/$X513)*(((100-$CD513)/100*(100-2)/100))*100</f>
        <v>35.55420736516411</v>
      </c>
      <c r="AG513" s="219"/>
      <c r="AH513" s="220">
        <f t="shared" ref="AH513:AH525" si="273">($P513/$X513)*(((100-$CD513)/(100-9)*(100-2)/(100-2))*100)</f>
        <v>39.867915861363656</v>
      </c>
      <c r="AI513" s="219"/>
      <c r="AJ513">
        <v>4.6900000000000004</v>
      </c>
      <c r="AK513" s="284" t="s">
        <v>8398</v>
      </c>
      <c r="AL513">
        <v>160</v>
      </c>
      <c r="AM513"/>
      <c r="AN513" s="241">
        <v>65</v>
      </c>
      <c r="AO513" s="242">
        <v>42069</v>
      </c>
      <c r="AP513" s="255">
        <v>104</v>
      </c>
      <c r="AQ513" s="242">
        <v>42108</v>
      </c>
      <c r="AR513">
        <v>131</v>
      </c>
      <c r="AS513" s="297">
        <f t="shared" ref="AS513:AS525" si="274">IF(AR513=0,,AR513)</f>
        <v>131</v>
      </c>
      <c r="AT513" s="290">
        <v>42135</v>
      </c>
      <c r="AU513" s="298"/>
      <c r="AV513"/>
      <c r="AW513"/>
      <c r="AX513"/>
      <c r="AY513"/>
      <c r="AZ513"/>
      <c r="BA513"/>
      <c r="BB513"/>
      <c r="BC513"/>
      <c r="BD513"/>
      <c r="BE513"/>
      <c r="BF513" s="277">
        <v>-2.0725018978118896</v>
      </c>
      <c r="BG513" s="283">
        <v>42230</v>
      </c>
      <c r="BH513"/>
      <c r="BI513"/>
      <c r="BJ513"/>
      <c r="BK513"/>
      <c r="BL513" s="277">
        <v>63.952976226806641</v>
      </c>
      <c r="BM513" s="283">
        <v>42230</v>
      </c>
      <c r="BN513"/>
      <c r="BO513"/>
      <c r="BP513" s="277">
        <v>3.7776870727539062</v>
      </c>
      <c r="BQ513" s="283">
        <v>42230</v>
      </c>
      <c r="BR513" s="277">
        <v>50.406059265136719</v>
      </c>
      <c r="BS513" s="283">
        <v>42230</v>
      </c>
      <c r="BT513" s="277">
        <v>17.186901092529297</v>
      </c>
      <c r="BU513" s="283">
        <v>42230</v>
      </c>
      <c r="BV513" s="277">
        <v>22.826333999633789</v>
      </c>
      <c r="BW513" s="283">
        <v>42230</v>
      </c>
      <c r="BX513" s="277">
        <v>5.4596939086914062</v>
      </c>
      <c r="BY513" s="283">
        <v>42230</v>
      </c>
      <c r="BZ513"/>
      <c r="CB513" s="266">
        <v>1.1200000000000001</v>
      </c>
      <c r="CC513"/>
      <c r="CD513" s="277">
        <v>1.886792452830182</v>
      </c>
      <c r="CE513" s="291" t="s">
        <v>8398</v>
      </c>
      <c r="CF513"/>
      <c r="CG513"/>
      <c r="CH513">
        <v>1</v>
      </c>
      <c r="CI513">
        <v>2</v>
      </c>
      <c r="CK513"/>
      <c r="CL513" s="136">
        <v>1</v>
      </c>
      <c r="CM513" s="259">
        <v>42161</v>
      </c>
      <c r="CN513" s="345" t="s">
        <v>8634</v>
      </c>
    </row>
    <row r="514" spans="1:93">
      <c r="A514" s="258">
        <v>852</v>
      </c>
      <c r="B514" s="235">
        <v>852</v>
      </c>
      <c r="C514" s="346" t="s">
        <v>7769</v>
      </c>
      <c r="D514" s="235" t="s">
        <v>7845</v>
      </c>
      <c r="E514" s="235" t="s">
        <v>7769</v>
      </c>
      <c r="F514" s="235" t="s">
        <v>8462</v>
      </c>
      <c r="G514" s="235" t="str">
        <f t="shared" si="268"/>
        <v>Rapsodyn</v>
      </c>
      <c r="H514" s="235" t="s">
        <v>265</v>
      </c>
      <c r="I514" s="235">
        <v>2</v>
      </c>
      <c r="J514" s="235">
        <v>9140</v>
      </c>
      <c r="K514" s="235">
        <v>25</v>
      </c>
      <c r="L514" s="235">
        <f t="shared" si="262"/>
        <v>25</v>
      </c>
      <c r="M514" s="235">
        <v>12</v>
      </c>
      <c r="N514" s="235">
        <v>7</v>
      </c>
      <c r="O514" s="248">
        <v>42048</v>
      </c>
      <c r="P514">
        <v>6.8</v>
      </c>
      <c r="Q514" s="264">
        <v>42204</v>
      </c>
      <c r="R514"/>
      <c r="S514"/>
      <c r="T514"/>
      <c r="V514" s="219">
        <f t="shared" si="269"/>
        <v>20.753868028341593</v>
      </c>
      <c r="W514" s="219"/>
      <c r="X514">
        <v>15.55</v>
      </c>
      <c r="Y514"/>
      <c r="Z514"/>
      <c r="AA514"/>
      <c r="AB514" s="220">
        <f t="shared" si="270"/>
        <v>6.5511655234041219</v>
      </c>
      <c r="AC514" s="219"/>
      <c r="AD514" s="221">
        <f t="shared" si="271"/>
        <v>84565.721168957694</v>
      </c>
      <c r="AE514" s="219"/>
      <c r="AF514" s="220">
        <f t="shared" si="272"/>
        <v>41.268071930451349</v>
      </c>
      <c r="AG514" s="219"/>
      <c r="AH514" s="220">
        <f t="shared" si="273"/>
        <v>46.27503019785977</v>
      </c>
      <c r="AI514" s="219"/>
      <c r="AJ514">
        <v>4.88</v>
      </c>
      <c r="AK514" s="284" t="s">
        <v>8398</v>
      </c>
      <c r="AL514">
        <v>150</v>
      </c>
      <c r="AM514"/>
      <c r="AN514" s="241">
        <v>75</v>
      </c>
      <c r="AO514" s="242">
        <v>42079</v>
      </c>
      <c r="AP514" s="255">
        <v>104</v>
      </c>
      <c r="AQ514" s="242">
        <v>42108</v>
      </c>
      <c r="AR514">
        <v>131</v>
      </c>
      <c r="AS514" s="297">
        <f t="shared" si="274"/>
        <v>131</v>
      </c>
      <c r="AT514" s="290">
        <v>42135</v>
      </c>
      <c r="AU514" s="298"/>
      <c r="AV514"/>
      <c r="AW514"/>
      <c r="AX514"/>
      <c r="AY514"/>
      <c r="AZ514"/>
      <c r="BA514"/>
      <c r="BB514"/>
      <c r="BC514"/>
      <c r="BD514"/>
      <c r="BE514"/>
      <c r="BF514" s="277">
        <v>-4.9450111389160156</v>
      </c>
      <c r="BG514" s="283">
        <v>42230</v>
      </c>
      <c r="BH514"/>
      <c r="BI514"/>
      <c r="BJ514"/>
      <c r="BK514"/>
      <c r="BL514" s="277">
        <v>62.153076171875</v>
      </c>
      <c r="BM514" s="283">
        <v>42230</v>
      </c>
      <c r="BN514"/>
      <c r="BO514"/>
      <c r="BP514" s="277">
        <v>3.7045090198516846</v>
      </c>
      <c r="BQ514" s="283">
        <v>42230</v>
      </c>
      <c r="BR514" s="277">
        <v>50.290374755859375</v>
      </c>
      <c r="BS514" s="283">
        <v>42230</v>
      </c>
      <c r="BT514" s="277">
        <v>15.874658584594727</v>
      </c>
      <c r="BU514" s="283">
        <v>42230</v>
      </c>
      <c r="BV514" s="277">
        <v>11.004152297973633</v>
      </c>
      <c r="BW514" s="283">
        <v>42230</v>
      </c>
      <c r="BX514" s="277">
        <v>5.7174301147460938</v>
      </c>
      <c r="BY514" s="283">
        <v>42230</v>
      </c>
      <c r="BZ514"/>
      <c r="CB514" s="266">
        <v>0.7</v>
      </c>
      <c r="CC514"/>
      <c r="CD514" s="277">
        <v>3.7037037037037068</v>
      </c>
      <c r="CE514" s="291" t="s">
        <v>8398</v>
      </c>
      <c r="CF514"/>
      <c r="CG514"/>
      <c r="CH514">
        <v>1</v>
      </c>
      <c r="CI514">
        <v>3</v>
      </c>
      <c r="CK514"/>
      <c r="CL514">
        <v>1</v>
      </c>
      <c r="CM514" s="259">
        <v>42161</v>
      </c>
      <c r="CN514" s="345" t="s">
        <v>8634</v>
      </c>
    </row>
    <row r="515" spans="1:93">
      <c r="A515" s="258">
        <v>856</v>
      </c>
      <c r="B515" s="235">
        <v>856</v>
      </c>
      <c r="C515" s="346" t="s">
        <v>7686</v>
      </c>
      <c r="D515" s="235" t="s">
        <v>262</v>
      </c>
      <c r="E515" s="235" t="s">
        <v>7686</v>
      </c>
      <c r="F515" s="235" t="s">
        <v>8582</v>
      </c>
      <c r="G515" s="235" t="str">
        <f t="shared" si="268"/>
        <v>Rapsodyn</v>
      </c>
      <c r="H515" s="235" t="s">
        <v>265</v>
      </c>
      <c r="I515" s="235">
        <v>2</v>
      </c>
      <c r="J515" s="235">
        <v>9068</v>
      </c>
      <c r="K515" s="235">
        <v>21</v>
      </c>
      <c r="L515" s="235">
        <f t="shared" si="262"/>
        <v>21</v>
      </c>
      <c r="M515" s="235">
        <v>12</v>
      </c>
      <c r="N515" s="235">
        <v>5</v>
      </c>
      <c r="O515" s="248">
        <v>42048</v>
      </c>
      <c r="P515">
        <v>5.2</v>
      </c>
      <c r="Q515" s="264">
        <v>42204</v>
      </c>
      <c r="R515"/>
      <c r="S515"/>
      <c r="T515"/>
      <c r="V515" s="219">
        <f t="shared" si="269"/>
        <v>15.286749410370209</v>
      </c>
      <c r="W515" s="219"/>
      <c r="X515">
        <v>15.55</v>
      </c>
      <c r="Y515"/>
      <c r="Z515"/>
      <c r="AA515"/>
      <c r="AB515" s="220">
        <f t="shared" si="270"/>
        <v>5.6312034120526917</v>
      </c>
      <c r="AC515" s="219"/>
      <c r="AD515" s="221">
        <f t="shared" si="271"/>
        <v>76732.385266221245</v>
      </c>
      <c r="AE515" s="219"/>
      <c r="AF515" s="220">
        <f t="shared" si="272"/>
        <v>31.076616032819604</v>
      </c>
      <c r="AG515" s="219"/>
      <c r="AH515" s="220">
        <f t="shared" si="273"/>
        <v>34.847068886319363</v>
      </c>
      <c r="AI515" s="219"/>
      <c r="AJ515">
        <v>4.05</v>
      </c>
      <c r="AK515" s="284" t="s">
        <v>8401</v>
      </c>
      <c r="AL515">
        <v>165</v>
      </c>
      <c r="AM515"/>
      <c r="AN515" s="241">
        <v>65</v>
      </c>
      <c r="AO515" s="242">
        <v>42069</v>
      </c>
      <c r="AP515" s="255">
        <v>104</v>
      </c>
      <c r="AQ515" s="242">
        <v>42108</v>
      </c>
      <c r="AR515">
        <v>129</v>
      </c>
      <c r="AS515" s="297">
        <f t="shared" si="274"/>
        <v>129</v>
      </c>
      <c r="AT515" s="290">
        <v>42133</v>
      </c>
      <c r="AU515" s="298"/>
      <c r="AV515"/>
      <c r="AW515"/>
      <c r="AX515"/>
      <c r="AY515"/>
      <c r="AZ515"/>
      <c r="BA515"/>
      <c r="BB515"/>
      <c r="BC515"/>
      <c r="BD515"/>
      <c r="BE515"/>
      <c r="BF515" s="277">
        <v>-4.8180851936340332</v>
      </c>
      <c r="BG515" s="283">
        <v>42233</v>
      </c>
      <c r="BH515"/>
      <c r="BI515"/>
      <c r="BJ515"/>
      <c r="BK515"/>
      <c r="BL515" s="277">
        <v>65.531097412109375</v>
      </c>
      <c r="BM515" s="283">
        <v>42233</v>
      </c>
      <c r="BN515"/>
      <c r="BO515"/>
      <c r="BP515" s="277">
        <v>4.2166762351989746</v>
      </c>
      <c r="BQ515" s="283">
        <v>42233</v>
      </c>
      <c r="BR515" s="277">
        <v>49.190521240234375</v>
      </c>
      <c r="BS515" s="283">
        <v>42233</v>
      </c>
      <c r="BT515" s="277">
        <v>18.120388031005859</v>
      </c>
      <c r="BU515" s="283">
        <v>42233</v>
      </c>
      <c r="BV515" s="277">
        <v>17.965850830078125</v>
      </c>
      <c r="BW515" s="283">
        <v>42233</v>
      </c>
      <c r="BX515" s="277">
        <v>5.6206283569335938</v>
      </c>
      <c r="BY515" s="283">
        <v>42233</v>
      </c>
      <c r="BZ515"/>
      <c r="CB515" s="266">
        <v>0.8</v>
      </c>
      <c r="CC515"/>
      <c r="CD515" s="277">
        <v>5.1724137931034457</v>
      </c>
      <c r="CE515" s="291" t="s">
        <v>8401</v>
      </c>
      <c r="CF515"/>
      <c r="CG515"/>
      <c r="CH515">
        <v>1</v>
      </c>
      <c r="CI515">
        <v>2</v>
      </c>
      <c r="CK515"/>
      <c r="CL515">
        <v>1</v>
      </c>
      <c r="CM515" s="259">
        <v>42161</v>
      </c>
      <c r="CN515" s="345" t="s">
        <v>8634</v>
      </c>
    </row>
    <row r="516" spans="1:93">
      <c r="A516" s="258">
        <v>857</v>
      </c>
      <c r="B516" s="235">
        <v>857</v>
      </c>
      <c r="C516" s="346" t="s">
        <v>7806</v>
      </c>
      <c r="D516" s="235" t="s">
        <v>7600</v>
      </c>
      <c r="E516" s="235" t="s">
        <v>7806</v>
      </c>
      <c r="F516" s="235" t="s">
        <v>8508</v>
      </c>
      <c r="G516" s="235" t="str">
        <f t="shared" si="268"/>
        <v>Rapsodyn</v>
      </c>
      <c r="H516" s="235" t="s">
        <v>265</v>
      </c>
      <c r="I516" s="235">
        <v>2</v>
      </c>
      <c r="J516" s="235">
        <v>9177</v>
      </c>
      <c r="K516" s="235">
        <v>20</v>
      </c>
      <c r="L516" s="235">
        <f t="shared" si="262"/>
        <v>20</v>
      </c>
      <c r="M516" s="235">
        <v>12</v>
      </c>
      <c r="N516" s="235">
        <v>7</v>
      </c>
      <c r="O516" s="248">
        <v>42048</v>
      </c>
      <c r="P516">
        <v>6.75</v>
      </c>
      <c r="Q516" s="264">
        <v>42204</v>
      </c>
      <c r="R516"/>
      <c r="S516"/>
      <c r="T516"/>
      <c r="V516" s="219">
        <f t="shared" si="269"/>
        <v>20.786750190972281</v>
      </c>
      <c r="W516" s="219"/>
      <c r="X516">
        <v>15.55</v>
      </c>
      <c r="Y516"/>
      <c r="Z516"/>
      <c r="AA516"/>
      <c r="AB516" s="220">
        <f t="shared" si="270"/>
        <v>6.9001489328892385</v>
      </c>
      <c r="AC516" s="219"/>
      <c r="AD516" s="221">
        <f t="shared" si="271"/>
        <v>75409.454106190809</v>
      </c>
      <c r="AE516" s="219"/>
      <c r="AF516" s="220">
        <f t="shared" si="272"/>
        <v>41.098152487873996</v>
      </c>
      <c r="AG516" s="219"/>
      <c r="AH516" s="220">
        <f t="shared" si="273"/>
        <v>46.084494828295583</v>
      </c>
      <c r="AI516" s="219"/>
      <c r="AJ516">
        <v>5.45</v>
      </c>
      <c r="AK516" s="284" t="s">
        <v>8403</v>
      </c>
      <c r="AL516">
        <v>175</v>
      </c>
      <c r="AM516"/>
      <c r="AN516" s="241">
        <v>70</v>
      </c>
      <c r="AO516" s="242">
        <v>42074</v>
      </c>
      <c r="AP516" s="255">
        <v>104</v>
      </c>
      <c r="AQ516" s="242">
        <v>42108</v>
      </c>
      <c r="AR516" s="223">
        <v>126</v>
      </c>
      <c r="AS516" s="297">
        <f t="shared" si="274"/>
        <v>126</v>
      </c>
      <c r="AT516" s="290">
        <v>42130</v>
      </c>
      <c r="AU516" s="298"/>
      <c r="AV516"/>
      <c r="AW516"/>
      <c r="AX516"/>
      <c r="AY516"/>
      <c r="AZ516"/>
      <c r="BA516"/>
      <c r="BB516"/>
      <c r="BC516"/>
      <c r="BD516"/>
      <c r="BE516"/>
      <c r="BF516" s="277">
        <v>-7.182732105255127</v>
      </c>
      <c r="BG516" s="283">
        <v>42233</v>
      </c>
      <c r="BH516"/>
      <c r="BI516"/>
      <c r="BJ516"/>
      <c r="BK516"/>
      <c r="BL516" s="277">
        <v>65.789321899414062</v>
      </c>
      <c r="BM516" s="283">
        <v>42233</v>
      </c>
      <c r="BN516"/>
      <c r="BO516"/>
      <c r="BP516" s="277">
        <v>4.0510311126708984</v>
      </c>
      <c r="BQ516" s="283">
        <v>42233</v>
      </c>
      <c r="BR516" s="277">
        <v>50.57830810546875</v>
      </c>
      <c r="BS516" s="283">
        <v>42233</v>
      </c>
      <c r="BT516" s="277">
        <v>16.789438247680664</v>
      </c>
      <c r="BU516" s="283">
        <v>42233</v>
      </c>
      <c r="BV516" s="277">
        <v>17.186145782470703</v>
      </c>
      <c r="BW516" s="283">
        <v>42233</v>
      </c>
      <c r="BX516" s="277">
        <v>5.2218780517578125</v>
      </c>
      <c r="BY516" s="283">
        <v>42233</v>
      </c>
      <c r="BZ516"/>
      <c r="CB516" s="266">
        <v>1.46</v>
      </c>
      <c r="CC516"/>
      <c r="CD516" s="277">
        <v>3.3898305084745792</v>
      </c>
      <c r="CE516" s="291" t="s">
        <v>8403</v>
      </c>
      <c r="CF516"/>
      <c r="CG516"/>
      <c r="CH516">
        <v>1</v>
      </c>
      <c r="CI516">
        <v>3</v>
      </c>
      <c r="CK516"/>
      <c r="CL516">
        <v>1</v>
      </c>
      <c r="CM516" s="259">
        <v>42161</v>
      </c>
      <c r="CN516" s="345" t="s">
        <v>8634</v>
      </c>
    </row>
    <row r="517" spans="1:93">
      <c r="A517" s="258">
        <v>859</v>
      </c>
      <c r="B517" s="235">
        <v>859</v>
      </c>
      <c r="C517" s="346" t="s">
        <v>7670</v>
      </c>
      <c r="D517" s="235" t="s">
        <v>7499</v>
      </c>
      <c r="E517" s="235" t="s">
        <v>7670</v>
      </c>
      <c r="F517" s="235" t="s">
        <v>8548</v>
      </c>
      <c r="G517" s="235" t="str">
        <f t="shared" si="268"/>
        <v>Rapsodyn</v>
      </c>
      <c r="H517" s="235" t="s">
        <v>265</v>
      </c>
      <c r="I517" s="235">
        <v>2</v>
      </c>
      <c r="J517" s="235">
        <v>9052</v>
      </c>
      <c r="K517" s="235">
        <v>18</v>
      </c>
      <c r="L517" s="235">
        <f t="shared" si="262"/>
        <v>18</v>
      </c>
      <c r="M517" s="235">
        <v>12</v>
      </c>
      <c r="N517" s="235">
        <v>7</v>
      </c>
      <c r="O517" s="248">
        <v>42048</v>
      </c>
      <c r="P517">
        <v>6.1</v>
      </c>
      <c r="Q517" s="264">
        <v>42204</v>
      </c>
      <c r="R517"/>
      <c r="S517"/>
      <c r="T517"/>
      <c r="V517" s="219">
        <f t="shared" si="269"/>
        <v>18.47113968787739</v>
      </c>
      <c r="W517" s="219"/>
      <c r="X517">
        <v>15.55</v>
      </c>
      <c r="Y517"/>
      <c r="Z517"/>
      <c r="AA517"/>
      <c r="AB517" s="220">
        <f t="shared" si="270"/>
        <v>6.2659215114893785</v>
      </c>
      <c r="AC517" s="219"/>
      <c r="AD517" s="221">
        <f t="shared" si="271"/>
        <v>77285.778820997555</v>
      </c>
      <c r="AE517" s="219"/>
      <c r="AF517" s="220">
        <f t="shared" si="272"/>
        <v>37.01988805525783</v>
      </c>
      <c r="AG517" s="219"/>
      <c r="AH517" s="220">
        <f t="shared" si="273"/>
        <v>41.511424148080089</v>
      </c>
      <c r="AI517" s="219"/>
      <c r="AJ517">
        <v>4.79</v>
      </c>
      <c r="AK517" s="284" t="s">
        <v>8399</v>
      </c>
      <c r="AL517">
        <v>160</v>
      </c>
      <c r="AM517"/>
      <c r="AN517" s="241">
        <v>70</v>
      </c>
      <c r="AO517" s="242">
        <v>42074</v>
      </c>
      <c r="AP517" s="255">
        <v>104</v>
      </c>
      <c r="AQ517" s="242">
        <v>42108</v>
      </c>
      <c r="AR517">
        <v>141</v>
      </c>
      <c r="AS517" s="297">
        <f t="shared" si="274"/>
        <v>141</v>
      </c>
      <c r="AT517" s="290">
        <v>42145</v>
      </c>
      <c r="AU517" s="298"/>
      <c r="AV517"/>
      <c r="AW517"/>
      <c r="AX517"/>
      <c r="AY517"/>
      <c r="AZ517"/>
      <c r="BA517"/>
      <c r="BB517"/>
      <c r="BC517"/>
      <c r="BD517"/>
      <c r="BE517"/>
      <c r="BF517" s="277">
        <v>-3.3281819820404053</v>
      </c>
      <c r="BG517" s="283">
        <v>42230</v>
      </c>
      <c r="BH517"/>
      <c r="BI517"/>
      <c r="BJ517"/>
      <c r="BK517"/>
      <c r="BL517" s="277">
        <v>62.819728851318359</v>
      </c>
      <c r="BM517" s="283">
        <v>42230</v>
      </c>
      <c r="BN517"/>
      <c r="BO517"/>
      <c r="BP517" s="277">
        <v>3.2751839160919189</v>
      </c>
      <c r="BQ517" s="283">
        <v>42230</v>
      </c>
      <c r="BR517" s="277">
        <v>49.895179748535156</v>
      </c>
      <c r="BS517" s="283">
        <v>42230</v>
      </c>
      <c r="BT517" s="277">
        <v>16.925825119018555</v>
      </c>
      <c r="BU517" s="283">
        <v>42230</v>
      </c>
      <c r="BV517" s="277">
        <v>12.082908630371094</v>
      </c>
      <c r="BW517" s="283">
        <v>42230</v>
      </c>
      <c r="BX517" s="277">
        <v>5.2756729125976562</v>
      </c>
      <c r="BY517" s="283">
        <v>42230</v>
      </c>
      <c r="BZ517"/>
      <c r="CB517" s="266">
        <v>1.49</v>
      </c>
      <c r="CC517"/>
      <c r="CD517" s="277">
        <v>3.7037037037037068</v>
      </c>
      <c r="CE517" s="291" t="s">
        <v>8399</v>
      </c>
      <c r="CF517"/>
      <c r="CG517"/>
      <c r="CH517">
        <v>2</v>
      </c>
      <c r="CI517">
        <v>4</v>
      </c>
      <c r="CK517"/>
      <c r="CL517">
        <v>1</v>
      </c>
      <c r="CM517" s="259">
        <v>42161</v>
      </c>
      <c r="CN517" s="345" t="s">
        <v>8634</v>
      </c>
    </row>
    <row r="518" spans="1:93">
      <c r="A518" s="258">
        <v>860</v>
      </c>
      <c r="B518" s="235">
        <v>860</v>
      </c>
      <c r="C518" s="346" t="s">
        <v>7721</v>
      </c>
      <c r="D518" s="235" t="s">
        <v>7545</v>
      </c>
      <c r="E518" s="235" t="s">
        <v>7721</v>
      </c>
      <c r="F518" s="235" t="s">
        <v>8475</v>
      </c>
      <c r="G518" s="235" t="str">
        <f t="shared" si="268"/>
        <v>Rapsodyn</v>
      </c>
      <c r="H518" s="235" t="s">
        <v>265</v>
      </c>
      <c r="I518" s="235">
        <v>2</v>
      </c>
      <c r="J518" s="235">
        <v>9103</v>
      </c>
      <c r="K518" s="235">
        <v>17</v>
      </c>
      <c r="L518" s="235">
        <f t="shared" si="262"/>
        <v>17</v>
      </c>
      <c r="M518" s="235">
        <v>12</v>
      </c>
      <c r="N518" s="235">
        <v>5</v>
      </c>
      <c r="O518" s="248">
        <v>42048</v>
      </c>
      <c r="P518">
        <v>5.65</v>
      </c>
      <c r="Q518" s="264">
        <v>42204</v>
      </c>
      <c r="R518"/>
      <c r="S518"/>
      <c r="T518"/>
      <c r="V518" s="219">
        <f t="shared" si="269"/>
        <v>17.346234211569048</v>
      </c>
      <c r="W518" s="219"/>
      <c r="X518">
        <v>15.55</v>
      </c>
      <c r="Y518"/>
      <c r="Z518"/>
      <c r="AA518"/>
      <c r="AB518" s="220">
        <f t="shared" si="270"/>
        <v>5.5530595325357357</v>
      </c>
      <c r="AC518" s="219"/>
      <c r="AD518" s="221">
        <f t="shared" si="271"/>
        <v>70457.681658220434</v>
      </c>
      <c r="AE518" s="219"/>
      <c r="AF518" s="220">
        <f t="shared" si="272"/>
        <v>34.312890967553351</v>
      </c>
      <c r="AG518" s="219"/>
      <c r="AH518" s="220">
        <f t="shared" si="273"/>
        <v>38.475993459916289</v>
      </c>
      <c r="AI518" s="219"/>
      <c r="AJ518">
        <v>4.87</v>
      </c>
      <c r="AK518" s="284" t="s">
        <v>8400</v>
      </c>
      <c r="AL518">
        <v>175</v>
      </c>
      <c r="AM518"/>
      <c r="AN518" s="241">
        <v>65</v>
      </c>
      <c r="AO518" s="242">
        <v>42069</v>
      </c>
      <c r="AP518" s="255">
        <v>104</v>
      </c>
      <c r="AQ518" s="242">
        <v>42108</v>
      </c>
      <c r="AR518">
        <v>136</v>
      </c>
      <c r="AS518" s="297">
        <f t="shared" si="274"/>
        <v>136</v>
      </c>
      <c r="AT518" s="290">
        <v>42140</v>
      </c>
      <c r="AU518" s="298"/>
      <c r="AV518"/>
      <c r="AW518"/>
      <c r="AX518"/>
      <c r="AY518"/>
      <c r="AZ518"/>
      <c r="BA518"/>
      <c r="BB518"/>
      <c r="BC518"/>
      <c r="BD518"/>
      <c r="BE518"/>
      <c r="BF518" s="277">
        <v>-4.2635688781738281</v>
      </c>
      <c r="BG518" s="283">
        <v>42230</v>
      </c>
      <c r="BH518"/>
      <c r="BI518"/>
      <c r="BJ518"/>
      <c r="BK518"/>
      <c r="BL518" s="277">
        <v>64.835060119628906</v>
      </c>
      <c r="BM518" s="283">
        <v>42230</v>
      </c>
      <c r="BN518"/>
      <c r="BO518"/>
      <c r="BP518" s="277">
        <v>4.7286810874938965</v>
      </c>
      <c r="BQ518" s="283">
        <v>42230</v>
      </c>
      <c r="BR518" s="277">
        <v>50.553112030029297</v>
      </c>
      <c r="BS518" s="283">
        <v>42230</v>
      </c>
      <c r="BT518" s="277">
        <v>16.183595657348633</v>
      </c>
      <c r="BU518" s="283">
        <v>42230</v>
      </c>
      <c r="BV518" s="277">
        <v>11.643457412719727</v>
      </c>
      <c r="BW518" s="283">
        <v>42230</v>
      </c>
      <c r="BX518" s="277">
        <v>5.16900634765625</v>
      </c>
      <c r="BY518" s="283">
        <v>42230</v>
      </c>
      <c r="BZ518"/>
      <c r="CB518" s="266">
        <v>1.23</v>
      </c>
      <c r="CC518"/>
      <c r="CD518" s="277">
        <v>3.6363636363636398</v>
      </c>
      <c r="CE518" s="291" t="s">
        <v>8400</v>
      </c>
      <c r="CF518"/>
      <c r="CG518"/>
      <c r="CH518">
        <v>1</v>
      </c>
      <c r="CI518">
        <v>4</v>
      </c>
      <c r="CK518"/>
      <c r="CL518">
        <v>3</v>
      </c>
      <c r="CM518" s="259">
        <v>42161</v>
      </c>
      <c r="CN518" s="345" t="s">
        <v>8634</v>
      </c>
    </row>
    <row r="519" spans="1:93">
      <c r="A519" s="258">
        <v>861</v>
      </c>
      <c r="B519" s="235">
        <v>861</v>
      </c>
      <c r="C519" s="346" t="s">
        <v>7636</v>
      </c>
      <c r="D519" s="235" t="s">
        <v>7469</v>
      </c>
      <c r="E519" s="235" t="s">
        <v>7636</v>
      </c>
      <c r="F519" s="235" t="s">
        <v>8444</v>
      </c>
      <c r="G519" s="235" t="str">
        <f t="shared" si="268"/>
        <v>Rapsodyn</v>
      </c>
      <c r="H519" s="235" t="s">
        <v>265</v>
      </c>
      <c r="I519" s="235">
        <v>2</v>
      </c>
      <c r="J519" s="235">
        <v>9024</v>
      </c>
      <c r="K519" s="235">
        <v>16</v>
      </c>
      <c r="L519" s="235">
        <f t="shared" si="262"/>
        <v>16</v>
      </c>
      <c r="M519" s="235">
        <v>12</v>
      </c>
      <c r="N519" s="235">
        <v>7</v>
      </c>
      <c r="O519" s="248">
        <v>42048</v>
      </c>
      <c r="P519">
        <v>4.8499999999999996</v>
      </c>
      <c r="Q519" s="264">
        <v>42204</v>
      </c>
      <c r="R519"/>
      <c r="S519"/>
      <c r="T519"/>
      <c r="V519" s="219">
        <f t="shared" si="269"/>
        <v>13.911143656359606</v>
      </c>
      <c r="W519" s="219"/>
      <c r="X519">
        <v>15.55</v>
      </c>
      <c r="Y519"/>
      <c r="Z519"/>
      <c r="AA519"/>
      <c r="AB519" s="220">
        <f t="shared" si="270"/>
        <v>5.9754535277633423</v>
      </c>
      <c r="AC519" s="219"/>
      <c r="AD519" s="221">
        <f t="shared" si="271"/>
        <v>63797.135340543697</v>
      </c>
      <c r="AE519" s="219"/>
      <c r="AF519" s="220">
        <f t="shared" si="272"/>
        <v>29.474276527331188</v>
      </c>
      <c r="AG519" s="219"/>
      <c r="AH519" s="220">
        <f t="shared" si="273"/>
        <v>33.0503212910195</v>
      </c>
      <c r="AI519" s="219"/>
      <c r="AJ519">
        <v>4.62</v>
      </c>
      <c r="AK519" s="284" t="s">
        <v>8400</v>
      </c>
      <c r="AL519">
        <v>170</v>
      </c>
      <c r="AM519"/>
      <c r="AN519" s="241">
        <v>70</v>
      </c>
      <c r="AO519" s="242">
        <v>42074</v>
      </c>
      <c r="AP519" s="255">
        <v>106</v>
      </c>
      <c r="AQ519" s="242">
        <v>42110</v>
      </c>
      <c r="AR519">
        <v>127</v>
      </c>
      <c r="AS519" s="297">
        <f t="shared" si="274"/>
        <v>127</v>
      </c>
      <c r="AT519" s="290">
        <v>42131</v>
      </c>
      <c r="AU519" s="298"/>
      <c r="AV519"/>
      <c r="AW519"/>
      <c r="AX519"/>
      <c r="AY519"/>
      <c r="AZ519"/>
      <c r="BA519"/>
      <c r="BB519"/>
      <c r="BC519"/>
      <c r="BD519"/>
      <c r="BE519"/>
      <c r="BF519" s="277">
        <v>-6.9892101287841797</v>
      </c>
      <c r="BG519" s="283">
        <v>42230</v>
      </c>
      <c r="BH519"/>
      <c r="BI519"/>
      <c r="BJ519"/>
      <c r="BK519"/>
      <c r="BL519" s="277">
        <v>65.797981262207031</v>
      </c>
      <c r="BM519" s="283">
        <v>42230</v>
      </c>
      <c r="BN519"/>
      <c r="BO519"/>
      <c r="BP519" s="277">
        <v>3.2014589309692383</v>
      </c>
      <c r="BQ519" s="283">
        <v>42230</v>
      </c>
      <c r="BR519" s="277">
        <v>47.197574615478516</v>
      </c>
      <c r="BS519" s="283">
        <v>42230</v>
      </c>
      <c r="BT519" s="277">
        <v>20.273452758789063</v>
      </c>
      <c r="BU519" s="283">
        <v>42230</v>
      </c>
      <c r="BV519" s="277">
        <v>63.734230041503906</v>
      </c>
      <c r="BW519" s="283">
        <v>42230</v>
      </c>
      <c r="BX519" s="277">
        <v>5.778472900390625</v>
      </c>
      <c r="BY519" s="283">
        <v>42230</v>
      </c>
      <c r="BZ519"/>
      <c r="CB519" s="266">
        <v>0.88</v>
      </c>
      <c r="CC519"/>
      <c r="CD519" s="277">
        <v>3.5714285714285587</v>
      </c>
      <c r="CE519" s="291" t="s">
        <v>8400</v>
      </c>
      <c r="CF519"/>
      <c r="CG519"/>
      <c r="CH519">
        <v>2</v>
      </c>
      <c r="CI519">
        <v>4</v>
      </c>
      <c r="CK519"/>
      <c r="CL519">
        <v>3</v>
      </c>
      <c r="CM519" s="259">
        <v>42161</v>
      </c>
      <c r="CN519" s="345" t="s">
        <v>8634</v>
      </c>
    </row>
    <row r="520" spans="1:93">
      <c r="A520" s="258">
        <v>862</v>
      </c>
      <c r="B520" s="235">
        <v>862</v>
      </c>
      <c r="C520" s="346" t="s">
        <v>7780</v>
      </c>
      <c r="D520" s="235" t="s">
        <v>7578</v>
      </c>
      <c r="E520" s="235" t="s">
        <v>7780</v>
      </c>
      <c r="F520" s="235" t="s">
        <v>8551</v>
      </c>
      <c r="G520" s="235" t="str">
        <f t="shared" si="268"/>
        <v>Rapsodyn</v>
      </c>
      <c r="H520" s="235" t="s">
        <v>265</v>
      </c>
      <c r="I520" s="235">
        <v>2</v>
      </c>
      <c r="J520" s="235">
        <v>9151</v>
      </c>
      <c r="K520" s="235">
        <v>15</v>
      </c>
      <c r="L520" s="235">
        <f t="shared" si="262"/>
        <v>15</v>
      </c>
      <c r="M520" s="235">
        <v>12</v>
      </c>
      <c r="N520" s="236">
        <v>5</v>
      </c>
      <c r="O520" s="248">
        <v>42048</v>
      </c>
      <c r="P520">
        <v>5.85</v>
      </c>
      <c r="Q520" s="264">
        <v>42204</v>
      </c>
      <c r="R520"/>
      <c r="S520"/>
      <c r="T520"/>
      <c r="V520" s="219">
        <f t="shared" si="269"/>
        <v>17.488439633943912</v>
      </c>
      <c r="W520" s="219"/>
      <c r="X520">
        <v>15.55</v>
      </c>
      <c r="Y520"/>
      <c r="Z520"/>
      <c r="AA520"/>
      <c r="AB520" s="220">
        <f t="shared" si="270"/>
        <v>6.1022855362709594</v>
      </c>
      <c r="AC520" s="219"/>
      <c r="AD520" s="221">
        <f t="shared" si="271"/>
        <v>79723.405865218956</v>
      </c>
      <c r="AE520" s="219"/>
      <c r="AF520" s="220">
        <f t="shared" si="272"/>
        <v>35.476915610022438</v>
      </c>
      <c r="AG520" s="219"/>
      <c r="AH520" s="220">
        <f t="shared" si="273"/>
        <v>39.781246479056342</v>
      </c>
      <c r="AI520" s="219"/>
      <c r="AJ520">
        <v>4.45</v>
      </c>
      <c r="AK520" s="284" t="s">
        <v>8400</v>
      </c>
      <c r="AL520">
        <v>175</v>
      </c>
      <c r="AM520"/>
      <c r="AN520" s="241">
        <v>72</v>
      </c>
      <c r="AO520" s="242">
        <v>42076</v>
      </c>
      <c r="AP520" s="255">
        <v>104</v>
      </c>
      <c r="AQ520" s="242">
        <v>42108</v>
      </c>
      <c r="AR520">
        <v>131</v>
      </c>
      <c r="AS520" s="297">
        <f t="shared" si="274"/>
        <v>131</v>
      </c>
      <c r="AT520" s="290">
        <v>42135</v>
      </c>
      <c r="AU520" s="298"/>
      <c r="AV520"/>
      <c r="AW520"/>
      <c r="AX520"/>
      <c r="AY520"/>
      <c r="AZ520"/>
      <c r="BA520"/>
      <c r="BB520"/>
      <c r="BC520"/>
      <c r="BD520"/>
      <c r="BE520"/>
      <c r="BF520" s="277">
        <v>-4.705258846282959</v>
      </c>
      <c r="BG520" s="283">
        <v>42230</v>
      </c>
      <c r="BH520"/>
      <c r="BI520"/>
      <c r="BJ520"/>
      <c r="BK520"/>
      <c r="BL520" s="277">
        <v>67.295814514160156</v>
      </c>
      <c r="BM520" s="283">
        <v>42230</v>
      </c>
      <c r="BN520"/>
      <c r="BO520"/>
      <c r="BP520" s="277">
        <v>3.5925910472869873</v>
      </c>
      <c r="BQ520" s="283">
        <v>42230</v>
      </c>
      <c r="BR520" s="277">
        <v>49.295265197753906</v>
      </c>
      <c r="BS520" s="283">
        <v>42230</v>
      </c>
      <c r="BT520" s="277">
        <v>17.200721740722656</v>
      </c>
      <c r="BU520" s="283">
        <v>42230</v>
      </c>
      <c r="BV520" s="277">
        <v>11.03641414642334</v>
      </c>
      <c r="BW520" s="283">
        <v>42230</v>
      </c>
      <c r="BX520" s="277">
        <v>5.3104705810546875</v>
      </c>
      <c r="BY520" s="283">
        <v>42230</v>
      </c>
      <c r="BZ520"/>
      <c r="CB520" s="266">
        <v>1.05</v>
      </c>
      <c r="CC520"/>
      <c r="CD520" s="277">
        <v>3.7735849056603805</v>
      </c>
      <c r="CE520" s="291" t="s">
        <v>8400</v>
      </c>
      <c r="CF520"/>
      <c r="CG520"/>
      <c r="CH520">
        <v>1</v>
      </c>
      <c r="CI520">
        <v>2</v>
      </c>
      <c r="CK520"/>
      <c r="CL520">
        <v>2</v>
      </c>
      <c r="CM520" s="259">
        <v>42161</v>
      </c>
      <c r="CN520" s="345" t="s">
        <v>8634</v>
      </c>
    </row>
    <row r="521" spans="1:93">
      <c r="A521" s="258">
        <v>864</v>
      </c>
      <c r="B521" s="235">
        <v>864</v>
      </c>
      <c r="C521" s="346" t="s">
        <v>7716</v>
      </c>
      <c r="D521" s="235" t="s">
        <v>7540</v>
      </c>
      <c r="E521" s="235" t="s">
        <v>7716</v>
      </c>
      <c r="F521" s="235" t="s">
        <v>8502</v>
      </c>
      <c r="G521" s="235" t="str">
        <f t="shared" si="268"/>
        <v>Rapsodyn</v>
      </c>
      <c r="H521" s="235" t="s">
        <v>265</v>
      </c>
      <c r="I521" s="235">
        <v>2</v>
      </c>
      <c r="J521" s="235">
        <v>9098</v>
      </c>
      <c r="K521" s="235">
        <v>13</v>
      </c>
      <c r="L521" s="235">
        <f t="shared" si="262"/>
        <v>13</v>
      </c>
      <c r="M521" s="235">
        <v>12</v>
      </c>
      <c r="N521" s="235">
        <v>7</v>
      </c>
      <c r="O521" s="248">
        <v>42048</v>
      </c>
      <c r="P521" s="223">
        <v>5.4</v>
      </c>
      <c r="Q521" s="264">
        <v>42204</v>
      </c>
      <c r="R521" s="223"/>
      <c r="S521" s="223"/>
      <c r="T521" s="223"/>
      <c r="U521" s="225"/>
      <c r="V521" s="219">
        <f t="shared" si="269"/>
        <v>15.808111748353305</v>
      </c>
      <c r="W521" s="224"/>
      <c r="X521">
        <v>15.55</v>
      </c>
      <c r="Y521" s="223"/>
      <c r="Z521" s="223"/>
      <c r="AA521" s="223"/>
      <c r="AB521" s="220">
        <f t="shared" si="270"/>
        <v>5.3865447138925795</v>
      </c>
      <c r="AC521" s="224"/>
      <c r="AD521" s="221">
        <f t="shared" si="271"/>
        <v>77469.704679417642</v>
      </c>
      <c r="AE521" s="224"/>
      <c r="AF521" s="220">
        <f t="shared" si="272"/>
        <v>31.685109213881812</v>
      </c>
      <c r="AG521" s="224"/>
      <c r="AH521" s="220">
        <f t="shared" si="273"/>
        <v>35.529389116261278</v>
      </c>
      <c r="AI521" s="224"/>
      <c r="AJ521">
        <v>4.09</v>
      </c>
      <c r="AK521" s="290" t="s">
        <v>8403</v>
      </c>
      <c r="AL521" s="223">
        <v>155</v>
      </c>
      <c r="AM521" s="223"/>
      <c r="AN521" s="241">
        <v>70</v>
      </c>
      <c r="AO521" s="242">
        <v>42074</v>
      </c>
      <c r="AP521" s="255">
        <v>100</v>
      </c>
      <c r="AQ521" s="242">
        <v>42104</v>
      </c>
      <c r="AR521">
        <v>131</v>
      </c>
      <c r="AS521" s="297">
        <f t="shared" si="274"/>
        <v>131</v>
      </c>
      <c r="AT521" s="290">
        <v>42135</v>
      </c>
      <c r="AU521" s="298"/>
      <c r="AV521" s="223"/>
      <c r="AW521" s="223"/>
      <c r="AX521" s="223"/>
      <c r="AY521" s="223"/>
      <c r="AZ521" s="223"/>
      <c r="BA521" s="223"/>
      <c r="BB521" s="223"/>
      <c r="BC521" s="223"/>
      <c r="BD521" s="223"/>
      <c r="BE521" s="223"/>
      <c r="BF521" s="281">
        <v>-3.8402938842773438</v>
      </c>
      <c r="BG521" s="283">
        <v>42233</v>
      </c>
      <c r="BH521" s="223"/>
      <c r="BI521" s="223"/>
      <c r="BJ521" s="223"/>
      <c r="BK521" s="223"/>
      <c r="BL521" s="281">
        <v>64.8758544921875</v>
      </c>
      <c r="BM521" s="283">
        <v>42233</v>
      </c>
      <c r="BN521" s="223"/>
      <c r="BO521" s="223"/>
      <c r="BP521" s="281">
        <v>4.1881070137023926</v>
      </c>
      <c r="BQ521" s="283">
        <v>42233</v>
      </c>
      <c r="BR521" s="281">
        <v>49.89129638671875</v>
      </c>
      <c r="BS521" s="283">
        <v>42233</v>
      </c>
      <c r="BT521" s="281">
        <v>17.000240325927734</v>
      </c>
      <c r="BU521" s="283">
        <v>42233</v>
      </c>
      <c r="BV521" s="281">
        <v>14.179037094116211</v>
      </c>
      <c r="BW521" s="283">
        <v>42233</v>
      </c>
      <c r="BX521" s="281">
        <v>5.3785629272460937</v>
      </c>
      <c r="BY521" s="283">
        <v>42233</v>
      </c>
      <c r="BZ521" s="223"/>
      <c r="CA521" s="226"/>
      <c r="CB521" s="266">
        <v>0.97</v>
      </c>
      <c r="CC521" s="223"/>
      <c r="CD521" s="281">
        <v>6.8965517241379226</v>
      </c>
      <c r="CE521" s="291" t="s">
        <v>8403</v>
      </c>
      <c r="CF521" s="223"/>
      <c r="CG521" s="223"/>
      <c r="CH521" s="223">
        <v>2</v>
      </c>
      <c r="CI521" s="223">
        <v>5</v>
      </c>
      <c r="CK521" s="223"/>
      <c r="CL521" s="223">
        <v>1</v>
      </c>
      <c r="CM521" s="259">
        <v>42161</v>
      </c>
      <c r="CN521" s="345" t="s">
        <v>8634</v>
      </c>
    </row>
    <row r="522" spans="1:93">
      <c r="A522" s="258">
        <v>865</v>
      </c>
      <c r="B522" s="235">
        <v>865</v>
      </c>
      <c r="C522" s="346" t="s">
        <v>7644</v>
      </c>
      <c r="D522" s="235" t="s">
        <v>7476</v>
      </c>
      <c r="E522" s="235" t="s">
        <v>7644</v>
      </c>
      <c r="F522" s="235" t="s">
        <v>8620</v>
      </c>
      <c r="G522" s="235" t="str">
        <f t="shared" si="268"/>
        <v>Rapsodyn</v>
      </c>
      <c r="H522" s="235" t="s">
        <v>265</v>
      </c>
      <c r="I522" s="235">
        <v>2</v>
      </c>
      <c r="J522" s="235">
        <v>9032</v>
      </c>
      <c r="K522" s="235">
        <v>12</v>
      </c>
      <c r="L522" s="235">
        <f t="shared" si="262"/>
        <v>12</v>
      </c>
      <c r="M522" s="235">
        <v>12</v>
      </c>
      <c r="N522" s="236">
        <v>5</v>
      </c>
      <c r="O522" s="248">
        <v>42048</v>
      </c>
      <c r="P522" s="223">
        <v>3.9</v>
      </c>
      <c r="Q522" s="264">
        <v>42204</v>
      </c>
      <c r="R522" s="223"/>
      <c r="S522" s="223"/>
      <c r="T522" s="223"/>
      <c r="U522" s="225"/>
      <c r="V522" s="219">
        <f t="shared" si="269"/>
        <v>10.385653360588664</v>
      </c>
      <c r="W522" s="224"/>
      <c r="X522">
        <v>15.55</v>
      </c>
      <c r="Y522" s="223"/>
      <c r="Z522" s="223"/>
      <c r="AA522" s="223"/>
      <c r="AB522" s="220">
        <f t="shared" si="270"/>
        <v>4.8270929788694588</v>
      </c>
      <c r="AC522" s="224"/>
      <c r="AD522" s="221">
        <f t="shared" si="271"/>
        <v>44310.764305351149</v>
      </c>
      <c r="AE522" s="224"/>
      <c r="AF522" s="220">
        <f t="shared" si="272"/>
        <v>23.307462024614704</v>
      </c>
      <c r="AG522" s="224"/>
      <c r="AH522" s="220">
        <f t="shared" si="273"/>
        <v>26.135301664739522</v>
      </c>
      <c r="AI522" s="224"/>
      <c r="AJ522">
        <v>5.26</v>
      </c>
      <c r="AK522" s="290" t="s">
        <v>8399</v>
      </c>
      <c r="AL522" s="223">
        <v>185</v>
      </c>
      <c r="AM522" s="223"/>
      <c r="AN522" s="241">
        <v>70</v>
      </c>
      <c r="AO522" s="242">
        <v>42074</v>
      </c>
      <c r="AP522" s="255">
        <v>106</v>
      </c>
      <c r="AQ522" s="242">
        <v>42110</v>
      </c>
      <c r="AR522">
        <v>130</v>
      </c>
      <c r="AS522" s="297">
        <f t="shared" si="274"/>
        <v>130</v>
      </c>
      <c r="AT522" s="290">
        <v>42134</v>
      </c>
      <c r="AU522" s="298"/>
      <c r="AV522" s="223"/>
      <c r="AW522" s="223"/>
      <c r="AX522" s="223"/>
      <c r="AY522" s="223"/>
      <c r="AZ522" s="223"/>
      <c r="BA522" s="223"/>
      <c r="BB522" s="223"/>
      <c r="BC522" s="223"/>
      <c r="BD522" s="223"/>
      <c r="BE522" s="223"/>
      <c r="BF522" s="281">
        <v>-2.4180870056152344</v>
      </c>
      <c r="BG522" s="283">
        <v>42233</v>
      </c>
      <c r="BH522" s="223"/>
      <c r="BI522" s="223"/>
      <c r="BJ522" s="223"/>
      <c r="BK522" s="223"/>
      <c r="BL522" s="281">
        <v>57.420848846435547</v>
      </c>
      <c r="BM522" s="283">
        <v>42233</v>
      </c>
      <c r="BN522" s="223"/>
      <c r="BO522" s="223"/>
      <c r="BP522" s="281">
        <v>4.0900211334228516</v>
      </c>
      <c r="BQ522" s="283">
        <v>42233</v>
      </c>
      <c r="BR522" s="281">
        <v>44.559349060058594</v>
      </c>
      <c r="BS522" s="283">
        <v>42233</v>
      </c>
      <c r="BT522" s="281">
        <v>20.710504531860352</v>
      </c>
      <c r="BU522" s="283">
        <v>42233</v>
      </c>
      <c r="BV522" s="281">
        <v>22.009233474731445</v>
      </c>
      <c r="BW522" s="283">
        <v>42233</v>
      </c>
      <c r="BX522" s="281">
        <v>5.6400375366210938</v>
      </c>
      <c r="BY522" s="283">
        <v>42233</v>
      </c>
      <c r="BZ522" s="223"/>
      <c r="CA522" s="226"/>
      <c r="CB522" s="266">
        <v>0.65</v>
      </c>
      <c r="CC522" s="223"/>
      <c r="CD522" s="281">
        <v>5.1724137931034457</v>
      </c>
      <c r="CE522" s="291" t="s">
        <v>8399</v>
      </c>
      <c r="CF522" s="223"/>
      <c r="CG522" s="223"/>
      <c r="CH522" s="223">
        <v>3</v>
      </c>
      <c r="CI522" s="223">
        <v>5</v>
      </c>
      <c r="CK522" s="223"/>
      <c r="CL522" s="223">
        <v>4</v>
      </c>
      <c r="CM522" s="259">
        <v>42161</v>
      </c>
      <c r="CN522" s="345" t="s">
        <v>8634</v>
      </c>
    </row>
    <row r="523" spans="1:93">
      <c r="A523" s="258">
        <v>867</v>
      </c>
      <c r="B523" s="235">
        <v>867</v>
      </c>
      <c r="C523" s="346" t="s">
        <v>7604</v>
      </c>
      <c r="D523" s="235" t="s">
        <v>7810</v>
      </c>
      <c r="E523" s="235" t="s">
        <v>7604</v>
      </c>
      <c r="F523" s="235" t="s">
        <v>8609</v>
      </c>
      <c r="G523" s="235" t="str">
        <f t="shared" si="268"/>
        <v>Rapsodyn</v>
      </c>
      <c r="H523" s="235" t="s">
        <v>265</v>
      </c>
      <c r="I523" s="235">
        <v>2</v>
      </c>
      <c r="J523" s="235">
        <v>9001</v>
      </c>
      <c r="K523" s="235">
        <v>10</v>
      </c>
      <c r="L523" s="235">
        <f t="shared" si="262"/>
        <v>10</v>
      </c>
      <c r="M523" s="235">
        <v>12</v>
      </c>
      <c r="N523" s="235">
        <v>7</v>
      </c>
      <c r="O523" s="248">
        <v>42048</v>
      </c>
      <c r="P523">
        <v>4.4000000000000004</v>
      </c>
      <c r="Q523" s="264">
        <v>42204</v>
      </c>
      <c r="R523"/>
      <c r="S523"/>
      <c r="T523"/>
      <c r="V523" s="219">
        <f t="shared" si="269"/>
        <v>12.967038739072548</v>
      </c>
      <c r="W523" s="219"/>
      <c r="X523">
        <v>15.55</v>
      </c>
      <c r="Y523"/>
      <c r="Z523"/>
      <c r="AA523"/>
      <c r="AB523" s="220">
        <f t="shared" si="270"/>
        <v>4.8896452846155647</v>
      </c>
      <c r="AC523" s="219"/>
      <c r="AD523" s="221">
        <f t="shared" si="271"/>
        <v>66376.845976994853</v>
      </c>
      <c r="AE523" s="219"/>
      <c r="AF523" s="220">
        <f t="shared" si="272"/>
        <v>26.683492082751926</v>
      </c>
      <c r="AG523" s="219"/>
      <c r="AH523" s="220">
        <f t="shared" si="273"/>
        <v>29.920937522709046</v>
      </c>
      <c r="AI523" s="219"/>
      <c r="AJ523">
        <v>4.0199999999999996</v>
      </c>
      <c r="AK523" s="284" t="s">
        <v>8400</v>
      </c>
      <c r="AL523">
        <v>165</v>
      </c>
      <c r="AM523"/>
      <c r="AN523" s="241">
        <v>75</v>
      </c>
      <c r="AO523" s="242">
        <v>42079</v>
      </c>
      <c r="AP523" s="255">
        <v>110</v>
      </c>
      <c r="AQ523" s="242">
        <v>42114</v>
      </c>
      <c r="AR523" s="223">
        <v>132</v>
      </c>
      <c r="AS523" s="297">
        <f t="shared" si="274"/>
        <v>132</v>
      </c>
      <c r="AT523" s="290">
        <v>42136</v>
      </c>
      <c r="AU523" s="298"/>
      <c r="AV523"/>
      <c r="AW523"/>
      <c r="AX523"/>
      <c r="AY523"/>
      <c r="AZ523"/>
      <c r="BA523"/>
      <c r="BB523"/>
      <c r="BC523"/>
      <c r="BD523"/>
      <c r="BE523"/>
      <c r="BF523" s="277">
        <v>41.517509460449219</v>
      </c>
      <c r="BG523" s="283">
        <v>42230</v>
      </c>
      <c r="BH523"/>
      <c r="BI523"/>
      <c r="BJ523"/>
      <c r="BK523"/>
      <c r="BL523" s="277">
        <v>61.556953430175781</v>
      </c>
      <c r="BM523" s="283">
        <v>42230</v>
      </c>
      <c r="BN523"/>
      <c r="BO523"/>
      <c r="BP523" s="277">
        <v>3.0748670101165771</v>
      </c>
      <c r="BQ523" s="283">
        <v>42230</v>
      </c>
      <c r="BR523" s="277">
        <v>48.595733642578125</v>
      </c>
      <c r="BS523" s="283">
        <v>42230</v>
      </c>
      <c r="BT523" s="277">
        <v>18.324607849121094</v>
      </c>
      <c r="BU523" s="283">
        <v>42230</v>
      </c>
      <c r="BV523" s="277">
        <v>53.347511291503906</v>
      </c>
      <c r="BW523" s="283">
        <v>42230</v>
      </c>
      <c r="BX523" s="277">
        <v>5.3613662719726563</v>
      </c>
      <c r="BY523" s="283">
        <v>42230</v>
      </c>
      <c r="BZ523"/>
      <c r="CB523" s="266">
        <v>1.38</v>
      </c>
      <c r="CC523"/>
      <c r="CD523" s="277">
        <v>3.7735849056603805</v>
      </c>
      <c r="CE523" s="291" t="s">
        <v>8400</v>
      </c>
      <c r="CF523"/>
      <c r="CG523"/>
      <c r="CH523">
        <v>2</v>
      </c>
      <c r="CI523">
        <v>8</v>
      </c>
      <c r="CK523"/>
      <c r="CL523">
        <v>4</v>
      </c>
      <c r="CM523" s="259">
        <v>42161</v>
      </c>
      <c r="CN523" s="345" t="s">
        <v>8634</v>
      </c>
      <c r="CO523" s="137" t="s">
        <v>8405</v>
      </c>
    </row>
    <row r="524" spans="1:93">
      <c r="A524" s="258">
        <v>869</v>
      </c>
      <c r="B524" s="235">
        <v>869</v>
      </c>
      <c r="C524" s="346" t="s">
        <v>7689</v>
      </c>
      <c r="D524" s="235" t="s">
        <v>7515</v>
      </c>
      <c r="E524" s="235" t="s">
        <v>7689</v>
      </c>
      <c r="F524" s="235" t="s">
        <v>8511</v>
      </c>
      <c r="G524" s="235" t="str">
        <f t="shared" si="268"/>
        <v>Rapsodyn</v>
      </c>
      <c r="H524" s="235" t="s">
        <v>265</v>
      </c>
      <c r="I524" s="235">
        <v>2</v>
      </c>
      <c r="J524" s="235">
        <v>9071</v>
      </c>
      <c r="K524" s="235">
        <v>8</v>
      </c>
      <c r="L524" s="235">
        <f t="shared" si="262"/>
        <v>8</v>
      </c>
      <c r="M524" s="235">
        <v>12</v>
      </c>
      <c r="N524" s="235">
        <v>5</v>
      </c>
      <c r="O524" s="248">
        <v>42048</v>
      </c>
      <c r="P524">
        <v>5.7</v>
      </c>
      <c r="Q524" s="264">
        <v>42204</v>
      </c>
      <c r="R524"/>
      <c r="S524"/>
      <c r="T524"/>
      <c r="V524" s="219">
        <f t="shared" si="269"/>
        <v>16.604937898717825</v>
      </c>
      <c r="W524" s="219"/>
      <c r="X524">
        <v>15.55</v>
      </c>
      <c r="Y524"/>
      <c r="Z524"/>
      <c r="AA524"/>
      <c r="AB524" s="220">
        <f t="shared" si="270"/>
        <v>5.8998553028078815</v>
      </c>
      <c r="AC524" s="219"/>
      <c r="AD524" s="221">
        <f t="shared" si="271"/>
        <v>72416.636490159552</v>
      </c>
      <c r="AE524" s="219"/>
      <c r="AF524" s="220">
        <f t="shared" si="272"/>
        <v>33.96340251388483</v>
      </c>
      <c r="AG524" s="219"/>
      <c r="AH524" s="220">
        <f t="shared" si="273"/>
        <v>38.084102392784068</v>
      </c>
      <c r="AI524" s="219"/>
      <c r="AJ524">
        <v>4.6900000000000004</v>
      </c>
      <c r="AK524" s="284" t="s">
        <v>8398</v>
      </c>
      <c r="AL524">
        <v>155</v>
      </c>
      <c r="AM524"/>
      <c r="AN524" s="241">
        <v>75</v>
      </c>
      <c r="AO524" s="242">
        <v>42079</v>
      </c>
      <c r="AP524" s="255">
        <v>110</v>
      </c>
      <c r="AQ524" s="242">
        <v>42114</v>
      </c>
      <c r="AR524" s="223">
        <v>132</v>
      </c>
      <c r="AS524" s="297">
        <f t="shared" si="274"/>
        <v>132</v>
      </c>
      <c r="AT524" s="290">
        <v>42136</v>
      </c>
      <c r="AU524" s="298"/>
      <c r="AV524"/>
      <c r="AW524"/>
      <c r="AX524"/>
      <c r="AY524"/>
      <c r="AZ524"/>
      <c r="BA524"/>
      <c r="BB524"/>
      <c r="BC524"/>
      <c r="BD524"/>
      <c r="BE524"/>
      <c r="BF524" s="277">
        <v>-4.9958949089050293</v>
      </c>
      <c r="BG524" s="283">
        <v>42230</v>
      </c>
      <c r="BH524"/>
      <c r="BI524"/>
      <c r="BJ524"/>
      <c r="BK524"/>
      <c r="BL524" s="277">
        <v>61.95172119140625</v>
      </c>
      <c r="BM524" s="283">
        <v>42230</v>
      </c>
      <c r="BN524"/>
      <c r="BO524"/>
      <c r="BP524" s="277">
        <v>4.3245029449462891</v>
      </c>
      <c r="BQ524" s="283">
        <v>42230</v>
      </c>
      <c r="BR524" s="277">
        <v>48.890678405761719</v>
      </c>
      <c r="BS524" s="283">
        <v>42230</v>
      </c>
      <c r="BT524" s="277">
        <v>17.371213912963867</v>
      </c>
      <c r="BU524" s="283">
        <v>42230</v>
      </c>
      <c r="BV524" s="277">
        <v>20.241733551025391</v>
      </c>
      <c r="BW524" s="283">
        <v>42230</v>
      </c>
      <c r="BX524" s="277">
        <v>5.6699371337890625</v>
      </c>
      <c r="BY524" s="283">
        <v>42230</v>
      </c>
      <c r="BZ524"/>
      <c r="CB524" s="266">
        <v>0.6</v>
      </c>
      <c r="CC524"/>
      <c r="CD524" s="277">
        <v>5.4545454545454515</v>
      </c>
      <c r="CE524" s="291" t="s">
        <v>8398</v>
      </c>
      <c r="CF524"/>
      <c r="CG524"/>
      <c r="CH524">
        <v>2</v>
      </c>
      <c r="CI524">
        <v>3</v>
      </c>
      <c r="CK524"/>
      <c r="CL524">
        <v>1</v>
      </c>
      <c r="CM524" s="259">
        <v>42161</v>
      </c>
      <c r="CN524" s="345" t="s">
        <v>8634</v>
      </c>
    </row>
    <row r="525" spans="1:93">
      <c r="A525" s="258">
        <v>870</v>
      </c>
      <c r="B525" s="235">
        <v>870</v>
      </c>
      <c r="C525" s="346" t="s">
        <v>7723</v>
      </c>
      <c r="D525" s="235" t="s">
        <v>7547</v>
      </c>
      <c r="E525" s="235" t="s">
        <v>7723</v>
      </c>
      <c r="F525" s="235" t="s">
        <v>8446</v>
      </c>
      <c r="G525" s="235" t="str">
        <f t="shared" si="268"/>
        <v>Rapsodyn</v>
      </c>
      <c r="H525" s="235" t="s">
        <v>265</v>
      </c>
      <c r="I525" s="235">
        <v>2</v>
      </c>
      <c r="J525" s="235">
        <v>9105</v>
      </c>
      <c r="K525" s="235">
        <v>7</v>
      </c>
      <c r="L525" s="235">
        <f t="shared" si="262"/>
        <v>7</v>
      </c>
      <c r="M525" s="235">
        <v>12</v>
      </c>
      <c r="N525" s="235">
        <v>7</v>
      </c>
      <c r="O525" s="248">
        <v>42048</v>
      </c>
      <c r="P525">
        <v>6.1</v>
      </c>
      <c r="Q525" s="264">
        <v>42204</v>
      </c>
      <c r="R525"/>
      <c r="S525"/>
      <c r="T525"/>
      <c r="V525" s="219">
        <f t="shared" si="269"/>
        <v>18.654471178208134</v>
      </c>
      <c r="W525" s="219"/>
      <c r="X525">
        <v>15.55</v>
      </c>
      <c r="Y525"/>
      <c r="Z525"/>
      <c r="AA525"/>
      <c r="AB525" s="220">
        <f t="shared" si="270"/>
        <v>6.0476911549092884</v>
      </c>
      <c r="AC525" s="219"/>
      <c r="AD525" s="221">
        <f t="shared" si="271"/>
        <v>73117.829486862393</v>
      </c>
      <c r="AE525" s="219"/>
      <c r="AF525" s="220">
        <f t="shared" si="272"/>
        <v>37.070739549839232</v>
      </c>
      <c r="AG525" s="219"/>
      <c r="AH525" s="220">
        <f t="shared" si="273"/>
        <v>41.56844533509669</v>
      </c>
      <c r="AI525" s="219"/>
      <c r="AJ525">
        <v>5.07</v>
      </c>
      <c r="AK525" s="284" t="s">
        <v>8398</v>
      </c>
      <c r="AL525">
        <v>165</v>
      </c>
      <c r="AM525"/>
      <c r="AN525" s="241">
        <v>72</v>
      </c>
      <c r="AO525" s="242">
        <v>42076</v>
      </c>
      <c r="AP525" s="255">
        <v>106</v>
      </c>
      <c r="AQ525" s="242">
        <v>42110</v>
      </c>
      <c r="AR525" s="223">
        <v>127</v>
      </c>
      <c r="AS525" s="297">
        <f t="shared" si="274"/>
        <v>127</v>
      </c>
      <c r="AT525" s="290">
        <v>42131</v>
      </c>
      <c r="AU525" s="298"/>
      <c r="AV525"/>
      <c r="AW525"/>
      <c r="AX525"/>
      <c r="AY525"/>
      <c r="AZ525"/>
      <c r="BA525"/>
      <c r="BB525"/>
      <c r="BC525"/>
      <c r="BD525"/>
      <c r="BE525"/>
      <c r="BF525" s="277">
        <v>-6.2334079742431641</v>
      </c>
      <c r="BG525" s="283">
        <v>42230</v>
      </c>
      <c r="BH525"/>
      <c r="BI525"/>
      <c r="BJ525"/>
      <c r="BK525"/>
      <c r="BL525" s="277">
        <v>62.514049530029297</v>
      </c>
      <c r="BM525" s="283">
        <v>42230</v>
      </c>
      <c r="BN525"/>
      <c r="BO525"/>
      <c r="BP525" s="277">
        <v>3.9239261150360107</v>
      </c>
      <c r="BQ525" s="283">
        <v>42230</v>
      </c>
      <c r="BR525" s="277">
        <v>50.321281433105469</v>
      </c>
      <c r="BS525" s="283">
        <v>42230</v>
      </c>
      <c r="BT525" s="277">
        <v>16.313920974731445</v>
      </c>
      <c r="BU525" s="283">
        <v>42230</v>
      </c>
      <c r="BV525" s="277">
        <v>14.160483360290527</v>
      </c>
      <c r="BW525" s="283">
        <v>42230</v>
      </c>
      <c r="BX525" s="277">
        <v>5.472808837890625</v>
      </c>
      <c r="BY525" s="283">
        <v>42230</v>
      </c>
      <c r="BZ525"/>
      <c r="CB525" s="266">
        <v>0.87</v>
      </c>
      <c r="CC525"/>
      <c r="CD525" s="277">
        <v>3.5714285714285587</v>
      </c>
      <c r="CE525" s="291" t="s">
        <v>8398</v>
      </c>
      <c r="CF525"/>
      <c r="CG525"/>
      <c r="CH525">
        <v>1</v>
      </c>
      <c r="CI525">
        <v>8</v>
      </c>
      <c r="CK525"/>
      <c r="CL525">
        <v>3</v>
      </c>
      <c r="CM525" s="259">
        <v>42161</v>
      </c>
      <c r="CN525" s="345" t="s">
        <v>8634</v>
      </c>
      <c r="CO525" s="137" t="s">
        <v>8405</v>
      </c>
    </row>
    <row r="526" spans="1:93">
      <c r="A526" s="258">
        <v>871</v>
      </c>
      <c r="B526" s="235">
        <v>871</v>
      </c>
      <c r="C526" s="346" t="s">
        <v>7576</v>
      </c>
      <c r="D526" s="235"/>
      <c r="E526" s="235"/>
      <c r="F526" s="235"/>
      <c r="G526" s="235"/>
      <c r="H526" s="235" t="s">
        <v>265</v>
      </c>
      <c r="I526" s="235">
        <v>2</v>
      </c>
      <c r="K526" s="235">
        <v>6</v>
      </c>
      <c r="L526" s="235">
        <f t="shared" si="262"/>
        <v>6</v>
      </c>
      <c r="M526" s="235">
        <v>12</v>
      </c>
      <c r="O526" s="248">
        <v>42048</v>
      </c>
      <c r="P526"/>
      <c r="Q526" s="219"/>
      <c r="R526"/>
      <c r="S526"/>
      <c r="T526"/>
      <c r="V526" s="219"/>
      <c r="W526" s="219"/>
      <c r="X526">
        <v>15.55</v>
      </c>
      <c r="Y526"/>
      <c r="Z526"/>
      <c r="AA526"/>
      <c r="AB526" s="220"/>
      <c r="AC526" s="219"/>
      <c r="AD526" s="221"/>
      <c r="AE526" s="219"/>
      <c r="AF526" s="220"/>
      <c r="AG526" s="219"/>
      <c r="AH526" s="220"/>
      <c r="AI526" s="219"/>
      <c r="AJ526" s="286"/>
      <c r="AK526" s="284"/>
      <c r="AL526"/>
      <c r="AM526"/>
      <c r="AN526" s="241">
        <v>70</v>
      </c>
      <c r="AO526" s="242">
        <v>42074</v>
      </c>
      <c r="AP526" s="255">
        <v>104</v>
      </c>
      <c r="AQ526" s="242">
        <v>42108</v>
      </c>
      <c r="AR526"/>
      <c r="AS526" s="297"/>
      <c r="AT526" s="290"/>
      <c r="AU526" s="298"/>
      <c r="AV526"/>
      <c r="AW526"/>
      <c r="AX526"/>
      <c r="AY526"/>
      <c r="AZ526"/>
      <c r="BA526"/>
      <c r="BB526"/>
      <c r="BC526"/>
      <c r="BD526"/>
      <c r="BE526"/>
      <c r="BF526" s="277"/>
      <c r="BG526" s="235"/>
      <c r="BH526"/>
      <c r="BI526"/>
      <c r="BJ526"/>
      <c r="BK526"/>
      <c r="BL526" s="277"/>
      <c r="BM526" s="235"/>
      <c r="BN526"/>
      <c r="BO526"/>
      <c r="BP526" s="277"/>
      <c r="BQ526" s="235"/>
      <c r="BR526" s="277"/>
      <c r="BS526" s="235"/>
      <c r="BT526" s="277"/>
      <c r="BU526" s="235"/>
      <c r="BV526" s="277"/>
      <c r="BW526" s="235"/>
      <c r="BX526" s="277"/>
      <c r="BY526" s="235"/>
      <c r="BZ526"/>
      <c r="CB526" s="266"/>
      <c r="CC526"/>
      <c r="CD526" s="277"/>
      <c r="CE526" s="291"/>
      <c r="CF526"/>
      <c r="CG526"/>
      <c r="CH526"/>
      <c r="CI526"/>
      <c r="CK526"/>
      <c r="CL526">
        <v>3</v>
      </c>
      <c r="CM526" s="259">
        <v>42161</v>
      </c>
      <c r="CN526" s="345" t="s">
        <v>8634</v>
      </c>
    </row>
    <row r="527" spans="1:93">
      <c r="A527" s="258">
        <v>872</v>
      </c>
      <c r="B527" s="235">
        <v>872</v>
      </c>
      <c r="C527" s="346" t="s">
        <v>7756</v>
      </c>
      <c r="D527" s="235" t="s">
        <v>7564</v>
      </c>
      <c r="E527" s="235" t="s">
        <v>7756</v>
      </c>
      <c r="F527" s="235" t="s">
        <v>8495</v>
      </c>
      <c r="G527" s="235" t="str">
        <f>IF(MID(C527,1,3)="BGA","Complement","Rapsodyn")</f>
        <v>Rapsodyn</v>
      </c>
      <c r="H527" s="235" t="s">
        <v>265</v>
      </c>
      <c r="I527" s="235">
        <v>2</v>
      </c>
      <c r="J527" s="235">
        <v>9383</v>
      </c>
      <c r="K527" s="235">
        <v>5</v>
      </c>
      <c r="L527" s="235">
        <f t="shared" si="262"/>
        <v>5</v>
      </c>
      <c r="M527" s="235">
        <v>12</v>
      </c>
      <c r="N527" s="235">
        <v>7</v>
      </c>
      <c r="O527" s="248">
        <v>42048</v>
      </c>
      <c r="P527">
        <v>3</v>
      </c>
      <c r="Q527" s="264">
        <v>42204</v>
      </c>
      <c r="R527"/>
      <c r="S527"/>
      <c r="T527"/>
      <c r="V527" s="219">
        <f>+BR527*AF527/100</f>
        <v>8.0738877876011887</v>
      </c>
      <c r="W527" s="219"/>
      <c r="X527">
        <v>15.55</v>
      </c>
      <c r="Y527"/>
      <c r="Z527"/>
      <c r="AA527"/>
      <c r="AB527" s="220">
        <f>+AF527*BT527/100</f>
        <v>3.6109574998689999</v>
      </c>
      <c r="AC527" s="219"/>
      <c r="AD527" s="221">
        <f>+(AF527/AJ527)*10000</f>
        <v>42004.438204791448</v>
      </c>
      <c r="AE527" s="219"/>
      <c r="AF527" s="220">
        <f>($P527/$X527)*(((100-$CD527)/100*(100-2)/100))*100</f>
        <v>17.893890675241156</v>
      </c>
      <c r="AG527" s="219"/>
      <c r="AH527" s="220">
        <f>($P527/$X527)*(((100-$CD527)/(100-9)*(100-2)/(100-2))*100)</f>
        <v>20.06491441493738</v>
      </c>
      <c r="AI527" s="219"/>
      <c r="AJ527">
        <v>4.26</v>
      </c>
      <c r="AK527" s="284" t="s">
        <v>8400</v>
      </c>
      <c r="AL527">
        <v>180</v>
      </c>
      <c r="AM527"/>
      <c r="AN527" s="241">
        <v>72</v>
      </c>
      <c r="AO527" s="242">
        <v>42076</v>
      </c>
      <c r="AP527" s="255">
        <v>110</v>
      </c>
      <c r="AQ527" s="242">
        <v>42114</v>
      </c>
      <c r="AR527" s="223">
        <v>137</v>
      </c>
      <c r="AS527" s="297">
        <f>IF(AR527=0,,AR527)</f>
        <v>137</v>
      </c>
      <c r="AT527" s="290">
        <v>42141</v>
      </c>
      <c r="AU527" s="298"/>
      <c r="AV527"/>
      <c r="AW527"/>
      <c r="AX527"/>
      <c r="AY527"/>
      <c r="AZ527"/>
      <c r="BA527"/>
      <c r="BB527"/>
      <c r="BC527"/>
      <c r="BD527"/>
      <c r="BE527"/>
      <c r="BF527" s="277">
        <v>2.5567700862884521</v>
      </c>
      <c r="BG527" s="283">
        <v>42230</v>
      </c>
      <c r="BH527"/>
      <c r="BI527"/>
      <c r="BJ527"/>
      <c r="BK527"/>
      <c r="BL527" s="277">
        <v>59.764293670654297</v>
      </c>
      <c r="BM527" s="283">
        <v>42230</v>
      </c>
      <c r="BN527"/>
      <c r="BO527"/>
      <c r="BP527" s="277">
        <v>2.4913330078125</v>
      </c>
      <c r="BQ527" s="283">
        <v>42230</v>
      </c>
      <c r="BR527" s="277">
        <v>45.120918273925781</v>
      </c>
      <c r="BS527" s="283">
        <v>42230</v>
      </c>
      <c r="BT527" s="277">
        <v>20.179834365844727</v>
      </c>
      <c r="BU527" s="283">
        <v>42230</v>
      </c>
      <c r="BV527" s="277">
        <v>64.582344055175781</v>
      </c>
      <c r="BW527" s="283">
        <v>42230</v>
      </c>
      <c r="BX527" s="277">
        <v>5.5543289184570313</v>
      </c>
      <c r="BY527" s="283">
        <v>42230</v>
      </c>
      <c r="BZ527"/>
      <c r="CB527" s="266">
        <v>3.37</v>
      </c>
      <c r="CC527"/>
      <c r="CD527" s="277">
        <v>5.3571428571428541</v>
      </c>
      <c r="CE527" s="291" t="s">
        <v>8400</v>
      </c>
      <c r="CF527"/>
      <c r="CG527"/>
      <c r="CH527">
        <v>3</v>
      </c>
      <c r="CI527">
        <v>6</v>
      </c>
      <c r="CK527"/>
      <c r="CL527">
        <v>6</v>
      </c>
      <c r="CM527" s="259">
        <v>42161</v>
      </c>
      <c r="CN527" s="345" t="s">
        <v>8634</v>
      </c>
    </row>
    <row r="528" spans="1:93">
      <c r="A528" s="258">
        <v>873</v>
      </c>
      <c r="B528" s="235">
        <v>873</v>
      </c>
      <c r="C528" s="236" t="s">
        <v>7633</v>
      </c>
      <c r="D528" s="236" t="s">
        <v>256</v>
      </c>
      <c r="E528" s="236" t="s">
        <v>7633</v>
      </c>
      <c r="F528" s="236" t="s">
        <v>8557</v>
      </c>
      <c r="G528" s="235" t="str">
        <f>IF(MID(C528,1,3)="BGA","Complement","Rapsodyn")</f>
        <v>Rapsodyn</v>
      </c>
      <c r="H528" s="235" t="s">
        <v>265</v>
      </c>
      <c r="I528" s="235">
        <v>2</v>
      </c>
      <c r="J528" s="236">
        <v>9367</v>
      </c>
      <c r="K528" s="236">
        <v>4</v>
      </c>
      <c r="L528" s="235">
        <f t="shared" si="262"/>
        <v>4</v>
      </c>
      <c r="M528" s="236">
        <v>12</v>
      </c>
      <c r="N528" s="235">
        <v>7</v>
      </c>
      <c r="O528" s="248">
        <v>42048</v>
      </c>
      <c r="P528">
        <v>0.95</v>
      </c>
      <c r="Q528" s="264">
        <v>42204</v>
      </c>
      <c r="R528"/>
      <c r="S528"/>
      <c r="T528"/>
      <c r="V528" s="219">
        <f>+BR528*AF528/100</f>
        <v>2.7242903608217888</v>
      </c>
      <c r="W528" s="219"/>
      <c r="X528">
        <v>15.55</v>
      </c>
      <c r="Y528"/>
      <c r="Z528"/>
      <c r="AA528"/>
      <c r="AB528" s="220">
        <f>+AF528*BT528/100</f>
        <v>1.1787701146165659</v>
      </c>
      <c r="AC528" s="219"/>
      <c r="AD528" s="221">
        <f>+(AF528/AJ528)*10000</f>
        <v>13778.787343928663</v>
      </c>
      <c r="AE528" s="219"/>
      <c r="AF528" s="220">
        <f>($P528/$X528)*(((100-$CD528)/100*(100-2)/100))*100</f>
        <v>5.7733118971061099</v>
      </c>
      <c r="AG528" s="219"/>
      <c r="AH528" s="220">
        <f>($P528/$X528)*(((100-$CD528)/(100-9)*(100-2)/(100-2))*100)</f>
        <v>6.4737742734986652</v>
      </c>
      <c r="AI528" s="219"/>
      <c r="AJ528">
        <v>4.1900000000000004</v>
      </c>
      <c r="AK528" s="284" t="s">
        <v>8398</v>
      </c>
      <c r="AL528">
        <v>145</v>
      </c>
      <c r="AM528"/>
      <c r="AN528" s="241">
        <v>63</v>
      </c>
      <c r="AO528" s="243">
        <v>42067</v>
      </c>
      <c r="AP528" s="255">
        <v>97</v>
      </c>
      <c r="AQ528" s="242">
        <v>42101</v>
      </c>
      <c r="AR528" s="223">
        <v>125</v>
      </c>
      <c r="AS528" s="297">
        <f>IF(AR528=0,,AR528)</f>
        <v>125</v>
      </c>
      <c r="AT528" s="290">
        <v>42129</v>
      </c>
      <c r="AU528" s="298"/>
      <c r="AV528"/>
      <c r="AW528"/>
      <c r="AX528"/>
      <c r="AY528"/>
      <c r="AZ528"/>
      <c r="BA528"/>
      <c r="BB528"/>
      <c r="BC528"/>
      <c r="BD528"/>
      <c r="BE528"/>
      <c r="BF528" s="277">
        <v>40.300552368164063</v>
      </c>
      <c r="BG528" s="283">
        <v>42230</v>
      </c>
      <c r="BH528"/>
      <c r="BI528"/>
      <c r="BJ528"/>
      <c r="BK528"/>
      <c r="BL528" s="277">
        <v>58.144088745117188</v>
      </c>
      <c r="BM528" s="283">
        <v>42230</v>
      </c>
      <c r="BN528"/>
      <c r="BO528"/>
      <c r="BP528" s="277">
        <v>2.6218841075897217</v>
      </c>
      <c r="BQ528" s="283">
        <v>42230</v>
      </c>
      <c r="BR528" s="277">
        <v>47.187652587890625</v>
      </c>
      <c r="BS528" s="283">
        <v>42230</v>
      </c>
      <c r="BT528" s="277">
        <v>20.417572021484375</v>
      </c>
      <c r="BU528" s="283">
        <v>42230</v>
      </c>
      <c r="BV528" s="277">
        <v>70.365402221679688</v>
      </c>
      <c r="BW528" s="283">
        <v>42230</v>
      </c>
      <c r="BX528" s="277">
        <v>5.2749176025390625</v>
      </c>
      <c r="BY528" s="283">
        <v>42230</v>
      </c>
      <c r="BZ528"/>
      <c r="CB528" s="266">
        <v>2.75</v>
      </c>
      <c r="CC528"/>
      <c r="CD528" s="277">
        <v>3.5714285714285587</v>
      </c>
      <c r="CE528" s="291" t="s">
        <v>8398</v>
      </c>
      <c r="CF528"/>
      <c r="CG528"/>
      <c r="CH528">
        <v>2</v>
      </c>
      <c r="CI528">
        <v>3</v>
      </c>
      <c r="CK528"/>
      <c r="CL528">
        <v>8</v>
      </c>
      <c r="CM528" s="259">
        <v>42161</v>
      </c>
      <c r="CN528" s="137" t="s">
        <v>8391</v>
      </c>
    </row>
    <row r="529" spans="1:93">
      <c r="A529" s="258">
        <v>874</v>
      </c>
      <c r="B529" s="235">
        <v>874</v>
      </c>
      <c r="C529" s="235" t="s">
        <v>7740</v>
      </c>
      <c r="D529" s="235" t="s">
        <v>8415</v>
      </c>
      <c r="E529" s="235" t="s">
        <v>7740</v>
      </c>
      <c r="F529" s="235" t="s">
        <v>8498</v>
      </c>
      <c r="G529" s="235" t="str">
        <f>IF(MID(C529,1,3)="BGA","Complement","Rapsodyn")</f>
        <v>Rapsodyn</v>
      </c>
      <c r="H529" s="235" t="s">
        <v>265</v>
      </c>
      <c r="I529" s="235">
        <v>2</v>
      </c>
      <c r="J529" s="235">
        <v>9375</v>
      </c>
      <c r="K529" s="235">
        <v>3</v>
      </c>
      <c r="L529" s="235">
        <f t="shared" si="262"/>
        <v>3</v>
      </c>
      <c r="M529" s="235">
        <v>12</v>
      </c>
      <c r="N529" s="235">
        <v>7</v>
      </c>
      <c r="O529" s="248">
        <v>42048</v>
      </c>
      <c r="P529">
        <v>2</v>
      </c>
      <c r="Q529" s="264">
        <v>42204</v>
      </c>
      <c r="R529"/>
      <c r="S529"/>
      <c r="T529"/>
      <c r="V529" s="219">
        <f>+BR529*AF529/100</f>
        <v>5.9926910591292755</v>
      </c>
      <c r="W529" s="219"/>
      <c r="X529">
        <v>15.55</v>
      </c>
      <c r="Y529"/>
      <c r="Z529"/>
      <c r="AA529"/>
      <c r="AB529" s="220">
        <f>+AF529*BT529/100</f>
        <v>2.6923501725184296</v>
      </c>
      <c r="AC529" s="219"/>
      <c r="AD529" s="221">
        <f>+(AF529/AJ529)*10000</f>
        <v>21373.624958917262</v>
      </c>
      <c r="AE529" s="219"/>
      <c r="AF529" s="220">
        <f>($P529/$X529)*(((100-$CD529)/100*(100-2)/100))*100</f>
        <v>12.375328851213096</v>
      </c>
      <c r="AG529" s="219"/>
      <c r="AH529" s="220">
        <f>($P529/$X529)*(((100-$CD529)/(100-9)*(100-2)/(100-2))*100)</f>
        <v>13.876798442714842</v>
      </c>
      <c r="AI529" s="219"/>
      <c r="AJ529">
        <v>5.79</v>
      </c>
      <c r="AK529" s="284" t="s">
        <v>8398</v>
      </c>
      <c r="AL529">
        <v>155</v>
      </c>
      <c r="AM529"/>
      <c r="AN529" s="241">
        <v>72</v>
      </c>
      <c r="AO529" s="242">
        <v>42076</v>
      </c>
      <c r="AP529" s="255">
        <v>106</v>
      </c>
      <c r="AQ529" s="242">
        <v>42110</v>
      </c>
      <c r="AR529" s="223">
        <v>128</v>
      </c>
      <c r="AS529" s="297">
        <f>IF(AR529=0,,AR529)</f>
        <v>128</v>
      </c>
      <c r="AT529" s="290">
        <v>42132</v>
      </c>
      <c r="AU529" s="298"/>
      <c r="AV529"/>
      <c r="AW529"/>
      <c r="AX529"/>
      <c r="AY529"/>
      <c r="AZ529"/>
      <c r="BA529"/>
      <c r="BB529"/>
      <c r="BC529"/>
      <c r="BD529"/>
      <c r="BE529"/>
      <c r="BF529" s="277">
        <v>37.595306396484375</v>
      </c>
      <c r="BG529" s="283">
        <v>42230</v>
      </c>
      <c r="BH529"/>
      <c r="BI529"/>
      <c r="BJ529"/>
      <c r="BK529"/>
      <c r="BL529" s="277">
        <v>59.341377258300781</v>
      </c>
      <c r="BM529" s="283">
        <v>42230</v>
      </c>
      <c r="BN529"/>
      <c r="BO529"/>
      <c r="BP529" s="277">
        <v>3.5426979064941406</v>
      </c>
      <c r="BQ529" s="283">
        <v>42230</v>
      </c>
      <c r="BR529" s="277">
        <v>48.42449951171875</v>
      </c>
      <c r="BS529" s="283">
        <v>42230</v>
      </c>
      <c r="BT529" s="277">
        <v>21.755786895751953</v>
      </c>
      <c r="BU529" s="283">
        <v>42230</v>
      </c>
      <c r="BV529" s="277">
        <v>90.262138366699219</v>
      </c>
      <c r="BW529" s="283">
        <v>42230</v>
      </c>
      <c r="BX529" s="277">
        <v>5.2908477783203125</v>
      </c>
      <c r="BY529" s="283">
        <v>42230</v>
      </c>
      <c r="BZ529"/>
      <c r="CB529" s="266">
        <v>2.31</v>
      </c>
      <c r="CC529"/>
      <c r="CD529" s="277">
        <v>1.8181818181818119</v>
      </c>
      <c r="CE529" s="291" t="s">
        <v>8398</v>
      </c>
      <c r="CF529"/>
      <c r="CG529"/>
      <c r="CH529">
        <v>3</v>
      </c>
      <c r="CI529">
        <v>4</v>
      </c>
      <c r="CK529"/>
      <c r="CL529">
        <v>8</v>
      </c>
      <c r="CM529" s="259">
        <v>42161</v>
      </c>
      <c r="CN529" s="137" t="s">
        <v>8391</v>
      </c>
    </row>
    <row r="530" spans="1:93">
      <c r="A530" s="258">
        <v>875</v>
      </c>
      <c r="B530" s="235">
        <v>875</v>
      </c>
      <c r="C530" s="346" t="s">
        <v>7611</v>
      </c>
      <c r="D530" s="235" t="s">
        <v>7449</v>
      </c>
      <c r="E530" s="235" t="s">
        <v>7611</v>
      </c>
      <c r="F530" s="235" t="s">
        <v>8425</v>
      </c>
      <c r="G530" s="235" t="str">
        <f>IF(MID(C530,1,3)="BGA","Complement","Rapsodyn")</f>
        <v>Rapsodyn</v>
      </c>
      <c r="H530" s="235" t="s">
        <v>265</v>
      </c>
      <c r="I530" s="235">
        <v>2</v>
      </c>
      <c r="J530" s="235">
        <v>9363</v>
      </c>
      <c r="K530" s="235">
        <v>2</v>
      </c>
      <c r="L530" s="235">
        <f t="shared" si="262"/>
        <v>2</v>
      </c>
      <c r="M530" s="235">
        <v>12</v>
      </c>
      <c r="N530" s="236">
        <v>5</v>
      </c>
      <c r="O530" s="248">
        <v>42048</v>
      </c>
      <c r="P530">
        <v>3.05</v>
      </c>
      <c r="Q530" s="264">
        <v>42204</v>
      </c>
      <c r="R530"/>
      <c r="S530"/>
      <c r="T530"/>
      <c r="V530" s="219">
        <f>+BR530*AF530/100</f>
        <v>9.1117176056768976</v>
      </c>
      <c r="W530" s="219"/>
      <c r="X530">
        <v>15.55</v>
      </c>
      <c r="Y530"/>
      <c r="Z530"/>
      <c r="AA530"/>
      <c r="AB530" s="220">
        <f>+AF530*BT530/100</f>
        <v>3.5259528605487538</v>
      </c>
      <c r="AC530" s="219"/>
      <c r="AD530" s="221">
        <f>+(AF530/AJ530)*10000</f>
        <v>35668.102980677017</v>
      </c>
      <c r="AE530" s="219"/>
      <c r="AF530" s="220">
        <f>($P530/$X530)*(((100-$CD530)/100*(100-2)/100))*100</f>
        <v>18.547413549952051</v>
      </c>
      <c r="AG530" s="219"/>
      <c r="AH530" s="220">
        <f>($P530/$X530)*(((100-$CD530)/(100-9)*(100-2)/(100-2))*100)</f>
        <v>20.79772768552596</v>
      </c>
      <c r="AI530" s="219"/>
      <c r="AJ530">
        <v>5.2</v>
      </c>
      <c r="AK530" s="284" t="s">
        <v>8398</v>
      </c>
      <c r="AL530">
        <v>175</v>
      </c>
      <c r="AM530"/>
      <c r="AN530" s="241">
        <v>65</v>
      </c>
      <c r="AO530" s="242">
        <v>42069</v>
      </c>
      <c r="AP530" s="255">
        <v>104</v>
      </c>
      <c r="AQ530" s="242">
        <v>42108</v>
      </c>
      <c r="AR530" s="223">
        <v>127</v>
      </c>
      <c r="AS530" s="297">
        <f>IF(AR530=0,,AR530)</f>
        <v>127</v>
      </c>
      <c r="AT530" s="290">
        <v>42131</v>
      </c>
      <c r="AU530" s="298"/>
      <c r="AV530"/>
      <c r="AW530"/>
      <c r="AX530"/>
      <c r="AY530"/>
      <c r="AZ530"/>
      <c r="BA530"/>
      <c r="BB530"/>
      <c r="BC530"/>
      <c r="BD530"/>
      <c r="BE530"/>
      <c r="BF530" s="277">
        <v>34.982254028320312</v>
      </c>
      <c r="BG530" s="283">
        <v>42230</v>
      </c>
      <c r="BH530"/>
      <c r="BI530"/>
      <c r="BJ530"/>
      <c r="BK530"/>
      <c r="BL530" s="277">
        <v>60.989635467529297</v>
      </c>
      <c r="BM530" s="283">
        <v>42230</v>
      </c>
      <c r="BN530"/>
      <c r="BO530"/>
      <c r="BP530" s="277">
        <v>3.9813010692596436</v>
      </c>
      <c r="BQ530" s="283">
        <v>42230</v>
      </c>
      <c r="BR530" s="277">
        <v>49.126621246337891</v>
      </c>
      <c r="BS530" s="283">
        <v>42230</v>
      </c>
      <c r="BT530" s="277">
        <v>19.010482788085938</v>
      </c>
      <c r="BU530" s="283">
        <v>42230</v>
      </c>
      <c r="BV530" s="277">
        <v>62.353271484375</v>
      </c>
      <c r="BW530" s="283">
        <v>42230</v>
      </c>
      <c r="BX530" s="277">
        <v>5.5801162719726562</v>
      </c>
      <c r="BY530" s="283">
        <v>42230</v>
      </c>
      <c r="BZ530"/>
      <c r="CB530" s="266">
        <v>1.42</v>
      </c>
      <c r="CC530"/>
      <c r="CD530" s="277">
        <v>3.5087719298245648</v>
      </c>
      <c r="CE530" s="291" t="s">
        <v>8398</v>
      </c>
      <c r="CF530"/>
      <c r="CG530"/>
      <c r="CH530">
        <v>3</v>
      </c>
      <c r="CI530">
        <v>2</v>
      </c>
      <c r="CK530"/>
      <c r="CL530">
        <v>5</v>
      </c>
      <c r="CM530" s="259">
        <v>42161</v>
      </c>
      <c r="CN530" s="345" t="s">
        <v>8634</v>
      </c>
    </row>
    <row r="531" spans="1:93">
      <c r="A531" s="258">
        <v>876</v>
      </c>
      <c r="B531" s="235">
        <v>876</v>
      </c>
      <c r="C531" s="346" t="s">
        <v>7576</v>
      </c>
      <c r="D531" s="235"/>
      <c r="E531" s="235"/>
      <c r="F531" s="235"/>
      <c r="G531" s="235"/>
      <c r="H531" s="235" t="s">
        <v>265</v>
      </c>
      <c r="I531" s="235">
        <v>2</v>
      </c>
      <c r="K531" s="235">
        <v>1</v>
      </c>
      <c r="L531" s="235">
        <f t="shared" si="262"/>
        <v>1</v>
      </c>
      <c r="M531" s="235">
        <v>12</v>
      </c>
      <c r="O531" s="248">
        <v>42048</v>
      </c>
      <c r="P531"/>
      <c r="Q531" s="219"/>
      <c r="R531"/>
      <c r="S531"/>
      <c r="T531"/>
      <c r="V531" s="219"/>
      <c r="W531" s="219"/>
      <c r="X531">
        <v>15.55</v>
      </c>
      <c r="Y531"/>
      <c r="Z531"/>
      <c r="AA531"/>
      <c r="AB531" s="220"/>
      <c r="AC531" s="219"/>
      <c r="AD531" s="221"/>
      <c r="AE531" s="219"/>
      <c r="AF531" s="220"/>
      <c r="AG531" s="219"/>
      <c r="AH531" s="220"/>
      <c r="AI531" s="219"/>
      <c r="AJ531" s="286"/>
      <c r="AK531" s="284"/>
      <c r="AL531"/>
      <c r="AM531"/>
      <c r="AN531" s="241">
        <v>70</v>
      </c>
      <c r="AO531" s="242">
        <v>42074</v>
      </c>
      <c r="AP531" s="255">
        <v>104</v>
      </c>
      <c r="AQ531" s="242">
        <v>42108</v>
      </c>
      <c r="AR531"/>
      <c r="AS531" s="297"/>
      <c r="AT531" s="290"/>
      <c r="AU531" s="298"/>
      <c r="AV531"/>
      <c r="AW531"/>
      <c r="AX531"/>
      <c r="AY531"/>
      <c r="AZ531"/>
      <c r="BA531"/>
      <c r="BB531"/>
      <c r="BC531"/>
      <c r="BD531"/>
      <c r="BE531"/>
      <c r="BF531" s="277"/>
      <c r="BG531" s="235"/>
      <c r="BH531"/>
      <c r="BI531"/>
      <c r="BJ531"/>
      <c r="BK531"/>
      <c r="BL531" s="277"/>
      <c r="BM531" s="235"/>
      <c r="BN531"/>
      <c r="BO531"/>
      <c r="BP531" s="277"/>
      <c r="BQ531" s="235"/>
      <c r="BR531" s="277"/>
      <c r="BS531" s="235"/>
      <c r="BT531" s="277"/>
      <c r="BU531" s="235"/>
      <c r="BV531" s="277"/>
      <c r="BW531" s="235"/>
      <c r="BX531" s="277"/>
      <c r="BY531" s="235"/>
      <c r="BZ531"/>
      <c r="CB531" s="266"/>
      <c r="CC531"/>
      <c r="CD531" s="277"/>
      <c r="CE531" s="291"/>
      <c r="CF531"/>
      <c r="CG531"/>
      <c r="CH531"/>
      <c r="CI531"/>
      <c r="CK531"/>
      <c r="CL531">
        <v>3</v>
      </c>
      <c r="CM531" s="259">
        <v>42161</v>
      </c>
      <c r="CN531" s="345" t="s">
        <v>8634</v>
      </c>
    </row>
    <row r="532" spans="1:93">
      <c r="A532" s="258">
        <v>877</v>
      </c>
      <c r="B532" s="235">
        <v>1</v>
      </c>
      <c r="C532" s="235" t="s">
        <v>7576</v>
      </c>
      <c r="D532" s="235"/>
      <c r="E532" s="235"/>
      <c r="F532" s="235"/>
      <c r="G532" s="235"/>
      <c r="H532" s="235" t="s">
        <v>267</v>
      </c>
      <c r="I532" s="235">
        <v>1</v>
      </c>
      <c r="K532" s="235">
        <v>1</v>
      </c>
      <c r="L532" s="235">
        <f>72+K532</f>
        <v>73</v>
      </c>
      <c r="M532" s="235">
        <v>1</v>
      </c>
      <c r="O532" s="248">
        <v>42048</v>
      </c>
      <c r="P532"/>
      <c r="Q532" s="219"/>
      <c r="R532"/>
      <c r="S532"/>
      <c r="T532"/>
      <c r="V532" s="219"/>
      <c r="W532" s="219"/>
      <c r="X532">
        <v>15.55</v>
      </c>
      <c r="Y532"/>
      <c r="Z532"/>
      <c r="AA532"/>
      <c r="AB532" s="220"/>
      <c r="AC532" s="219"/>
      <c r="AD532" s="221"/>
      <c r="AE532" s="219"/>
      <c r="AF532" s="220"/>
      <c r="AG532" s="219"/>
      <c r="AH532" s="220"/>
      <c r="AI532" s="219"/>
      <c r="AJ532" s="286"/>
      <c r="AK532" s="284"/>
      <c r="AL532" s="222"/>
      <c r="AM532"/>
      <c r="AN532" s="235">
        <v>70</v>
      </c>
      <c r="AO532" s="242">
        <v>42074</v>
      </c>
      <c r="AP532" s="235">
        <v>106</v>
      </c>
      <c r="AQ532" s="242">
        <v>42110</v>
      </c>
      <c r="AR532"/>
      <c r="AS532" s="297"/>
      <c r="AT532" s="290"/>
      <c r="AU532" s="298"/>
      <c r="AV532"/>
      <c r="AW532"/>
      <c r="AX532"/>
      <c r="AY532"/>
      <c r="AZ532"/>
      <c r="BA532"/>
      <c r="BB532"/>
      <c r="BC532"/>
      <c r="BD532"/>
      <c r="BE532"/>
      <c r="BF532" s="277"/>
      <c r="BG532" s="235"/>
      <c r="BH532"/>
      <c r="BI532"/>
      <c r="BJ532"/>
      <c r="BK532"/>
      <c r="BL532" s="296"/>
      <c r="BM532" s="235"/>
      <c r="BN532"/>
      <c r="BO532"/>
      <c r="BP532" s="277"/>
      <c r="BQ532" s="235"/>
      <c r="BR532" s="277"/>
      <c r="BS532" s="235"/>
      <c r="BT532" s="277"/>
      <c r="BU532" s="235"/>
      <c r="BV532" s="277"/>
      <c r="BW532" s="235"/>
      <c r="BX532"/>
      <c r="BY532" s="235"/>
      <c r="BZ532"/>
      <c r="CB532" s="266"/>
      <c r="CC532"/>
      <c r="CD532" s="277"/>
      <c r="CE532" s="291"/>
      <c r="CF532"/>
      <c r="CG532"/>
      <c r="CH532"/>
      <c r="CI532"/>
      <c r="CK532"/>
      <c r="CL532">
        <v>1</v>
      </c>
      <c r="CM532" s="259">
        <v>42161</v>
      </c>
    </row>
    <row r="533" spans="1:93">
      <c r="A533" s="258">
        <v>878</v>
      </c>
      <c r="B533" s="235">
        <v>2</v>
      </c>
      <c r="C533" s="235" t="s">
        <v>7576</v>
      </c>
      <c r="D533" s="235"/>
      <c r="E533" s="235"/>
      <c r="F533" s="235"/>
      <c r="G533" s="235"/>
      <c r="H533" s="235" t="s">
        <v>267</v>
      </c>
      <c r="I533" s="235">
        <v>1</v>
      </c>
      <c r="K533" s="235">
        <v>2</v>
      </c>
      <c r="L533" s="235">
        <f t="shared" ref="L533:L564" si="275">72+K533</f>
        <v>74</v>
      </c>
      <c r="M533" s="235">
        <v>1</v>
      </c>
      <c r="O533" s="248">
        <v>42048</v>
      </c>
      <c r="P533"/>
      <c r="Q533" s="219"/>
      <c r="R533"/>
      <c r="S533"/>
      <c r="T533"/>
      <c r="V533" s="219"/>
      <c r="W533" s="219"/>
      <c r="X533">
        <v>15.55</v>
      </c>
      <c r="Y533"/>
      <c r="Z533"/>
      <c r="AA533"/>
      <c r="AB533" s="220"/>
      <c r="AC533" s="219"/>
      <c r="AD533" s="221"/>
      <c r="AE533" s="219"/>
      <c r="AF533" s="220"/>
      <c r="AG533" s="219"/>
      <c r="AH533" s="220"/>
      <c r="AI533" s="219"/>
      <c r="AJ533" s="286"/>
      <c r="AK533" s="284"/>
      <c r="AL533" s="222"/>
      <c r="AM533"/>
      <c r="AN533" s="235">
        <v>70</v>
      </c>
      <c r="AO533" s="242">
        <v>42074</v>
      </c>
      <c r="AP533" s="235">
        <v>106</v>
      </c>
      <c r="AQ533" s="242">
        <v>42110</v>
      </c>
      <c r="AR533"/>
      <c r="AS533" s="297"/>
      <c r="AT533" s="290"/>
      <c r="AU533" s="298"/>
      <c r="AV533"/>
      <c r="AW533"/>
      <c r="AX533"/>
      <c r="AY533"/>
      <c r="AZ533"/>
      <c r="BA533"/>
      <c r="BB533"/>
      <c r="BC533"/>
      <c r="BD533"/>
      <c r="BE533"/>
      <c r="BF533" s="277"/>
      <c r="BG533" s="235"/>
      <c r="BH533"/>
      <c r="BI533"/>
      <c r="BJ533"/>
      <c r="BK533"/>
      <c r="BL533" s="296"/>
      <c r="BM533" s="235"/>
      <c r="BN533"/>
      <c r="BO533"/>
      <c r="BP533" s="277"/>
      <c r="BQ533" s="235"/>
      <c r="BR533" s="277"/>
      <c r="BS533" s="235"/>
      <c r="BT533" s="277"/>
      <c r="BU533" s="235"/>
      <c r="BV533" s="277"/>
      <c r="BW533" s="235"/>
      <c r="BX533"/>
      <c r="BY533" s="235"/>
      <c r="BZ533"/>
      <c r="CB533" s="266"/>
      <c r="CC533"/>
      <c r="CD533" s="277"/>
      <c r="CE533" s="291"/>
      <c r="CF533"/>
      <c r="CG533"/>
      <c r="CH533"/>
      <c r="CI533"/>
      <c r="CK533"/>
      <c r="CL533">
        <v>1</v>
      </c>
      <c r="CM533" s="259">
        <v>42161</v>
      </c>
    </row>
    <row r="534" spans="1:93">
      <c r="A534" s="258">
        <v>879</v>
      </c>
      <c r="B534" s="235">
        <v>3</v>
      </c>
      <c r="C534" s="235" t="s">
        <v>7576</v>
      </c>
      <c r="D534" s="235"/>
      <c r="E534" s="235"/>
      <c r="F534" s="235"/>
      <c r="G534" s="235"/>
      <c r="H534" s="235" t="s">
        <v>267</v>
      </c>
      <c r="I534" s="235">
        <v>1</v>
      </c>
      <c r="K534" s="235">
        <v>3</v>
      </c>
      <c r="L534" s="235">
        <f t="shared" si="275"/>
        <v>75</v>
      </c>
      <c r="M534" s="235">
        <v>1</v>
      </c>
      <c r="O534" s="248">
        <v>42048</v>
      </c>
      <c r="P534"/>
      <c r="Q534" s="219"/>
      <c r="R534"/>
      <c r="S534"/>
      <c r="T534"/>
      <c r="V534" s="219"/>
      <c r="W534" s="219"/>
      <c r="X534">
        <v>15.55</v>
      </c>
      <c r="Y534"/>
      <c r="Z534"/>
      <c r="AA534"/>
      <c r="AB534" s="220"/>
      <c r="AC534" s="219"/>
      <c r="AD534" s="221"/>
      <c r="AE534" s="219"/>
      <c r="AF534" s="220"/>
      <c r="AG534" s="219"/>
      <c r="AH534" s="220"/>
      <c r="AI534" s="219"/>
      <c r="AJ534" s="286"/>
      <c r="AK534" s="284"/>
      <c r="AL534" s="222"/>
      <c r="AM534"/>
      <c r="AN534" s="235">
        <v>70</v>
      </c>
      <c r="AO534" s="242">
        <v>42074</v>
      </c>
      <c r="AP534" s="235">
        <v>106</v>
      </c>
      <c r="AQ534" s="242">
        <v>42110</v>
      </c>
      <c r="AR534"/>
      <c r="AS534" s="297"/>
      <c r="AT534" s="290"/>
      <c r="AU534" s="298"/>
      <c r="AV534"/>
      <c r="AW534"/>
      <c r="AX534"/>
      <c r="AY534"/>
      <c r="AZ534"/>
      <c r="BA534"/>
      <c r="BB534"/>
      <c r="BC534"/>
      <c r="BD534"/>
      <c r="BE534"/>
      <c r="BF534" s="277"/>
      <c r="BG534" s="235"/>
      <c r="BH534"/>
      <c r="BI534"/>
      <c r="BJ534"/>
      <c r="BK534"/>
      <c r="BL534" s="296"/>
      <c r="BM534" s="235"/>
      <c r="BN534"/>
      <c r="BO534"/>
      <c r="BP534" s="277"/>
      <c r="BQ534" s="235"/>
      <c r="BR534" s="277"/>
      <c r="BS534" s="235"/>
      <c r="BT534" s="277"/>
      <c r="BU534" s="235"/>
      <c r="BV534" s="277"/>
      <c r="BW534" s="235"/>
      <c r="BX534"/>
      <c r="BY534" s="235"/>
      <c r="BZ534"/>
      <c r="CB534" s="266"/>
      <c r="CC534"/>
      <c r="CD534" s="277"/>
      <c r="CE534" s="291"/>
      <c r="CF534"/>
      <c r="CG534"/>
      <c r="CH534"/>
      <c r="CI534"/>
      <c r="CK534"/>
      <c r="CL534">
        <v>2</v>
      </c>
      <c r="CM534" s="259">
        <v>42161</v>
      </c>
    </row>
    <row r="535" spans="1:93">
      <c r="A535" s="258">
        <v>880</v>
      </c>
      <c r="B535" s="235">
        <v>4</v>
      </c>
      <c r="C535" s="235" t="s">
        <v>7756</v>
      </c>
      <c r="D535" s="235" t="s">
        <v>7564</v>
      </c>
      <c r="E535" s="235" t="s">
        <v>7756</v>
      </c>
      <c r="F535" s="235" t="s">
        <v>8495</v>
      </c>
      <c r="G535" s="235" t="str">
        <f>IF(MID(C535,1,3)="BGA","Complement","Rapsodyn")</f>
        <v>Rapsodyn</v>
      </c>
      <c r="H535" s="235" t="s">
        <v>267</v>
      </c>
      <c r="I535" s="235">
        <v>1</v>
      </c>
      <c r="J535" s="235">
        <v>9383</v>
      </c>
      <c r="K535" s="235">
        <v>4</v>
      </c>
      <c r="L535" s="235">
        <f t="shared" si="275"/>
        <v>76</v>
      </c>
      <c r="M535" s="235">
        <v>1</v>
      </c>
      <c r="N535" s="235">
        <v>7</v>
      </c>
      <c r="O535" s="248">
        <v>42048</v>
      </c>
      <c r="P535">
        <v>3.55</v>
      </c>
      <c r="Q535" s="264">
        <v>42204</v>
      </c>
      <c r="R535"/>
      <c r="S535"/>
      <c r="T535"/>
      <c r="V535" s="219">
        <f>+BR535*AF535/100</f>
        <v>9.3627474215099653</v>
      </c>
      <c r="W535" s="219"/>
      <c r="X535">
        <v>15.55</v>
      </c>
      <c r="Y535"/>
      <c r="Z535"/>
      <c r="AA535"/>
      <c r="AB535" s="220">
        <f>+AF535*BT535/100</f>
        <v>4.1499650184901196</v>
      </c>
      <c r="AC535" s="219"/>
      <c r="AD535" s="221">
        <f>+(AF535/AJ535)*10000</f>
        <v>51937.299035369768</v>
      </c>
      <c r="AE535" s="219"/>
      <c r="AF535" s="220">
        <f>($P535/$X535)*(((100-$CD535)/100*(100-2)/100))*100</f>
        <v>20.774919614147908</v>
      </c>
      <c r="AG535" s="219"/>
      <c r="AH535" s="220">
        <f>($P535/$X535)*(((100-$CD535)/(100-9)*(100-2)/(100-2))*100)</f>
        <v>23.29549183017258</v>
      </c>
      <c r="AI535" s="219"/>
      <c r="AJ535">
        <v>4</v>
      </c>
      <c r="AK535" s="284" t="s">
        <v>8398</v>
      </c>
      <c r="AL535" s="222">
        <v>180</v>
      </c>
      <c r="AM535"/>
      <c r="AN535" s="235">
        <v>70</v>
      </c>
      <c r="AO535" s="242">
        <v>42074</v>
      </c>
      <c r="AP535" s="235">
        <v>110</v>
      </c>
      <c r="AQ535" s="242">
        <v>42114</v>
      </c>
      <c r="AR535">
        <v>136</v>
      </c>
      <c r="AS535" s="297">
        <f>IF(AR535=0,,AR535)</f>
        <v>136</v>
      </c>
      <c r="AT535" s="290">
        <v>42140</v>
      </c>
      <c r="AU535" s="298"/>
      <c r="AV535"/>
      <c r="AW535"/>
      <c r="AX535"/>
      <c r="AY535"/>
      <c r="AZ535"/>
      <c r="BA535"/>
      <c r="BB535"/>
      <c r="BC535"/>
      <c r="BD535"/>
      <c r="BE535"/>
      <c r="BF535" s="277">
        <v>1.754613995552063</v>
      </c>
      <c r="BG535" s="283">
        <v>42236</v>
      </c>
      <c r="BH535"/>
      <c r="BI535"/>
      <c r="BJ535"/>
      <c r="BK535"/>
      <c r="BL535" s="296">
        <v>59.995868682861328</v>
      </c>
      <c r="BM535" s="283">
        <v>42236</v>
      </c>
      <c r="BN535"/>
      <c r="BO535"/>
      <c r="BP535" s="277">
        <v>2.4355249404907227</v>
      </c>
      <c r="BQ535" s="283">
        <v>42236</v>
      </c>
      <c r="BR535" s="277">
        <v>45.067550659179687</v>
      </c>
      <c r="BS535" s="283">
        <v>42236</v>
      </c>
      <c r="BT535" s="277">
        <v>19.975841522216797</v>
      </c>
      <c r="BU535" s="283">
        <v>42236</v>
      </c>
      <c r="BV535" s="277">
        <v>60.201126098632813</v>
      </c>
      <c r="BW535" s="283">
        <v>42236</v>
      </c>
      <c r="BX535" s="277">
        <v>5.8221435546875</v>
      </c>
      <c r="BY535" s="283">
        <v>42236</v>
      </c>
      <c r="BZ535"/>
      <c r="CB535" s="266">
        <v>6.04</v>
      </c>
      <c r="CC535"/>
      <c r="CD535" s="277">
        <v>7.1428571428571344</v>
      </c>
      <c r="CE535" s="291" t="s">
        <v>8398</v>
      </c>
      <c r="CF535"/>
      <c r="CG535"/>
      <c r="CH535">
        <v>3</v>
      </c>
      <c r="CI535">
        <v>8</v>
      </c>
      <c r="CK535"/>
      <c r="CL535">
        <v>4</v>
      </c>
      <c r="CM535" s="259">
        <v>42161</v>
      </c>
      <c r="CO535" s="137" t="s">
        <v>8405</v>
      </c>
    </row>
    <row r="536" spans="1:93">
      <c r="A536" s="258">
        <v>881</v>
      </c>
      <c r="B536" s="235">
        <v>5</v>
      </c>
      <c r="C536" s="235" t="s">
        <v>7611</v>
      </c>
      <c r="D536" s="235" t="s">
        <v>7449</v>
      </c>
      <c r="E536" s="235" t="s">
        <v>7611</v>
      </c>
      <c r="F536" s="235" t="s">
        <v>8425</v>
      </c>
      <c r="G536" s="235" t="str">
        <f>IF(MID(C536,1,3)="BGA","Complement","Rapsodyn")</f>
        <v>Rapsodyn</v>
      </c>
      <c r="H536" s="235" t="s">
        <v>267</v>
      </c>
      <c r="I536" s="235">
        <v>1</v>
      </c>
      <c r="J536" s="235">
        <v>9363</v>
      </c>
      <c r="K536" s="235">
        <v>5</v>
      </c>
      <c r="L536" s="235">
        <f t="shared" si="275"/>
        <v>77</v>
      </c>
      <c r="M536" s="235">
        <v>1</v>
      </c>
      <c r="N536" s="235">
        <v>7</v>
      </c>
      <c r="O536" s="248">
        <v>42048</v>
      </c>
      <c r="P536" s="136">
        <v>2.7</v>
      </c>
      <c r="Q536" s="264">
        <v>42204</v>
      </c>
      <c r="V536" s="219">
        <f>+BR536*AF536/100</f>
        <v>7.6823785809313678</v>
      </c>
      <c r="X536">
        <v>15.55</v>
      </c>
      <c r="AB536" s="220">
        <f>+AF536*BT536/100</f>
        <v>3.0767089967747179</v>
      </c>
      <c r="AD536" s="221">
        <f>+(AF536/AJ536)*10000</f>
        <v>30054.370067231805</v>
      </c>
      <c r="AF536" s="220">
        <f>($P536/$X536)*(((100-$CD536)/100*(100-2)/100))*100</f>
        <v>15.778544285296697</v>
      </c>
      <c r="AH536" s="220">
        <f>($P536/$X536)*(((100-$CD536)/(100-9)*(100-2)/(100-2))*100)</f>
        <v>17.692918014461423</v>
      </c>
      <c r="AJ536">
        <v>5.25</v>
      </c>
      <c r="AK536" s="285" t="s">
        <v>8398</v>
      </c>
      <c r="AL536" s="260">
        <v>185</v>
      </c>
      <c r="AN536" s="235">
        <v>70</v>
      </c>
      <c r="AO536" s="242">
        <v>42074</v>
      </c>
      <c r="AP536" s="235">
        <v>104</v>
      </c>
      <c r="AQ536" s="242">
        <v>42108</v>
      </c>
      <c r="AR536" s="136">
        <v>127</v>
      </c>
      <c r="AS536" s="297">
        <f>IF(AR536=0,,AR536)</f>
        <v>127</v>
      </c>
      <c r="AT536" s="290">
        <v>42131</v>
      </c>
      <c r="AU536" s="298"/>
      <c r="BF536" s="282">
        <v>35.847770690917969</v>
      </c>
      <c r="BG536" s="283">
        <v>42236</v>
      </c>
      <c r="BL536" s="296">
        <v>60.880275726318359</v>
      </c>
      <c r="BM536" s="283">
        <v>42236</v>
      </c>
      <c r="BP536" s="282">
        <v>4.1075601577758789</v>
      </c>
      <c r="BQ536" s="283">
        <v>42236</v>
      </c>
      <c r="BR536" s="282">
        <v>48.688766479492188</v>
      </c>
      <c r="BS536" s="283">
        <v>42236</v>
      </c>
      <c r="BT536" s="282">
        <v>19.499320983886719</v>
      </c>
      <c r="BU536" s="283">
        <v>42236</v>
      </c>
      <c r="BV536" s="282">
        <v>66.039253234863281</v>
      </c>
      <c r="BW536" s="283">
        <v>42236</v>
      </c>
      <c r="BX536" s="282">
        <v>5.7804489135742188</v>
      </c>
      <c r="BY536" s="283">
        <v>42236</v>
      </c>
      <c r="CB536" s="267">
        <v>5.92</v>
      </c>
      <c r="CD536" s="282">
        <v>7.2727272727272796</v>
      </c>
      <c r="CE536" s="291" t="s">
        <v>8398</v>
      </c>
      <c r="CH536" s="136">
        <v>6</v>
      </c>
      <c r="CI536" s="136">
        <v>7</v>
      </c>
      <c r="CL536" s="136">
        <v>7</v>
      </c>
      <c r="CM536" s="259">
        <v>42161</v>
      </c>
      <c r="CO536" s="137" t="s">
        <v>8405</v>
      </c>
    </row>
    <row r="537" spans="1:93">
      <c r="A537" s="258">
        <v>882</v>
      </c>
      <c r="B537" s="235">
        <v>6</v>
      </c>
      <c r="C537" s="235" t="s">
        <v>7742</v>
      </c>
      <c r="D537" s="235" t="s">
        <v>7878</v>
      </c>
      <c r="E537" s="235" t="s">
        <v>7742</v>
      </c>
      <c r="F537" s="235" t="s">
        <v>8426</v>
      </c>
      <c r="G537" s="235" t="str">
        <f>IF(MID(C537,1,3)="BGA","Complement","Rapsodyn")</f>
        <v>Rapsodyn</v>
      </c>
      <c r="H537" s="235" t="s">
        <v>267</v>
      </c>
      <c r="I537" s="235">
        <v>1</v>
      </c>
      <c r="J537" s="235">
        <v>9376</v>
      </c>
      <c r="K537" s="235">
        <v>6</v>
      </c>
      <c r="L537" s="235">
        <f t="shared" si="275"/>
        <v>78</v>
      </c>
      <c r="M537" s="235">
        <v>1</v>
      </c>
      <c r="N537" s="235">
        <v>7</v>
      </c>
      <c r="O537" s="248">
        <v>42048</v>
      </c>
      <c r="P537" s="136">
        <v>4.2</v>
      </c>
      <c r="Q537" s="264">
        <v>42204</v>
      </c>
      <c r="V537" s="219">
        <f>+BR537*AF537/100</f>
        <v>11.680794112276038</v>
      </c>
      <c r="X537">
        <v>15.55</v>
      </c>
      <c r="AB537" s="220">
        <f>+AF537*BT537/100</f>
        <v>4.9510145522237217</v>
      </c>
      <c r="AD537" s="221">
        <f>+(AF537/AJ537)*10000</f>
        <v>61739.607111591118</v>
      </c>
      <c r="AF537" s="220">
        <f>($P537/$X537)*(((100-$CD537)/100*(100-2)/100))*100</f>
        <v>24.263665594855311</v>
      </c>
      <c r="AH537" s="220">
        <f>($P537/$X537)*(((100-$CD537)/(100-9)*(100-2)/(100-2))*100)</f>
        <v>27.20751916893396</v>
      </c>
      <c r="AJ537">
        <v>3.93</v>
      </c>
      <c r="AK537" s="285" t="s">
        <v>8400</v>
      </c>
      <c r="AL537" s="260">
        <v>185</v>
      </c>
      <c r="AN537" s="235">
        <v>79</v>
      </c>
      <c r="AO537" s="242">
        <v>42083</v>
      </c>
      <c r="AP537" s="235">
        <v>110</v>
      </c>
      <c r="AQ537" s="242">
        <v>42114</v>
      </c>
      <c r="AR537" s="136">
        <v>136</v>
      </c>
      <c r="AS537" s="297">
        <f>IF(AR537=0,,AR537)</f>
        <v>136</v>
      </c>
      <c r="AT537" s="290">
        <v>42140</v>
      </c>
      <c r="AU537" s="298"/>
      <c r="BF537" s="282">
        <v>33.943412780761719</v>
      </c>
      <c r="BG537" s="283">
        <v>42236</v>
      </c>
      <c r="BL537" s="296">
        <v>61.303142547607422</v>
      </c>
      <c r="BM537" s="283">
        <v>42236</v>
      </c>
      <c r="BP537" s="282">
        <v>3.654979944229126</v>
      </c>
      <c r="BQ537" s="283">
        <v>42236</v>
      </c>
      <c r="BR537" s="282">
        <v>48.141094207763672</v>
      </c>
      <c r="BS537" s="283">
        <v>42236</v>
      </c>
      <c r="BT537" s="282">
        <v>20.405055999755859</v>
      </c>
      <c r="BU537" s="283">
        <v>42236</v>
      </c>
      <c r="BV537" s="282">
        <v>75.877067565917969</v>
      </c>
      <c r="BW537" s="283">
        <v>42236</v>
      </c>
      <c r="BX537" s="282">
        <v>6.0287933349609375</v>
      </c>
      <c r="BY537" s="283">
        <v>42236</v>
      </c>
      <c r="CB537" s="267">
        <v>5.9</v>
      </c>
      <c r="CD537" s="282">
        <v>8.3333333333333321</v>
      </c>
      <c r="CE537" s="291" t="s">
        <v>8400</v>
      </c>
      <c r="CH537" s="136">
        <v>2</v>
      </c>
      <c r="CI537" s="136">
        <v>8</v>
      </c>
      <c r="CL537" s="136">
        <v>6</v>
      </c>
      <c r="CM537" s="259">
        <v>42161</v>
      </c>
      <c r="CO537" s="137" t="s">
        <v>8405</v>
      </c>
    </row>
    <row r="538" spans="1:93">
      <c r="A538" s="258">
        <v>883</v>
      </c>
      <c r="B538" s="235">
        <v>7</v>
      </c>
      <c r="C538" s="235" t="s">
        <v>7745</v>
      </c>
      <c r="D538" s="235" t="s">
        <v>7875</v>
      </c>
      <c r="E538" s="235" t="s">
        <v>7745</v>
      </c>
      <c r="F538" s="235" t="s">
        <v>8499</v>
      </c>
      <c r="G538" s="235" t="str">
        <f>IF(MID(C538,1,3)="BGA","Complement","Rapsodyn")</f>
        <v>Rapsodyn</v>
      </c>
      <c r="H538" s="235" t="s">
        <v>267</v>
      </c>
      <c r="I538" s="235">
        <v>1</v>
      </c>
      <c r="J538" s="235">
        <v>9378</v>
      </c>
      <c r="K538" s="235">
        <v>7</v>
      </c>
      <c r="L538" s="235">
        <f t="shared" si="275"/>
        <v>79</v>
      </c>
      <c r="M538" s="235">
        <v>1</v>
      </c>
      <c r="N538" s="235">
        <v>7</v>
      </c>
      <c r="O538" s="248">
        <v>42048</v>
      </c>
      <c r="P538" s="136">
        <v>2.95</v>
      </c>
      <c r="Q538" s="264">
        <v>42204</v>
      </c>
      <c r="V538" s="219">
        <f>+BR538*AF538/100</f>
        <v>7.7594016022745942</v>
      </c>
      <c r="X538">
        <v>15.55</v>
      </c>
      <c r="AB538" s="220">
        <f>+AF538*BT538/100</f>
        <v>3.7308336579925405</v>
      </c>
      <c r="AD538" s="221">
        <f>+(AF538/AJ538)*10000</f>
        <v>41455.547695876128</v>
      </c>
      <c r="AF538" s="220">
        <f>($P538/$X538)*(((100-$CD538)/100*(100-2)/100))*100</f>
        <v>17.286963389180347</v>
      </c>
      <c r="AH538" s="220">
        <f>($P538/$X538)*(((100-$CD538)/(100-9)*(100-2)/(100-2))*100)</f>
        <v>19.384350066360557</v>
      </c>
      <c r="AJ538">
        <v>4.17</v>
      </c>
      <c r="AK538" s="285" t="s">
        <v>8400</v>
      </c>
      <c r="AL538" s="260">
        <v>170</v>
      </c>
      <c r="AN538" s="235">
        <v>79</v>
      </c>
      <c r="AO538" s="242">
        <v>42083</v>
      </c>
      <c r="AP538" s="235">
        <v>106</v>
      </c>
      <c r="AQ538" s="242">
        <v>42110</v>
      </c>
      <c r="AR538" s="136">
        <v>137</v>
      </c>
      <c r="AS538" s="297">
        <f>IF(AR538=0,,AR538)</f>
        <v>137</v>
      </c>
      <c r="AT538" s="290">
        <v>42141</v>
      </c>
      <c r="AU538" s="298"/>
      <c r="BF538" s="282">
        <v>34.488624572753906</v>
      </c>
      <c r="BG538" s="283">
        <v>42236</v>
      </c>
      <c r="BL538" s="296">
        <v>59.542999267578125</v>
      </c>
      <c r="BM538" s="283">
        <v>42236</v>
      </c>
      <c r="BP538" s="282">
        <v>3.8064930438995361</v>
      </c>
      <c r="BQ538" s="283">
        <v>42236</v>
      </c>
      <c r="BR538" s="282">
        <v>44.885856628417969</v>
      </c>
      <c r="BS538" s="283">
        <v>42236</v>
      </c>
      <c r="BT538" s="282">
        <v>21.581775665283203</v>
      </c>
      <c r="BU538" s="283">
        <v>42236</v>
      </c>
      <c r="BV538" s="282">
        <v>72.236946105957031</v>
      </c>
      <c r="BW538" s="283">
        <v>42236</v>
      </c>
      <c r="BX538" s="282">
        <v>6.0940933227539063</v>
      </c>
      <c r="BY538" s="283">
        <v>42236</v>
      </c>
      <c r="CB538" s="267">
        <v>6.42</v>
      </c>
      <c r="CD538" s="282">
        <v>7.0175438596491295</v>
      </c>
      <c r="CE538" s="291" t="s">
        <v>8400</v>
      </c>
      <c r="CH538" s="136">
        <v>1</v>
      </c>
      <c r="CI538" s="136">
        <v>7</v>
      </c>
      <c r="CL538" s="136">
        <v>7</v>
      </c>
      <c r="CM538" s="259">
        <v>42161</v>
      </c>
      <c r="CO538" s="137" t="s">
        <v>8405</v>
      </c>
    </row>
    <row r="539" spans="1:93">
      <c r="A539" s="258">
        <v>884</v>
      </c>
      <c r="B539" s="235">
        <v>8</v>
      </c>
      <c r="C539" s="235" t="s">
        <v>7576</v>
      </c>
      <c r="D539" s="235"/>
      <c r="E539" s="235"/>
      <c r="F539" s="235"/>
      <c r="G539" s="235"/>
      <c r="H539" s="235" t="s">
        <v>267</v>
      </c>
      <c r="I539" s="235">
        <v>1</v>
      </c>
      <c r="K539" s="235">
        <v>8</v>
      </c>
      <c r="L539" s="235">
        <f t="shared" si="275"/>
        <v>80</v>
      </c>
      <c r="M539" s="235">
        <v>1</v>
      </c>
      <c r="O539" s="248">
        <v>42048</v>
      </c>
      <c r="V539" s="219"/>
      <c r="X539">
        <v>15.55</v>
      </c>
      <c r="AB539" s="220"/>
      <c r="AD539" s="221"/>
      <c r="AF539" s="220"/>
      <c r="AH539" s="220"/>
      <c r="AJ539" s="286"/>
      <c r="AK539" s="285"/>
      <c r="AL539" s="260"/>
      <c r="AN539" s="235">
        <v>70</v>
      </c>
      <c r="AO539" s="242">
        <v>42074</v>
      </c>
      <c r="AP539" s="235">
        <v>106</v>
      </c>
      <c r="AQ539" s="242">
        <v>42110</v>
      </c>
      <c r="AS539" s="297"/>
      <c r="AT539" s="290"/>
      <c r="AU539" s="298"/>
      <c r="BF539" s="282"/>
      <c r="BG539" s="235"/>
      <c r="BL539" s="296"/>
      <c r="BM539" s="235"/>
      <c r="BP539" s="282"/>
      <c r="BQ539" s="235"/>
      <c r="BR539" s="282"/>
      <c r="BS539" s="235"/>
      <c r="BT539" s="282"/>
      <c r="BU539" s="235"/>
      <c r="BV539" s="282"/>
      <c r="BW539" s="235"/>
      <c r="BX539" s="282"/>
      <c r="BY539" s="235"/>
      <c r="CB539" s="267"/>
      <c r="CD539" s="282"/>
      <c r="CE539" s="291"/>
      <c r="CL539" s="136">
        <v>4</v>
      </c>
      <c r="CM539" s="259">
        <v>42161</v>
      </c>
    </row>
    <row r="540" spans="1:93">
      <c r="A540" s="258">
        <v>885</v>
      </c>
      <c r="B540" s="235">
        <v>9</v>
      </c>
      <c r="C540" s="235" t="s">
        <v>7766</v>
      </c>
      <c r="D540" s="235" t="s">
        <v>7842</v>
      </c>
      <c r="E540" s="235" t="s">
        <v>7766</v>
      </c>
      <c r="F540" s="235" t="s">
        <v>8590</v>
      </c>
      <c r="G540" s="235" t="str">
        <f>IF(MID(C540,1,3)="BGA","Complement","Rapsodyn")</f>
        <v>Rapsodyn</v>
      </c>
      <c r="H540" s="235" t="s">
        <v>267</v>
      </c>
      <c r="I540" s="235">
        <v>1</v>
      </c>
      <c r="J540" s="235">
        <v>9137</v>
      </c>
      <c r="K540" s="235">
        <v>9</v>
      </c>
      <c r="L540" s="235">
        <f t="shared" si="275"/>
        <v>81</v>
      </c>
      <c r="M540" s="235">
        <v>1</v>
      </c>
      <c r="N540" s="235">
        <v>7</v>
      </c>
      <c r="O540" s="248">
        <v>42048</v>
      </c>
      <c r="P540" s="136">
        <v>7.1</v>
      </c>
      <c r="Q540" s="264">
        <v>42204</v>
      </c>
      <c r="V540" s="219">
        <f t="shared" ref="V540:V544" si="276">+BR540*AF540/100</f>
        <v>21.868374648980616</v>
      </c>
      <c r="X540">
        <v>15.55</v>
      </c>
      <c r="AB540" s="220">
        <f t="shared" ref="AB540:AB544" si="277">+AF540*BT540/100</f>
        <v>7.423568598565649</v>
      </c>
      <c r="AD540" s="221">
        <f t="shared" ref="AD540:AD544" si="278">+(AF540/AJ540)*10000</f>
        <v>91483.486544962085</v>
      </c>
      <c r="AF540" s="220">
        <f t="shared" ref="AF540:AF544" si="279">($P540/$X540)*(((100-$CD540)/100*(100-2)/100))*100</f>
        <v>43.088722162677144</v>
      </c>
      <c r="AH540" s="220">
        <f t="shared" ref="AH540:AH544" si="280">($P540/$X540)*(((100-$CD540)/(100-9)*(100-2)/(100-2))*100)</f>
        <v>48.316575647765347</v>
      </c>
      <c r="AJ540">
        <v>4.71</v>
      </c>
      <c r="AK540" s="285" t="s">
        <v>8401</v>
      </c>
      <c r="AL540" s="260">
        <v>170</v>
      </c>
      <c r="AN540" s="235">
        <v>72</v>
      </c>
      <c r="AO540" s="242">
        <v>42076</v>
      </c>
      <c r="AP540" s="235">
        <v>104</v>
      </c>
      <c r="AQ540" s="242">
        <v>42108</v>
      </c>
      <c r="AR540" s="136">
        <v>127</v>
      </c>
      <c r="AS540" s="297">
        <f t="shared" ref="AS540:AS544" si="281">IF(AR540=0,,AR540)</f>
        <v>127</v>
      </c>
      <c r="AT540" s="290">
        <v>42131</v>
      </c>
      <c r="AU540" s="298"/>
      <c r="BF540" s="282">
        <v>-1.1208529472351074</v>
      </c>
      <c r="BG540" s="283">
        <v>42234</v>
      </c>
      <c r="BL540" s="296">
        <v>62.316226959228516</v>
      </c>
      <c r="BM540" s="283">
        <v>42234</v>
      </c>
      <c r="BP540" s="282">
        <v>3.3558239936828613</v>
      </c>
      <c r="BQ540" s="283">
        <v>42234</v>
      </c>
      <c r="BR540" s="282">
        <v>50.751968383789063</v>
      </c>
      <c r="BS540" s="283">
        <v>42234</v>
      </c>
      <c r="BT540" s="282">
        <v>17.228565216064453</v>
      </c>
      <c r="BU540" s="283">
        <v>42234</v>
      </c>
      <c r="BV540" s="282">
        <v>11.481019020080566</v>
      </c>
      <c r="BW540" s="283">
        <v>42234</v>
      </c>
      <c r="BX540" s="282">
        <v>5.21002197265625</v>
      </c>
      <c r="BY540" s="283">
        <v>42234</v>
      </c>
      <c r="CB540" s="267">
        <v>7.11</v>
      </c>
      <c r="CD540" s="282">
        <v>3.7037037037037068</v>
      </c>
      <c r="CE540" s="291" t="s">
        <v>8401</v>
      </c>
      <c r="CH540" s="136">
        <v>2</v>
      </c>
      <c r="CI540" s="136">
        <v>3</v>
      </c>
      <c r="CL540" s="136">
        <v>3</v>
      </c>
      <c r="CM540" s="259">
        <v>42161</v>
      </c>
      <c r="CN540" s="137" t="s">
        <v>8406</v>
      </c>
    </row>
    <row r="541" spans="1:93">
      <c r="A541" s="258">
        <v>899</v>
      </c>
      <c r="B541" s="235">
        <v>23</v>
      </c>
      <c r="C541" s="235" t="s">
        <v>7668</v>
      </c>
      <c r="D541" s="235" t="s">
        <v>7497</v>
      </c>
      <c r="E541" s="235" t="s">
        <v>7668</v>
      </c>
      <c r="F541" s="235" t="s">
        <v>8455</v>
      </c>
      <c r="G541" s="235" t="str">
        <f>IF(MID(C541,1,3)="BGA","Complement","Rapsodyn")</f>
        <v>Rapsodyn</v>
      </c>
      <c r="H541" s="235" t="s">
        <v>267</v>
      </c>
      <c r="I541" s="235">
        <v>1</v>
      </c>
      <c r="J541" s="235">
        <v>9050</v>
      </c>
      <c r="K541" s="235">
        <v>23</v>
      </c>
      <c r="L541" s="235">
        <f t="shared" si="275"/>
        <v>95</v>
      </c>
      <c r="M541" s="235">
        <v>1</v>
      </c>
      <c r="N541" s="235">
        <v>5</v>
      </c>
      <c r="O541" s="248">
        <v>42048</v>
      </c>
      <c r="P541" s="136">
        <v>6.89</v>
      </c>
      <c r="Q541" s="264">
        <v>42204</v>
      </c>
      <c r="V541" s="219">
        <f t="shared" si="276"/>
        <v>21.477064486390137</v>
      </c>
      <c r="X541">
        <v>15.55</v>
      </c>
      <c r="AB541" s="220">
        <f t="shared" si="277"/>
        <v>6.9708495389196257</v>
      </c>
      <c r="AD541" s="221">
        <f t="shared" si="278"/>
        <v>88151.735927388145</v>
      </c>
      <c r="AF541" s="220">
        <f t="shared" si="279"/>
        <v>41.783922829581982</v>
      </c>
      <c r="AH541" s="220">
        <f t="shared" si="280"/>
        <v>46.853468075333019</v>
      </c>
      <c r="AJ541">
        <v>4.74</v>
      </c>
      <c r="AK541" s="285" t="s">
        <v>8398</v>
      </c>
      <c r="AL541" s="260">
        <v>185</v>
      </c>
      <c r="AN541" s="235">
        <v>75</v>
      </c>
      <c r="AO541" s="242">
        <v>42079</v>
      </c>
      <c r="AP541" s="235">
        <v>106</v>
      </c>
      <c r="AQ541" s="242">
        <v>42110</v>
      </c>
      <c r="AR541" s="136">
        <v>138</v>
      </c>
      <c r="AS541" s="297">
        <f t="shared" si="281"/>
        <v>138</v>
      </c>
      <c r="AT541" s="290">
        <v>42142</v>
      </c>
      <c r="AU541" s="298"/>
      <c r="BF541" s="282">
        <v>-3.0501019954681396</v>
      </c>
      <c r="BG541" s="283">
        <v>42235</v>
      </c>
      <c r="BL541" s="296">
        <v>64.162368774414062</v>
      </c>
      <c r="BM541" s="283">
        <v>42235</v>
      </c>
      <c r="BP541" s="282">
        <v>3.3562600612640381</v>
      </c>
      <c r="BQ541" s="283">
        <v>42235</v>
      </c>
      <c r="BR541" s="282">
        <v>51.400306701660156</v>
      </c>
      <c r="BS541" s="283">
        <v>42235</v>
      </c>
      <c r="BT541" s="282">
        <v>16.683090209960937</v>
      </c>
      <c r="BU541" s="283">
        <v>42235</v>
      </c>
      <c r="BV541" s="282">
        <v>12.773105621337891</v>
      </c>
      <c r="BW541" s="283">
        <v>42235</v>
      </c>
      <c r="BX541" s="282">
        <v>5.4281082153320312</v>
      </c>
      <c r="BY541" s="283">
        <v>42235</v>
      </c>
      <c r="CB541" s="267">
        <v>6.08</v>
      </c>
      <c r="CD541" s="282">
        <v>3.7735849056603805</v>
      </c>
      <c r="CE541" s="291" t="s">
        <v>8398</v>
      </c>
      <c r="CH541" s="136">
        <v>1</v>
      </c>
      <c r="CI541" s="136">
        <v>2</v>
      </c>
      <c r="CL541" s="136">
        <v>2</v>
      </c>
      <c r="CM541" s="259">
        <v>42161</v>
      </c>
      <c r="CN541" s="137" t="s">
        <v>8406</v>
      </c>
    </row>
    <row r="542" spans="1:93">
      <c r="A542" s="258">
        <v>901</v>
      </c>
      <c r="B542" s="235">
        <v>25</v>
      </c>
      <c r="C542" s="235" t="s">
        <v>7771</v>
      </c>
      <c r="D542" s="235" t="s">
        <v>7569</v>
      </c>
      <c r="E542" s="235" t="s">
        <v>7771</v>
      </c>
      <c r="F542" s="235" t="s">
        <v>8448</v>
      </c>
      <c r="G542" s="235" t="str">
        <f>IF(MID(C542,1,3)="BGA","Complement","Rapsodyn")</f>
        <v>Rapsodyn</v>
      </c>
      <c r="H542" s="235" t="s">
        <v>267</v>
      </c>
      <c r="I542" s="235">
        <v>1</v>
      </c>
      <c r="J542" s="235">
        <v>9142</v>
      </c>
      <c r="K542" s="235">
        <v>25</v>
      </c>
      <c r="L542" s="235">
        <f t="shared" si="275"/>
        <v>97</v>
      </c>
      <c r="M542" s="235">
        <v>1</v>
      </c>
      <c r="N542" s="235">
        <v>5</v>
      </c>
      <c r="O542" s="248">
        <v>42048</v>
      </c>
      <c r="P542" s="136">
        <v>6.86</v>
      </c>
      <c r="Q542" s="264">
        <v>42204</v>
      </c>
      <c r="V542" s="219">
        <f t="shared" si="276"/>
        <v>21.061449789714366</v>
      </c>
      <c r="X542">
        <v>15.55</v>
      </c>
      <c r="AB542" s="220">
        <f t="shared" si="277"/>
        <v>6.905797341396144</v>
      </c>
      <c r="AD542" s="221">
        <f t="shared" si="278"/>
        <v>99832.72055772625</v>
      </c>
      <c r="AF542" s="220">
        <f t="shared" si="279"/>
        <v>40.831582708110034</v>
      </c>
      <c r="AH542" s="220">
        <f t="shared" si="280"/>
        <v>45.785582763074714</v>
      </c>
      <c r="AJ542">
        <v>4.09</v>
      </c>
      <c r="AK542" s="285" t="s">
        <v>8399</v>
      </c>
      <c r="AL542" s="260">
        <v>175</v>
      </c>
      <c r="AN542" s="235">
        <v>75</v>
      </c>
      <c r="AO542" s="242">
        <v>42079</v>
      </c>
      <c r="AP542" s="235">
        <v>104</v>
      </c>
      <c r="AQ542" s="242">
        <v>42108</v>
      </c>
      <c r="AR542" s="136">
        <v>132</v>
      </c>
      <c r="AS542" s="297">
        <f t="shared" si="281"/>
        <v>132</v>
      </c>
      <c r="AT542" s="290">
        <v>42136</v>
      </c>
      <c r="AU542" s="298"/>
      <c r="BF542" s="282">
        <v>-5.1402988433837891</v>
      </c>
      <c r="BG542" s="283">
        <v>42235</v>
      </c>
      <c r="BL542" s="296">
        <v>65.033447265625</v>
      </c>
      <c r="BM542" s="283">
        <v>42235</v>
      </c>
      <c r="BP542" s="282">
        <v>3.2039179801940918</v>
      </c>
      <c r="BQ542" s="283">
        <v>42235</v>
      </c>
      <c r="BR542" s="282">
        <v>51.581272125244141</v>
      </c>
      <c r="BS542" s="283">
        <v>42235</v>
      </c>
      <c r="BT542" s="282">
        <v>16.912881851196289</v>
      </c>
      <c r="BU542" s="283">
        <v>42235</v>
      </c>
      <c r="BV542" s="282">
        <v>11.01706600189209</v>
      </c>
      <c r="BW542" s="283">
        <v>42235</v>
      </c>
      <c r="BX542" s="282">
        <v>5.3337860107421875</v>
      </c>
      <c r="BY542" s="283">
        <v>42235</v>
      </c>
      <c r="CB542" s="267">
        <v>5.42</v>
      </c>
      <c r="CD542" s="282">
        <v>5.5555555555555687</v>
      </c>
      <c r="CE542" s="291" t="s">
        <v>8399</v>
      </c>
      <c r="CH542" s="136">
        <v>1</v>
      </c>
      <c r="CI542" s="136">
        <v>2</v>
      </c>
      <c r="CL542" s="136">
        <v>1</v>
      </c>
      <c r="CM542" s="259">
        <v>42161</v>
      </c>
      <c r="CN542" s="137" t="s">
        <v>8406</v>
      </c>
    </row>
    <row r="543" spans="1:93">
      <c r="A543" s="258">
        <v>902</v>
      </c>
      <c r="B543" s="235">
        <v>26</v>
      </c>
      <c r="C543" s="235" t="s">
        <v>7660</v>
      </c>
      <c r="D543" s="235" t="s">
        <v>7490</v>
      </c>
      <c r="E543" s="235" t="s">
        <v>7660</v>
      </c>
      <c r="F543" s="235" t="s">
        <v>8454</v>
      </c>
      <c r="G543" s="235" t="str">
        <f>IF(MID(C543,1,3)="BGA","Complement","Rapsodyn")</f>
        <v>Rapsodyn</v>
      </c>
      <c r="H543" s="235" t="s">
        <v>267</v>
      </c>
      <c r="I543" s="235">
        <v>1</v>
      </c>
      <c r="J543" s="235">
        <v>9043</v>
      </c>
      <c r="K543" s="235">
        <v>26</v>
      </c>
      <c r="L543" s="235">
        <f t="shared" si="275"/>
        <v>98</v>
      </c>
      <c r="M543" s="235">
        <v>1</v>
      </c>
      <c r="N543" s="235">
        <v>3</v>
      </c>
      <c r="O543" s="248">
        <v>42048</v>
      </c>
      <c r="P543" s="136">
        <v>6.85</v>
      </c>
      <c r="Q543" s="264">
        <v>42204</v>
      </c>
      <c r="V543" s="219">
        <f t="shared" si="276"/>
        <v>20.500212222068743</v>
      </c>
      <c r="X543">
        <v>15.55</v>
      </c>
      <c r="AB543" s="220">
        <f t="shared" si="277"/>
        <v>6.9763019762040237</v>
      </c>
      <c r="AD543" s="221">
        <f t="shared" si="278"/>
        <v>103117.04118621114</v>
      </c>
      <c r="AF543" s="220">
        <f t="shared" si="279"/>
        <v>40.93746535092582</v>
      </c>
      <c r="AH543" s="220">
        <f t="shared" si="280"/>
        <v>45.904311898324544</v>
      </c>
      <c r="AJ543">
        <v>3.97</v>
      </c>
      <c r="AK543" s="285" t="s">
        <v>8399</v>
      </c>
      <c r="AL543" s="260">
        <v>180</v>
      </c>
      <c r="AN543" s="235">
        <v>79</v>
      </c>
      <c r="AO543" s="242">
        <v>42083</v>
      </c>
      <c r="AP543" s="235">
        <v>110</v>
      </c>
      <c r="AQ543" s="242">
        <v>42114</v>
      </c>
      <c r="AR543" s="136">
        <v>137</v>
      </c>
      <c r="AS543" s="297">
        <f t="shared" si="281"/>
        <v>137</v>
      </c>
      <c r="AT543" s="290">
        <v>42141</v>
      </c>
      <c r="AU543" s="298"/>
      <c r="BF543" s="282">
        <v>-5.4315052032470703</v>
      </c>
      <c r="BG543" s="283">
        <v>42235</v>
      </c>
      <c r="BL543" s="296">
        <v>63.249668121337891</v>
      </c>
      <c r="BM543" s="283">
        <v>42235</v>
      </c>
      <c r="BP543" s="282">
        <v>3.9700679779052734</v>
      </c>
      <c r="BQ543" s="283">
        <v>42235</v>
      </c>
      <c r="BR543" s="282">
        <v>50.076896667480469</v>
      </c>
      <c r="BS543" s="283">
        <v>42235</v>
      </c>
      <c r="BT543" s="282">
        <v>17.041362762451172</v>
      </c>
      <c r="BU543" s="283">
        <v>42235</v>
      </c>
      <c r="BV543" s="282">
        <v>11.102301597595215</v>
      </c>
      <c r="BW543" s="283">
        <v>42235</v>
      </c>
      <c r="BX543" s="282">
        <v>5.4710922241210938</v>
      </c>
      <c r="BY543" s="283">
        <v>42235</v>
      </c>
      <c r="CB543" s="267">
        <v>4.41</v>
      </c>
      <c r="CD543" s="282">
        <v>5.1724137931034457</v>
      </c>
      <c r="CE543" s="291" t="s">
        <v>8399</v>
      </c>
      <c r="CH543" s="136">
        <v>1</v>
      </c>
      <c r="CI543" s="136">
        <v>5</v>
      </c>
      <c r="CL543" s="136">
        <v>2</v>
      </c>
      <c r="CM543" s="259">
        <v>42161</v>
      </c>
      <c r="CN543" s="137" t="s">
        <v>8406</v>
      </c>
    </row>
    <row r="544" spans="1:93">
      <c r="A544" s="258">
        <v>903</v>
      </c>
      <c r="B544" s="235">
        <v>27</v>
      </c>
      <c r="C544" s="235" t="s">
        <v>7654</v>
      </c>
      <c r="D544" s="235" t="s">
        <v>7485</v>
      </c>
      <c r="E544" s="235" t="s">
        <v>7654</v>
      </c>
      <c r="F544" s="235" t="s">
        <v>8470</v>
      </c>
      <c r="G544" s="235" t="str">
        <f>IF(MID(C544,1,3)="BGA","Complement","Rapsodyn")</f>
        <v>Rapsodyn</v>
      </c>
      <c r="H544" s="235" t="s">
        <v>267</v>
      </c>
      <c r="I544" s="235">
        <v>1</v>
      </c>
      <c r="J544" s="235">
        <v>9038</v>
      </c>
      <c r="K544" s="235">
        <v>27</v>
      </c>
      <c r="L544" s="235">
        <f t="shared" si="275"/>
        <v>99</v>
      </c>
      <c r="M544" s="235">
        <v>1</v>
      </c>
      <c r="N544" s="235">
        <v>5</v>
      </c>
      <c r="O544" s="248">
        <v>42048</v>
      </c>
      <c r="P544" s="136">
        <v>6.54</v>
      </c>
      <c r="Q544" s="264">
        <v>42204</v>
      </c>
      <c r="V544" s="219">
        <f t="shared" si="276"/>
        <v>18.95560170122096</v>
      </c>
      <c r="X544">
        <v>15.55</v>
      </c>
      <c r="AB544" s="220">
        <f t="shared" si="277"/>
        <v>6.9341700635914227</v>
      </c>
      <c r="AD544" s="221">
        <f t="shared" si="278"/>
        <v>85256.373779616755</v>
      </c>
      <c r="AF544" s="220">
        <f t="shared" si="279"/>
        <v>39.047419191064478</v>
      </c>
      <c r="AH544" s="220">
        <f t="shared" si="280"/>
        <v>43.784950875829203</v>
      </c>
      <c r="AJ544">
        <v>4.58</v>
      </c>
      <c r="AK544" s="285" t="s">
        <v>8402</v>
      </c>
      <c r="AL544" s="260">
        <v>175</v>
      </c>
      <c r="AN544" s="235">
        <v>75</v>
      </c>
      <c r="AO544" s="242">
        <v>42079</v>
      </c>
      <c r="AP544" s="235">
        <v>110</v>
      </c>
      <c r="AQ544" s="242">
        <v>42114</v>
      </c>
      <c r="AR544" s="136">
        <v>133</v>
      </c>
      <c r="AS544" s="297">
        <f t="shared" si="281"/>
        <v>133</v>
      </c>
      <c r="AT544" s="290">
        <v>42137</v>
      </c>
      <c r="AU544" s="298"/>
      <c r="BF544" s="282">
        <v>-5.3968729972839355</v>
      </c>
      <c r="BG544" s="283">
        <v>42235</v>
      </c>
      <c r="BL544" s="296">
        <v>62.3543701171875</v>
      </c>
      <c r="BM544" s="283">
        <v>42235</v>
      </c>
      <c r="BP544" s="282">
        <v>3.8297820091247559</v>
      </c>
      <c r="BQ544" s="283">
        <v>42235</v>
      </c>
      <c r="BR544" s="282">
        <v>48.545082092285156</v>
      </c>
      <c r="BS544" s="283">
        <v>42235</v>
      </c>
      <c r="BT544" s="282">
        <v>17.758331298828125</v>
      </c>
      <c r="BU544" s="283">
        <v>42235</v>
      </c>
      <c r="BV544" s="282">
        <v>56.769157409667969</v>
      </c>
      <c r="BW544" s="283">
        <v>42235</v>
      </c>
      <c r="BX544" s="282">
        <v>5.8126296997070312</v>
      </c>
      <c r="BY544" s="283">
        <v>42235</v>
      </c>
      <c r="CB544" s="267">
        <v>3.57</v>
      </c>
      <c r="CD544" s="282">
        <v>5.2631578947368389</v>
      </c>
      <c r="CE544" s="291" t="s">
        <v>8402</v>
      </c>
      <c r="CH544" s="136">
        <v>2</v>
      </c>
      <c r="CI544" s="136">
        <v>8</v>
      </c>
      <c r="CL544" s="136">
        <v>2</v>
      </c>
      <c r="CM544" s="259">
        <v>42161</v>
      </c>
      <c r="CO544" s="137" t="s">
        <v>8405</v>
      </c>
    </row>
    <row r="545" spans="1:93">
      <c r="A545" s="258">
        <v>905</v>
      </c>
      <c r="B545" s="235">
        <v>29</v>
      </c>
      <c r="C545" s="235" t="s">
        <v>7576</v>
      </c>
      <c r="D545" s="235"/>
      <c r="E545" s="235"/>
      <c r="F545" s="235"/>
      <c r="G545" s="235"/>
      <c r="H545" s="235" t="s">
        <v>267</v>
      </c>
      <c r="I545" s="235">
        <v>1</v>
      </c>
      <c r="K545" s="235">
        <v>29</v>
      </c>
      <c r="L545" s="235">
        <f t="shared" si="275"/>
        <v>101</v>
      </c>
      <c r="M545" s="235">
        <v>1</v>
      </c>
      <c r="O545" s="248">
        <v>42048</v>
      </c>
      <c r="V545" s="219"/>
      <c r="X545">
        <v>15.55</v>
      </c>
      <c r="AB545" s="220"/>
      <c r="AD545" s="221"/>
      <c r="AF545" s="220"/>
      <c r="AH545" s="220"/>
      <c r="AJ545" s="286"/>
      <c r="AK545" s="285"/>
      <c r="AL545" s="260"/>
      <c r="AN545" s="235">
        <v>70</v>
      </c>
      <c r="AO545" s="242">
        <v>42074</v>
      </c>
      <c r="AP545" s="235">
        <v>106</v>
      </c>
      <c r="AQ545" s="242">
        <v>42110</v>
      </c>
      <c r="AS545" s="297"/>
      <c r="AT545" s="290"/>
      <c r="AU545" s="298"/>
      <c r="BF545" s="282"/>
      <c r="BG545" s="235"/>
      <c r="BL545" s="296"/>
      <c r="BM545" s="235"/>
      <c r="BP545" s="282"/>
      <c r="BQ545" s="235"/>
      <c r="BR545" s="282"/>
      <c r="BS545" s="235"/>
      <c r="BT545" s="282"/>
      <c r="BU545" s="235"/>
      <c r="BV545" s="282"/>
      <c r="BW545" s="235"/>
      <c r="BX545" s="282"/>
      <c r="BY545" s="235"/>
      <c r="CB545" s="267"/>
      <c r="CD545" s="282"/>
      <c r="CE545" s="291"/>
      <c r="CL545" s="136">
        <v>2</v>
      </c>
      <c r="CM545" s="259">
        <v>42161</v>
      </c>
    </row>
    <row r="546" spans="1:93">
      <c r="A546" s="258">
        <v>906</v>
      </c>
      <c r="B546" s="235">
        <v>30</v>
      </c>
      <c r="C546" s="235" t="s">
        <v>7576</v>
      </c>
      <c r="D546" s="235"/>
      <c r="E546" s="235"/>
      <c r="F546" s="235"/>
      <c r="G546" s="235"/>
      <c r="H546" s="235" t="s">
        <v>267</v>
      </c>
      <c r="I546" s="235">
        <v>1</v>
      </c>
      <c r="K546" s="235">
        <v>30</v>
      </c>
      <c r="L546" s="235">
        <f t="shared" si="275"/>
        <v>102</v>
      </c>
      <c r="M546" s="235">
        <v>1</v>
      </c>
      <c r="O546" s="248">
        <v>42048</v>
      </c>
      <c r="V546" s="219"/>
      <c r="X546">
        <v>15.55</v>
      </c>
      <c r="AB546" s="220"/>
      <c r="AD546" s="221"/>
      <c r="AF546" s="220"/>
      <c r="AH546" s="220"/>
      <c r="AJ546" s="286"/>
      <c r="AK546" s="285"/>
      <c r="AL546" s="260"/>
      <c r="AN546" s="235">
        <v>70</v>
      </c>
      <c r="AO546" s="242">
        <v>42074</v>
      </c>
      <c r="AP546" s="235">
        <v>106</v>
      </c>
      <c r="AQ546" s="242">
        <v>42110</v>
      </c>
      <c r="AS546" s="297"/>
      <c r="AT546" s="290"/>
      <c r="AU546" s="298"/>
      <c r="BF546" s="282"/>
      <c r="BG546" s="235"/>
      <c r="BL546" s="296"/>
      <c r="BM546" s="235"/>
      <c r="BP546" s="282"/>
      <c r="BQ546" s="235"/>
      <c r="BR546" s="282"/>
      <c r="BS546" s="235"/>
      <c r="BT546" s="282"/>
      <c r="BU546" s="235"/>
      <c r="BV546" s="282"/>
      <c r="BW546" s="235"/>
      <c r="BX546" s="282"/>
      <c r="BY546" s="235"/>
      <c r="CB546" s="267"/>
      <c r="CD546" s="282"/>
      <c r="CE546" s="291"/>
      <c r="CL546" s="136">
        <v>3</v>
      </c>
      <c r="CM546" s="259">
        <v>42161</v>
      </c>
    </row>
    <row r="547" spans="1:93">
      <c r="A547" s="258">
        <v>907</v>
      </c>
      <c r="B547" s="235">
        <v>31</v>
      </c>
      <c r="C547" s="235" t="s">
        <v>7801</v>
      </c>
      <c r="D547" s="235" t="s">
        <v>7846</v>
      </c>
      <c r="E547" s="235" t="s">
        <v>7801</v>
      </c>
      <c r="F547" s="235" t="s">
        <v>8464</v>
      </c>
      <c r="G547" s="235" t="str">
        <f t="shared" ref="G547:G558" si="282">IF(MID(C547,1,3)="BGA","Complement","Rapsodyn")</f>
        <v>Rapsodyn</v>
      </c>
      <c r="H547" s="235" t="s">
        <v>267</v>
      </c>
      <c r="I547" s="235">
        <v>1</v>
      </c>
      <c r="J547" s="235">
        <v>9172</v>
      </c>
      <c r="K547" s="235">
        <v>31</v>
      </c>
      <c r="L547" s="235">
        <f t="shared" si="275"/>
        <v>103</v>
      </c>
      <c r="M547" s="235">
        <v>1</v>
      </c>
      <c r="N547" s="235">
        <v>5</v>
      </c>
      <c r="O547" s="248">
        <v>42048</v>
      </c>
      <c r="P547" s="136">
        <v>6.59</v>
      </c>
      <c r="Q547" s="264">
        <v>42204</v>
      </c>
      <c r="V547" s="219">
        <f t="shared" ref="V547:V558" si="283">+BR547*AF547/100</f>
        <v>20.197163793879206</v>
      </c>
      <c r="X547">
        <v>15.55</v>
      </c>
      <c r="AB547" s="220">
        <f t="shared" ref="AB547:AB558" si="284">+AF547*BT547/100</f>
        <v>6.6282342320724812</v>
      </c>
      <c r="AD547" s="221">
        <f t="shared" ref="AD547:AD558" si="285">+(AF547/AJ547)*10000</f>
        <v>83537.042167135733</v>
      </c>
      <c r="AF547" s="220">
        <f t="shared" ref="AF547:AF558" si="286">($P547/$X547)*(((100-$CD547)/100*(100-2)/100))*100</f>
        <v>39.345946860720936</v>
      </c>
      <c r="AH547" s="220">
        <f t="shared" ref="AH547:AH558" si="287">($P547/$X547)*(((100-$CD547)/(100-9)*(100-2)/(100-2))*100)</f>
        <v>44.119698206684163</v>
      </c>
      <c r="AJ547">
        <v>4.71</v>
      </c>
      <c r="AK547" s="285" t="s">
        <v>8401</v>
      </c>
      <c r="AL547" s="260">
        <v>185</v>
      </c>
      <c r="AN547" s="235">
        <v>70</v>
      </c>
      <c r="AO547" s="242">
        <v>42074</v>
      </c>
      <c r="AP547" s="235">
        <v>110</v>
      </c>
      <c r="AQ547" s="242">
        <v>42114</v>
      </c>
      <c r="AR547" s="136">
        <v>133</v>
      </c>
      <c r="AS547" s="297">
        <f t="shared" ref="AS547:AS558" si="288">IF(AR547=0,,AR547)</f>
        <v>133</v>
      </c>
      <c r="AT547" s="290">
        <v>42137</v>
      </c>
      <c r="AU547" s="298"/>
      <c r="BF547" s="282">
        <v>-3.5853900909423828</v>
      </c>
      <c r="BG547" s="283">
        <v>42234</v>
      </c>
      <c r="BL547" s="296">
        <v>62.973079681396484</v>
      </c>
      <c r="BM547" s="283">
        <v>42234</v>
      </c>
      <c r="BP547" s="282">
        <v>3.2256491184234619</v>
      </c>
      <c r="BQ547" s="283">
        <v>42234</v>
      </c>
      <c r="BR547" s="282">
        <v>51.332260131835938</v>
      </c>
      <c r="BS547" s="283">
        <v>42234</v>
      </c>
      <c r="BT547" s="282">
        <v>16.846040725708008</v>
      </c>
      <c r="BU547" s="283">
        <v>42234</v>
      </c>
      <c r="BV547" s="282">
        <v>14.063858985900879</v>
      </c>
      <c r="BW547" s="283">
        <v>42234</v>
      </c>
      <c r="BX547" s="282">
        <v>5.2673797607421875</v>
      </c>
      <c r="BY547" s="283">
        <v>42234</v>
      </c>
      <c r="CB547" s="267">
        <v>4.95</v>
      </c>
      <c r="CD547" s="282">
        <v>5.2631578947368389</v>
      </c>
      <c r="CE547" s="291" t="s">
        <v>8401</v>
      </c>
      <c r="CH547" s="136">
        <v>2</v>
      </c>
      <c r="CI547" s="136">
        <v>3</v>
      </c>
      <c r="CL547" s="136">
        <v>1</v>
      </c>
      <c r="CM547" s="259">
        <v>42161</v>
      </c>
      <c r="CN547" s="137" t="s">
        <v>8406</v>
      </c>
    </row>
    <row r="548" spans="1:93">
      <c r="A548" s="258">
        <v>908</v>
      </c>
      <c r="B548" s="235">
        <v>32</v>
      </c>
      <c r="C548" s="235" t="s">
        <v>7779</v>
      </c>
      <c r="D548" s="235" t="s">
        <v>7577</v>
      </c>
      <c r="E548" s="235" t="s">
        <v>7779</v>
      </c>
      <c r="F548" s="235" t="s">
        <v>8602</v>
      </c>
      <c r="G548" s="235" t="str">
        <f t="shared" si="282"/>
        <v>Rapsodyn</v>
      </c>
      <c r="H548" s="235" t="s">
        <v>267</v>
      </c>
      <c r="I548" s="235">
        <v>1</v>
      </c>
      <c r="J548" s="235">
        <v>9150</v>
      </c>
      <c r="K548" s="235">
        <v>32</v>
      </c>
      <c r="L548" s="235">
        <f t="shared" si="275"/>
        <v>104</v>
      </c>
      <c r="M548" s="235">
        <v>1</v>
      </c>
      <c r="N548" s="235">
        <v>5</v>
      </c>
      <c r="O548" s="248">
        <v>42048</v>
      </c>
      <c r="P548" s="136">
        <v>6.44</v>
      </c>
      <c r="Q548" s="264">
        <v>42204</v>
      </c>
      <c r="V548" s="219">
        <f t="shared" si="283"/>
        <v>19.479081524563643</v>
      </c>
      <c r="X548">
        <v>15.55</v>
      </c>
      <c r="AB548" s="220">
        <f t="shared" si="284"/>
        <v>6.8280474497724013</v>
      </c>
      <c r="AD548" s="221">
        <f t="shared" si="285"/>
        <v>85581.231126834697</v>
      </c>
      <c r="AF548" s="220">
        <f t="shared" si="286"/>
        <v>39.110622624963462</v>
      </c>
      <c r="AH548" s="220">
        <f t="shared" si="287"/>
        <v>43.855822633957679</v>
      </c>
      <c r="AJ548">
        <v>4.57</v>
      </c>
      <c r="AK548" s="285" t="s">
        <v>8401</v>
      </c>
      <c r="AL548" s="260">
        <v>175</v>
      </c>
      <c r="AN548" s="235">
        <v>70</v>
      </c>
      <c r="AO548" s="242">
        <v>42074</v>
      </c>
      <c r="AP548" s="235">
        <v>106</v>
      </c>
      <c r="AQ548" s="242">
        <v>42110</v>
      </c>
      <c r="AR548" s="136">
        <v>131</v>
      </c>
      <c r="AS548" s="297">
        <f t="shared" si="288"/>
        <v>131</v>
      </c>
      <c r="AT548" s="290">
        <v>42135</v>
      </c>
      <c r="AU548" s="298"/>
      <c r="BF548" s="282">
        <v>-0.49982300400733948</v>
      </c>
      <c r="BG548" s="283">
        <v>42234</v>
      </c>
      <c r="BL548" s="296">
        <v>63.080184936523438</v>
      </c>
      <c r="BM548" s="283">
        <v>42234</v>
      </c>
      <c r="BP548" s="282">
        <v>3.4165050983428955</v>
      </c>
      <c r="BQ548" s="283">
        <v>42234</v>
      </c>
      <c r="BR548" s="282">
        <v>49.805091857910156</v>
      </c>
      <c r="BS548" s="283">
        <v>42234</v>
      </c>
      <c r="BT548" s="282">
        <v>17.458293914794922</v>
      </c>
      <c r="BU548" s="283">
        <v>42234</v>
      </c>
      <c r="BV548" s="282">
        <v>11.810579299926758</v>
      </c>
      <c r="BW548" s="283">
        <v>42234</v>
      </c>
      <c r="BX548" s="282">
        <v>5.4679641723632812</v>
      </c>
      <c r="BY548" s="283">
        <v>42234</v>
      </c>
      <c r="CB548" s="267">
        <v>4.72</v>
      </c>
      <c r="CD548" s="282">
        <v>3.6363636363636398</v>
      </c>
      <c r="CE548" s="291" t="s">
        <v>8401</v>
      </c>
      <c r="CH548" s="136">
        <v>1</v>
      </c>
      <c r="CI548" s="136">
        <v>3</v>
      </c>
      <c r="CL548" s="136">
        <v>1</v>
      </c>
      <c r="CM548" s="259">
        <v>42161</v>
      </c>
      <c r="CN548" s="137" t="s">
        <v>8406</v>
      </c>
    </row>
    <row r="549" spans="1:93">
      <c r="A549" s="258">
        <v>909</v>
      </c>
      <c r="B549" s="235">
        <v>33</v>
      </c>
      <c r="C549" s="235" t="s">
        <v>7622</v>
      </c>
      <c r="D549" s="235" t="s">
        <v>7457</v>
      </c>
      <c r="E549" s="235" t="s">
        <v>7622</v>
      </c>
      <c r="F549" s="235" t="s">
        <v>8586</v>
      </c>
      <c r="G549" s="235" t="str">
        <f t="shared" si="282"/>
        <v>Rapsodyn</v>
      </c>
      <c r="H549" s="235" t="s">
        <v>267</v>
      </c>
      <c r="I549" s="235">
        <v>1</v>
      </c>
      <c r="J549" s="235">
        <v>9015</v>
      </c>
      <c r="K549" s="235">
        <v>33</v>
      </c>
      <c r="L549" s="235">
        <f t="shared" si="275"/>
        <v>105</v>
      </c>
      <c r="M549" s="235">
        <v>1</v>
      </c>
      <c r="N549" s="235">
        <v>7</v>
      </c>
      <c r="O549" s="248">
        <v>42048</v>
      </c>
      <c r="P549" s="136">
        <v>3.15</v>
      </c>
      <c r="Q549" s="264">
        <v>42204</v>
      </c>
      <c r="V549" s="219">
        <f t="shared" si="283"/>
        <v>8.1937297507460638</v>
      </c>
      <c r="X549">
        <v>15.55</v>
      </c>
      <c r="AB549" s="220">
        <f t="shared" si="284"/>
        <v>4.1974991278220655</v>
      </c>
      <c r="AD549" s="221">
        <f t="shared" si="285"/>
        <v>36241.137989734088</v>
      </c>
      <c r="AF549" s="220">
        <f t="shared" si="286"/>
        <v>18.482980374764384</v>
      </c>
      <c r="AH549" s="220">
        <f t="shared" si="287"/>
        <v>20.725476984485741</v>
      </c>
      <c r="AJ549">
        <v>5.0999999999999996</v>
      </c>
      <c r="AK549" s="285" t="s">
        <v>8401</v>
      </c>
      <c r="AL549" s="260">
        <v>200</v>
      </c>
      <c r="AN549" s="235">
        <v>70</v>
      </c>
      <c r="AO549" s="242">
        <v>42074</v>
      </c>
      <c r="AP549" s="235">
        <v>113</v>
      </c>
      <c r="AQ549" s="242">
        <v>42117</v>
      </c>
      <c r="AR549" s="136">
        <v>141</v>
      </c>
      <c r="AS549" s="297">
        <f t="shared" si="288"/>
        <v>141</v>
      </c>
      <c r="AT549" s="290">
        <v>42145</v>
      </c>
      <c r="AU549" s="298"/>
      <c r="BF549" s="282">
        <v>29.765810012817383</v>
      </c>
      <c r="BG549" s="283">
        <v>42234</v>
      </c>
      <c r="BL549" s="296">
        <v>62.593357086181641</v>
      </c>
      <c r="BM549" s="283">
        <v>42234</v>
      </c>
      <c r="BP549" s="282">
        <v>4.0991439819335938</v>
      </c>
      <c r="BQ549" s="283">
        <v>42234</v>
      </c>
      <c r="BR549" s="282">
        <v>44.331214904785156</v>
      </c>
      <c r="BS549" s="283">
        <v>42234</v>
      </c>
      <c r="BT549" s="282">
        <v>22.710077285766602</v>
      </c>
      <c r="BU549" s="283">
        <v>42234</v>
      </c>
      <c r="BV549" s="282">
        <v>74.064788818359375</v>
      </c>
      <c r="BW549" s="283">
        <v>42234</v>
      </c>
      <c r="BX549" s="282">
        <v>5.8862991333007812</v>
      </c>
      <c r="BY549" s="283">
        <v>42234</v>
      </c>
      <c r="CB549" s="267">
        <v>6.06</v>
      </c>
      <c r="CD549" s="282">
        <v>6.8965517241379226</v>
      </c>
      <c r="CE549" s="291" t="s">
        <v>8401</v>
      </c>
      <c r="CH549" s="136">
        <v>7</v>
      </c>
      <c r="CI549" s="136">
        <v>2</v>
      </c>
      <c r="CL549" s="136">
        <v>7</v>
      </c>
      <c r="CM549" s="259">
        <v>42161</v>
      </c>
      <c r="CN549" s="137" t="s">
        <v>8406</v>
      </c>
    </row>
    <row r="550" spans="1:93">
      <c r="A550" s="258">
        <v>910</v>
      </c>
      <c r="B550" s="235">
        <v>34</v>
      </c>
      <c r="C550" s="235" t="s">
        <v>8300</v>
      </c>
      <c r="D550" s="235" t="s">
        <v>7533</v>
      </c>
      <c r="E550" s="235" t="s">
        <v>8461</v>
      </c>
      <c r="F550" s="235" t="s">
        <v>8460</v>
      </c>
      <c r="G550" s="235" t="str">
        <f t="shared" si="282"/>
        <v>Rapsodyn</v>
      </c>
      <c r="H550" s="235" t="s">
        <v>267</v>
      </c>
      <c r="I550" s="235">
        <v>1</v>
      </c>
      <c r="J550" s="235">
        <v>9356</v>
      </c>
      <c r="K550" s="235">
        <v>34</v>
      </c>
      <c r="L550" s="235">
        <f t="shared" si="275"/>
        <v>106</v>
      </c>
      <c r="M550" s="235">
        <v>1</v>
      </c>
      <c r="N550" s="235">
        <v>3</v>
      </c>
      <c r="O550" s="248">
        <v>42048</v>
      </c>
      <c r="P550" s="136">
        <v>5.69</v>
      </c>
      <c r="Q550" s="264">
        <v>42204</v>
      </c>
      <c r="V550" s="219">
        <f t="shared" si="283"/>
        <v>16.613056730953726</v>
      </c>
      <c r="X550">
        <v>15.55</v>
      </c>
      <c r="AB550" s="220">
        <f t="shared" si="284"/>
        <v>6.4214912098451888</v>
      </c>
      <c r="AD550" s="221">
        <f t="shared" si="285"/>
        <v>83882.589646678316</v>
      </c>
      <c r="AF550" s="220">
        <f t="shared" si="286"/>
        <v>33.972448806904723</v>
      </c>
      <c r="AH550" s="220">
        <f t="shared" si="287"/>
        <v>38.094246251294827</v>
      </c>
      <c r="AJ550">
        <v>4.05</v>
      </c>
      <c r="AK550" s="285" t="s">
        <v>8401</v>
      </c>
      <c r="AL550" s="260">
        <v>165</v>
      </c>
      <c r="AN550" s="235">
        <v>70</v>
      </c>
      <c r="AO550" s="242">
        <v>42074</v>
      </c>
      <c r="AP550" s="235">
        <v>104</v>
      </c>
      <c r="AQ550" s="242">
        <v>42108</v>
      </c>
      <c r="AR550" s="136">
        <v>134</v>
      </c>
      <c r="AS550" s="297">
        <f t="shared" si="288"/>
        <v>134</v>
      </c>
      <c r="AT550" s="290">
        <v>42138</v>
      </c>
      <c r="AU550" s="298"/>
      <c r="BF550" s="282">
        <v>-3.4413149356842041</v>
      </c>
      <c r="BG550" s="283">
        <v>42234</v>
      </c>
      <c r="BL550" s="296">
        <v>64.439361572265625</v>
      </c>
      <c r="BM550" s="283">
        <v>42234</v>
      </c>
      <c r="BP550" s="282">
        <v>3.6503159999847412</v>
      </c>
      <c r="BQ550" s="283">
        <v>42234</v>
      </c>
      <c r="BR550" s="282">
        <v>48.901557922363281</v>
      </c>
      <c r="BS550" s="283">
        <v>42234</v>
      </c>
      <c r="BT550" s="282">
        <v>18.902055740356445</v>
      </c>
      <c r="BU550" s="283">
        <v>42234</v>
      </c>
      <c r="BV550" s="282">
        <v>9.4863529205322266</v>
      </c>
      <c r="BW550" s="283">
        <v>42234</v>
      </c>
      <c r="BX550" s="282">
        <v>5.5657272338867188</v>
      </c>
      <c r="BY550" s="283">
        <v>42234</v>
      </c>
      <c r="CB550" s="267">
        <v>4.47</v>
      </c>
      <c r="CD550" s="282">
        <v>5.2631578947368389</v>
      </c>
      <c r="CE550" s="291" t="s">
        <v>8401</v>
      </c>
      <c r="CH550" s="136">
        <v>4</v>
      </c>
      <c r="CI550" s="136">
        <v>4</v>
      </c>
      <c r="CL550" s="136">
        <v>3</v>
      </c>
      <c r="CM550" s="259">
        <v>42161</v>
      </c>
      <c r="CN550" s="137" t="s">
        <v>8406</v>
      </c>
    </row>
    <row r="551" spans="1:93">
      <c r="A551" s="258">
        <v>911</v>
      </c>
      <c r="B551" s="235">
        <v>35</v>
      </c>
      <c r="C551" s="235" t="s">
        <v>7769</v>
      </c>
      <c r="D551" s="235" t="s">
        <v>7845</v>
      </c>
      <c r="E551" s="235" t="s">
        <v>7769</v>
      </c>
      <c r="F551" s="235" t="s">
        <v>8462</v>
      </c>
      <c r="G551" s="235" t="str">
        <f t="shared" si="282"/>
        <v>Rapsodyn</v>
      </c>
      <c r="H551" s="235" t="s">
        <v>267</v>
      </c>
      <c r="I551" s="235">
        <v>1</v>
      </c>
      <c r="J551" s="235">
        <v>9140</v>
      </c>
      <c r="K551" s="235">
        <v>35</v>
      </c>
      <c r="L551" s="235">
        <f t="shared" si="275"/>
        <v>107</v>
      </c>
      <c r="M551" s="235">
        <v>1</v>
      </c>
      <c r="N551" s="235">
        <v>5</v>
      </c>
      <c r="O551" s="248">
        <v>42048</v>
      </c>
      <c r="P551" s="136">
        <v>7.09</v>
      </c>
      <c r="Q551" s="264">
        <v>42204</v>
      </c>
      <c r="V551" s="219">
        <f t="shared" si="283"/>
        <v>19.795667075216791</v>
      </c>
      <c r="X551">
        <v>15.55</v>
      </c>
      <c r="AB551" s="220">
        <f t="shared" si="284"/>
        <v>7.0530098739211518</v>
      </c>
      <c r="AD551" s="221">
        <f t="shared" si="285"/>
        <v>84119.600114049812</v>
      </c>
      <c r="AF551" s="220">
        <f t="shared" si="286"/>
        <v>40.54564725497201</v>
      </c>
      <c r="AH551" s="220">
        <f t="shared" si="287"/>
        <v>45.464955432801091</v>
      </c>
      <c r="AJ551">
        <v>4.82</v>
      </c>
      <c r="AK551" s="285" t="s">
        <v>8400</v>
      </c>
      <c r="AL551" s="260">
        <v>160</v>
      </c>
      <c r="AN551" s="235">
        <v>79</v>
      </c>
      <c r="AO551" s="242">
        <v>42083</v>
      </c>
      <c r="AP551" s="235">
        <v>106</v>
      </c>
      <c r="AQ551" s="242">
        <v>42110</v>
      </c>
      <c r="AR551" s="136">
        <v>135</v>
      </c>
      <c r="AS551" s="297">
        <f t="shared" si="288"/>
        <v>135</v>
      </c>
      <c r="AT551" s="290">
        <v>42139</v>
      </c>
      <c r="AU551" s="298"/>
      <c r="BF551" s="282">
        <v>-4.0514302253723145</v>
      </c>
      <c r="BG551" s="283">
        <v>42235</v>
      </c>
      <c r="BL551" s="296">
        <v>59.664318084716797</v>
      </c>
      <c r="BM551" s="283">
        <v>42235</v>
      </c>
      <c r="BP551" s="282">
        <v>2.6957991123199463</v>
      </c>
      <c r="BQ551" s="283">
        <v>42235</v>
      </c>
      <c r="BR551" s="282">
        <v>48.823162078857422</v>
      </c>
      <c r="BS551" s="283">
        <v>42235</v>
      </c>
      <c r="BT551" s="282">
        <v>17.395233154296875</v>
      </c>
      <c r="BU551" s="283">
        <v>42235</v>
      </c>
      <c r="BV551" s="282">
        <v>12.084293365478516</v>
      </c>
      <c r="BW551" s="283">
        <v>42235</v>
      </c>
      <c r="BX551" s="282">
        <v>5.4999771118164062</v>
      </c>
      <c r="BY551" s="283">
        <v>42235</v>
      </c>
      <c r="CB551" s="267">
        <v>4.16</v>
      </c>
      <c r="CD551" s="282">
        <v>9.2592592592592595</v>
      </c>
      <c r="CE551" s="291" t="s">
        <v>8400</v>
      </c>
      <c r="CH551" s="136">
        <v>1</v>
      </c>
      <c r="CI551" s="136">
        <v>3</v>
      </c>
      <c r="CL551" s="136">
        <v>1</v>
      </c>
      <c r="CM551" s="259">
        <v>42161</v>
      </c>
      <c r="CN551" s="137" t="s">
        <v>8406</v>
      </c>
    </row>
    <row r="552" spans="1:93">
      <c r="A552" s="258">
        <v>913</v>
      </c>
      <c r="B552" s="235">
        <v>37</v>
      </c>
      <c r="C552" s="235" t="s">
        <v>7661</v>
      </c>
      <c r="D552" s="235" t="s">
        <v>7491</v>
      </c>
      <c r="E552" s="235" t="s">
        <v>7661</v>
      </c>
      <c r="F552" s="235" t="s">
        <v>8445</v>
      </c>
      <c r="G552" s="235" t="str">
        <f t="shared" si="282"/>
        <v>Rapsodyn</v>
      </c>
      <c r="H552" s="235" t="s">
        <v>267</v>
      </c>
      <c r="I552" s="235">
        <v>1</v>
      </c>
      <c r="J552" s="235">
        <v>9044</v>
      </c>
      <c r="K552" s="235">
        <v>37</v>
      </c>
      <c r="L552" s="235">
        <f t="shared" si="275"/>
        <v>109</v>
      </c>
      <c r="M552" s="235">
        <v>1</v>
      </c>
      <c r="N552" s="235">
        <v>5</v>
      </c>
      <c r="O552" s="248">
        <v>42048</v>
      </c>
      <c r="P552" s="136">
        <v>5.33</v>
      </c>
      <c r="Q552" s="264">
        <v>42204</v>
      </c>
      <c r="V552" s="219">
        <f t="shared" si="283"/>
        <v>14.719292422830758</v>
      </c>
      <c r="X552">
        <v>15.55</v>
      </c>
      <c r="AB552" s="220">
        <f t="shared" si="284"/>
        <v>6.0540386385043714</v>
      </c>
      <c r="AD552" s="221">
        <f t="shared" si="285"/>
        <v>83754.739993347364</v>
      </c>
      <c r="AF552" s="220">
        <f t="shared" si="286"/>
        <v>31.575536977491957</v>
      </c>
      <c r="AH552" s="220">
        <f t="shared" si="287"/>
        <v>35.40652273771245</v>
      </c>
      <c r="AJ552">
        <v>3.77</v>
      </c>
      <c r="AK552" s="285" t="s">
        <v>8400</v>
      </c>
      <c r="AL552" s="260">
        <v>175</v>
      </c>
      <c r="AN552" s="235">
        <v>79</v>
      </c>
      <c r="AO552" s="242">
        <v>42083</v>
      </c>
      <c r="AP552" s="235">
        <v>113</v>
      </c>
      <c r="AQ552" s="242">
        <v>42117</v>
      </c>
      <c r="AR552" s="136">
        <v>141</v>
      </c>
      <c r="AS552" s="297">
        <f t="shared" si="288"/>
        <v>141</v>
      </c>
      <c r="AT552" s="290">
        <v>42145</v>
      </c>
      <c r="AU552" s="298"/>
      <c r="BF552" s="282">
        <v>1.4179879426956177</v>
      </c>
      <c r="BG552" s="283">
        <v>42235</v>
      </c>
      <c r="BL552" s="296">
        <v>61.657745361328125</v>
      </c>
      <c r="BM552" s="283">
        <v>42235</v>
      </c>
      <c r="BP552" s="282">
        <v>3.1660799980163574</v>
      </c>
      <c r="BQ552" s="283">
        <v>42235</v>
      </c>
      <c r="BR552" s="282">
        <v>46.616127014160156</v>
      </c>
      <c r="BS552" s="283">
        <v>42235</v>
      </c>
      <c r="BT552" s="282">
        <v>19.173192977905273</v>
      </c>
      <c r="BU552" s="283">
        <v>42235</v>
      </c>
      <c r="BV552" s="282">
        <v>18.349952697753906</v>
      </c>
      <c r="BW552" s="283">
        <v>42235</v>
      </c>
      <c r="BX552" s="282">
        <v>5.5341720581054687</v>
      </c>
      <c r="BY552" s="283">
        <v>42235</v>
      </c>
      <c r="CB552" s="267">
        <v>3.45</v>
      </c>
      <c r="CD552" s="282">
        <v>5.9999999999999964</v>
      </c>
      <c r="CE552" s="291" t="s">
        <v>8400</v>
      </c>
      <c r="CH552" s="136">
        <v>3</v>
      </c>
      <c r="CI552" s="136">
        <v>6</v>
      </c>
      <c r="CL552" s="136">
        <v>4</v>
      </c>
      <c r="CM552" s="259">
        <v>42161</v>
      </c>
      <c r="CN552" s="137" t="s">
        <v>8406</v>
      </c>
    </row>
    <row r="553" spans="1:93">
      <c r="A553" s="258">
        <v>915</v>
      </c>
      <c r="B553" s="235">
        <v>39</v>
      </c>
      <c r="C553" s="235" t="s">
        <v>7662</v>
      </c>
      <c r="D553" s="235" t="s">
        <v>7492</v>
      </c>
      <c r="E553" s="235" t="s">
        <v>7662</v>
      </c>
      <c r="F553" s="235" t="s">
        <v>8539</v>
      </c>
      <c r="G553" s="235" t="str">
        <f t="shared" si="282"/>
        <v>Rapsodyn</v>
      </c>
      <c r="H553" s="235" t="s">
        <v>267</v>
      </c>
      <c r="I553" s="235">
        <v>1</v>
      </c>
      <c r="J553" s="235">
        <v>9045</v>
      </c>
      <c r="K553" s="235">
        <v>39</v>
      </c>
      <c r="L553" s="235">
        <f t="shared" si="275"/>
        <v>111</v>
      </c>
      <c r="M553" s="235">
        <v>1</v>
      </c>
      <c r="N553" s="235">
        <v>7</v>
      </c>
      <c r="O553" s="248">
        <v>42048</v>
      </c>
      <c r="P553" s="136">
        <v>5.97</v>
      </c>
      <c r="Q553" s="264">
        <v>42204</v>
      </c>
      <c r="V553" s="219">
        <f t="shared" si="283"/>
        <v>18.062029213092714</v>
      </c>
      <c r="X553">
        <v>15.55</v>
      </c>
      <c r="AB553" s="220">
        <f t="shared" si="284"/>
        <v>6.2193655696267856</v>
      </c>
      <c r="AD553" s="221">
        <f t="shared" si="285"/>
        <v>85392.907538920626</v>
      </c>
      <c r="AF553" s="220">
        <f t="shared" si="286"/>
        <v>35.608842443729898</v>
      </c>
      <c r="AH553" s="220">
        <f t="shared" si="287"/>
        <v>39.929179685725387</v>
      </c>
      <c r="AJ553">
        <v>4.17</v>
      </c>
      <c r="AK553" s="285" t="s">
        <v>8400</v>
      </c>
      <c r="AL553" s="260">
        <v>185</v>
      </c>
      <c r="AN553" s="235">
        <v>70</v>
      </c>
      <c r="AO553" s="242">
        <v>42074</v>
      </c>
      <c r="AP553" s="235">
        <v>104</v>
      </c>
      <c r="AQ553" s="242">
        <v>42108</v>
      </c>
      <c r="AR553" s="136">
        <v>131</v>
      </c>
      <c r="AS553" s="297">
        <f t="shared" si="288"/>
        <v>131</v>
      </c>
      <c r="AT553" s="290">
        <v>42135</v>
      </c>
      <c r="AU553" s="298"/>
      <c r="BF553" s="282">
        <v>-0.70673000812530518</v>
      </c>
      <c r="BG553" s="283">
        <v>42235</v>
      </c>
      <c r="BL553" s="296">
        <v>68.27764892578125</v>
      </c>
      <c r="BM553" s="283">
        <v>42235</v>
      </c>
      <c r="BP553" s="282">
        <v>2.6993811130523682</v>
      </c>
      <c r="BQ553" s="283">
        <v>42235</v>
      </c>
      <c r="BR553" s="282">
        <v>50.723438262939453</v>
      </c>
      <c r="BS553" s="283">
        <v>42235</v>
      </c>
      <c r="BT553" s="282">
        <v>17.465789794921875</v>
      </c>
      <c r="BU553" s="283">
        <v>42235</v>
      </c>
      <c r="BV553" s="282">
        <v>16.266794204711914</v>
      </c>
      <c r="BW553" s="283">
        <v>42235</v>
      </c>
      <c r="BX553" s="282">
        <v>5.2316818237304687</v>
      </c>
      <c r="BY553" s="283">
        <v>42235</v>
      </c>
      <c r="CB553" s="267">
        <v>3.57</v>
      </c>
      <c r="CD553" s="282">
        <v>5.3571428571428541</v>
      </c>
      <c r="CE553" s="291" t="s">
        <v>8400</v>
      </c>
      <c r="CH553" s="136">
        <v>2</v>
      </c>
      <c r="CI553" s="136">
        <v>4</v>
      </c>
      <c r="CL553" s="136">
        <v>2</v>
      </c>
      <c r="CM553" s="259">
        <v>42161</v>
      </c>
      <c r="CN553" s="137" t="s">
        <v>8406</v>
      </c>
    </row>
    <row r="554" spans="1:93">
      <c r="A554" s="258">
        <v>916</v>
      </c>
      <c r="B554" s="235">
        <v>40</v>
      </c>
      <c r="C554" s="235" t="s">
        <v>7647</v>
      </c>
      <c r="D554" s="235" t="s">
        <v>7479</v>
      </c>
      <c r="E554" s="235" t="s">
        <v>7647</v>
      </c>
      <c r="F554" s="235" t="s">
        <v>8527</v>
      </c>
      <c r="G554" s="235" t="str">
        <f t="shared" si="282"/>
        <v>Rapsodyn</v>
      </c>
      <c r="H554" s="235" t="s">
        <v>267</v>
      </c>
      <c r="I554" s="235">
        <v>1</v>
      </c>
      <c r="J554" s="235">
        <v>9033</v>
      </c>
      <c r="K554" s="235">
        <v>40</v>
      </c>
      <c r="L554" s="235">
        <f t="shared" si="275"/>
        <v>112</v>
      </c>
      <c r="M554" s="235">
        <v>1</v>
      </c>
      <c r="N554" s="235">
        <v>7</v>
      </c>
      <c r="O554" s="248">
        <v>42048</v>
      </c>
      <c r="P554" s="136">
        <v>4.45</v>
      </c>
      <c r="Q554" s="264">
        <v>42204</v>
      </c>
      <c r="V554" s="219">
        <f t="shared" si="283"/>
        <v>12.075013911256454</v>
      </c>
      <c r="X554">
        <v>15.55</v>
      </c>
      <c r="AB554" s="220">
        <f t="shared" si="284"/>
        <v>5.0476889250350698</v>
      </c>
      <c r="AD554" s="221">
        <f t="shared" si="285"/>
        <v>70288.260845038632</v>
      </c>
      <c r="AF554" s="220">
        <f t="shared" si="286"/>
        <v>26.076944773509336</v>
      </c>
      <c r="AH554" s="220">
        <f t="shared" si="287"/>
        <v>29.240799252645587</v>
      </c>
      <c r="AJ554">
        <v>3.71</v>
      </c>
      <c r="AK554" s="285" t="s">
        <v>8400</v>
      </c>
      <c r="AL554" s="260">
        <v>185</v>
      </c>
      <c r="AN554" s="235">
        <v>72</v>
      </c>
      <c r="AO554" s="242">
        <v>42076</v>
      </c>
      <c r="AP554" s="235">
        <v>110</v>
      </c>
      <c r="AQ554" s="242">
        <v>42114</v>
      </c>
      <c r="AR554" s="136">
        <v>139</v>
      </c>
      <c r="AS554" s="297">
        <f t="shared" si="288"/>
        <v>139</v>
      </c>
      <c r="AT554" s="290">
        <v>42143</v>
      </c>
      <c r="AU554" s="298"/>
      <c r="BF554" s="282">
        <v>-3.7066290378570557</v>
      </c>
      <c r="BG554" s="283">
        <v>42235</v>
      </c>
      <c r="BL554" s="296">
        <v>60.432731628417969</v>
      </c>
      <c r="BM554" s="283">
        <v>42235</v>
      </c>
      <c r="BP554" s="282">
        <v>3.1003720760345459</v>
      </c>
      <c r="BQ554" s="283">
        <v>42235</v>
      </c>
      <c r="BR554" s="282">
        <v>46.305324554443359</v>
      </c>
      <c r="BS554" s="283">
        <v>42235</v>
      </c>
      <c r="BT554" s="282">
        <v>19.356903076171875</v>
      </c>
      <c r="BU554" s="283">
        <v>42235</v>
      </c>
      <c r="BV554" s="282">
        <v>56.46026611328125</v>
      </c>
      <c r="BW554" s="283">
        <v>42235</v>
      </c>
      <c r="BX554" s="282">
        <v>5.7947158813476563</v>
      </c>
      <c r="BY554" s="283">
        <v>42235</v>
      </c>
      <c r="CB554" s="267">
        <v>2.56</v>
      </c>
      <c r="CD554" s="282">
        <v>7.0175438596491295</v>
      </c>
      <c r="CE554" s="291" t="s">
        <v>8400</v>
      </c>
      <c r="CH554" s="136">
        <v>2</v>
      </c>
      <c r="CI554" s="136">
        <v>6</v>
      </c>
      <c r="CL554" s="136">
        <v>4</v>
      </c>
      <c r="CM554" s="259">
        <v>42161</v>
      </c>
      <c r="CN554" s="137" t="s">
        <v>8406</v>
      </c>
    </row>
    <row r="555" spans="1:93">
      <c r="A555" s="258">
        <v>921</v>
      </c>
      <c r="B555" s="235">
        <v>45</v>
      </c>
      <c r="C555" s="235" t="s">
        <v>7679</v>
      </c>
      <c r="D555" s="235" t="s">
        <v>7506</v>
      </c>
      <c r="E555" s="235" t="s">
        <v>7679</v>
      </c>
      <c r="F555" s="235" t="s">
        <v>8432</v>
      </c>
      <c r="G555" s="235" t="str">
        <f t="shared" si="282"/>
        <v>Rapsodyn</v>
      </c>
      <c r="H555" s="235" t="s">
        <v>267</v>
      </c>
      <c r="I555" s="235">
        <v>1</v>
      </c>
      <c r="J555" s="235">
        <v>9061</v>
      </c>
      <c r="K555" s="235">
        <v>45</v>
      </c>
      <c r="L555" s="235">
        <f t="shared" si="275"/>
        <v>117</v>
      </c>
      <c r="M555" s="235">
        <v>1</v>
      </c>
      <c r="N555" s="235">
        <v>7</v>
      </c>
      <c r="O555" s="248">
        <v>42048</v>
      </c>
      <c r="P555" s="136">
        <v>7.08</v>
      </c>
      <c r="Q555" s="264">
        <v>42204</v>
      </c>
      <c r="V555" s="219">
        <f t="shared" si="283"/>
        <v>21.607711315878714</v>
      </c>
      <c r="X555">
        <v>15.55</v>
      </c>
      <c r="AB555" s="220">
        <f t="shared" si="284"/>
        <v>7.2817950878191002</v>
      </c>
      <c r="AD555" s="221">
        <f t="shared" si="285"/>
        <v>99692.216892178098</v>
      </c>
      <c r="AF555" s="220">
        <f t="shared" si="286"/>
        <v>42.967345480528756</v>
      </c>
      <c r="AH555" s="220">
        <f t="shared" si="287"/>
        <v>48.180472617771649</v>
      </c>
      <c r="AJ555">
        <v>4.3099999999999996</v>
      </c>
      <c r="AK555" s="285" t="s">
        <v>8399</v>
      </c>
      <c r="AL555" s="260">
        <v>180</v>
      </c>
      <c r="AN555" s="235">
        <v>70</v>
      </c>
      <c r="AO555" s="242">
        <v>42074</v>
      </c>
      <c r="AP555" s="235">
        <v>106</v>
      </c>
      <c r="AQ555" s="242">
        <v>42110</v>
      </c>
      <c r="AR555" s="136">
        <v>131</v>
      </c>
      <c r="AS555" s="297">
        <f t="shared" si="288"/>
        <v>131</v>
      </c>
      <c r="AT555" s="290">
        <v>42135</v>
      </c>
      <c r="AU555" s="298"/>
      <c r="BF555" s="282">
        <v>-6.7490792274475098</v>
      </c>
      <c r="BG555" s="283">
        <v>42234</v>
      </c>
      <c r="BL555" s="296">
        <v>65.625045776367188</v>
      </c>
      <c r="BM555" s="283">
        <v>42234</v>
      </c>
      <c r="BP555" s="282">
        <v>3.2276198863983154</v>
      </c>
      <c r="BQ555" s="283">
        <v>42234</v>
      </c>
      <c r="BR555" s="282">
        <v>50.288681030273437</v>
      </c>
      <c r="BS555" s="283">
        <v>42234</v>
      </c>
      <c r="BT555" s="282">
        <v>16.947277069091797</v>
      </c>
      <c r="BU555" s="283">
        <v>42234</v>
      </c>
      <c r="BV555" s="282">
        <v>16.336584091186523</v>
      </c>
      <c r="BW555" s="283">
        <v>42234</v>
      </c>
      <c r="BX555" s="282">
        <v>5.2348785400390625</v>
      </c>
      <c r="BY555" s="283">
        <v>42234</v>
      </c>
      <c r="CB555" s="267">
        <v>2.95</v>
      </c>
      <c r="CD555" s="282">
        <v>3.7037037037037068</v>
      </c>
      <c r="CE555" s="291" t="s">
        <v>8399</v>
      </c>
      <c r="CH555" s="136">
        <v>1</v>
      </c>
      <c r="CI555" s="136">
        <v>7</v>
      </c>
      <c r="CL555" s="136">
        <v>2</v>
      </c>
      <c r="CM555" s="259">
        <v>42161</v>
      </c>
      <c r="CO555" s="137" t="s">
        <v>8405</v>
      </c>
    </row>
    <row r="556" spans="1:93">
      <c r="A556" s="258">
        <v>923</v>
      </c>
      <c r="B556" s="235">
        <v>47</v>
      </c>
      <c r="C556" s="235" t="s">
        <v>7805</v>
      </c>
      <c r="D556" s="235" t="s">
        <v>7599</v>
      </c>
      <c r="E556" s="235" t="s">
        <v>7805</v>
      </c>
      <c r="F556" s="235" t="s">
        <v>8579</v>
      </c>
      <c r="G556" s="235" t="str">
        <f t="shared" si="282"/>
        <v>Rapsodyn</v>
      </c>
      <c r="H556" s="235" t="s">
        <v>267</v>
      </c>
      <c r="I556" s="235">
        <v>1</v>
      </c>
      <c r="J556" s="235">
        <v>9176</v>
      </c>
      <c r="K556" s="235">
        <v>47</v>
      </c>
      <c r="L556" s="235">
        <f t="shared" si="275"/>
        <v>119</v>
      </c>
      <c r="M556" s="235">
        <v>1</v>
      </c>
      <c r="N556" s="235">
        <v>5</v>
      </c>
      <c r="O556" s="248">
        <v>42048</v>
      </c>
      <c r="P556" s="136">
        <v>7.04</v>
      </c>
      <c r="Q556" s="264">
        <v>42204</v>
      </c>
      <c r="V556" s="219">
        <f t="shared" si="283"/>
        <v>20.562716123329484</v>
      </c>
      <c r="X556">
        <v>15.55</v>
      </c>
      <c r="AB556" s="220">
        <f t="shared" si="284"/>
        <v>7.1170938408658433</v>
      </c>
      <c r="AD556" s="221">
        <f t="shared" si="285"/>
        <v>90889.603429796363</v>
      </c>
      <c r="AF556" s="220">
        <f t="shared" si="286"/>
        <v>41.990996784565915</v>
      </c>
      <c r="AH556" s="220">
        <f t="shared" si="287"/>
        <v>47.085665827053049</v>
      </c>
      <c r="AJ556">
        <v>4.62</v>
      </c>
      <c r="AK556" s="285" t="s">
        <v>8399</v>
      </c>
      <c r="AL556" s="260">
        <v>160</v>
      </c>
      <c r="AN556" s="235">
        <v>70</v>
      </c>
      <c r="AO556" s="242">
        <v>42074</v>
      </c>
      <c r="AP556" s="235">
        <v>104</v>
      </c>
      <c r="AQ556" s="242">
        <v>42108</v>
      </c>
      <c r="AR556" s="136">
        <v>130</v>
      </c>
      <c r="AS556" s="297">
        <f t="shared" si="288"/>
        <v>130</v>
      </c>
      <c r="AT556" s="290">
        <v>42134</v>
      </c>
      <c r="AU556" s="298"/>
      <c r="BF556" s="282">
        <v>-1.3930950164794922</v>
      </c>
      <c r="BG556" s="283">
        <v>42234</v>
      </c>
      <c r="BL556" s="296">
        <v>63.414653778076172</v>
      </c>
      <c r="BM556" s="283">
        <v>42234</v>
      </c>
      <c r="BP556" s="282">
        <v>3.7942891120910645</v>
      </c>
      <c r="BQ556" s="283">
        <v>42234</v>
      </c>
      <c r="BR556" s="282">
        <v>48.969345092773438</v>
      </c>
      <c r="BS556" s="283">
        <v>42234</v>
      </c>
      <c r="BT556" s="282">
        <v>16.949094772338867</v>
      </c>
      <c r="BU556" s="283">
        <v>42234</v>
      </c>
      <c r="BV556" s="282">
        <v>16.384872436523438</v>
      </c>
      <c r="BW556" s="283">
        <v>42234</v>
      </c>
      <c r="BX556" s="282">
        <v>5.516143798828125</v>
      </c>
      <c r="BY556" s="283">
        <v>42234</v>
      </c>
      <c r="CB556" s="267">
        <v>3.62</v>
      </c>
      <c r="CD556" s="282">
        <v>5.3571428571428541</v>
      </c>
      <c r="CE556" s="291" t="s">
        <v>8399</v>
      </c>
      <c r="CH556" s="136">
        <v>2</v>
      </c>
      <c r="CI556" s="136">
        <v>3</v>
      </c>
      <c r="CL556" s="136">
        <v>1</v>
      </c>
      <c r="CM556" s="259">
        <v>42161</v>
      </c>
      <c r="CN556" s="137" t="s">
        <v>8406</v>
      </c>
    </row>
    <row r="557" spans="1:93">
      <c r="A557" s="258">
        <v>925</v>
      </c>
      <c r="B557" s="235">
        <v>49</v>
      </c>
      <c r="C557" s="235" t="s">
        <v>7772</v>
      </c>
      <c r="D557" s="235" t="s">
        <v>7570</v>
      </c>
      <c r="E557" s="235" t="s">
        <v>7772</v>
      </c>
      <c r="F557" s="235" t="s">
        <v>8486</v>
      </c>
      <c r="G557" s="235" t="str">
        <f t="shared" si="282"/>
        <v>Rapsodyn</v>
      </c>
      <c r="H557" s="235" t="s">
        <v>267</v>
      </c>
      <c r="I557" s="235">
        <v>1</v>
      </c>
      <c r="J557" s="235">
        <v>9143</v>
      </c>
      <c r="K557" s="235">
        <v>49</v>
      </c>
      <c r="L557" s="235">
        <f t="shared" si="275"/>
        <v>121</v>
      </c>
      <c r="M557" s="235">
        <v>1</v>
      </c>
      <c r="N557" s="235">
        <v>7</v>
      </c>
      <c r="O557" s="248">
        <v>42048</v>
      </c>
      <c r="P557" s="136">
        <v>6.5</v>
      </c>
      <c r="Q557" s="264">
        <v>42204</v>
      </c>
      <c r="V557" s="219">
        <f t="shared" si="283"/>
        <v>19.107285695561128</v>
      </c>
      <c r="X557">
        <v>15.55</v>
      </c>
      <c r="AB557" s="220">
        <f t="shared" si="284"/>
        <v>6.296407053264204</v>
      </c>
      <c r="AD557" s="221">
        <f t="shared" si="285"/>
        <v>88076.651207939402</v>
      </c>
      <c r="AF557" s="220">
        <f t="shared" si="286"/>
        <v>37.872960019413945</v>
      </c>
      <c r="AH557" s="220">
        <f t="shared" si="287"/>
        <v>42.467997330583025</v>
      </c>
      <c r="AJ557">
        <v>4.3</v>
      </c>
      <c r="AK557" s="285" t="s">
        <v>8400</v>
      </c>
      <c r="AL557" s="260">
        <v>180</v>
      </c>
      <c r="AN557" s="235">
        <v>70</v>
      </c>
      <c r="AO557" s="242">
        <v>42074</v>
      </c>
      <c r="AP557" s="235">
        <v>106</v>
      </c>
      <c r="AQ557" s="242">
        <v>42110</v>
      </c>
      <c r="AR557" s="136">
        <v>133</v>
      </c>
      <c r="AS557" s="297">
        <f t="shared" si="288"/>
        <v>133</v>
      </c>
      <c r="AT557" s="290">
        <v>42137</v>
      </c>
      <c r="AU557" s="298"/>
      <c r="BF557" s="282">
        <v>0.11375600099563599</v>
      </c>
      <c r="BG557" s="283">
        <v>42234</v>
      </c>
      <c r="BL557" s="296">
        <v>63.983821868896484</v>
      </c>
      <c r="BM557" s="283">
        <v>42234</v>
      </c>
      <c r="BP557" s="282">
        <v>4.0644140243530273</v>
      </c>
      <c r="BQ557" s="283">
        <v>42234</v>
      </c>
      <c r="BR557" s="282">
        <v>50.450996398925781</v>
      </c>
      <c r="BS557" s="283">
        <v>42234</v>
      </c>
      <c r="BT557" s="282">
        <v>16.625072479248047</v>
      </c>
      <c r="BU557" s="283">
        <v>42234</v>
      </c>
      <c r="BV557" s="282">
        <v>13.744174003601074</v>
      </c>
      <c r="BW557" s="283">
        <v>42234</v>
      </c>
      <c r="BX557" s="282">
        <v>5.3937835693359375</v>
      </c>
      <c r="BY557" s="283">
        <v>42234</v>
      </c>
      <c r="CB557" s="267">
        <v>4.0999999999999996</v>
      </c>
      <c r="CD557" s="282">
        <v>7.547169811320745</v>
      </c>
      <c r="CE557" s="291" t="s">
        <v>8400</v>
      </c>
      <c r="CH557" s="136">
        <v>2</v>
      </c>
      <c r="CI557" s="136">
        <v>4</v>
      </c>
      <c r="CL557" s="136">
        <v>1</v>
      </c>
      <c r="CM557" s="259">
        <v>42161</v>
      </c>
      <c r="CN557" s="137" t="s">
        <v>8406</v>
      </c>
    </row>
    <row r="558" spans="1:93">
      <c r="A558" s="258">
        <v>926</v>
      </c>
      <c r="B558" s="235">
        <v>50</v>
      </c>
      <c r="C558" s="235" t="s">
        <v>7652</v>
      </c>
      <c r="D558" s="235" t="s">
        <v>7483</v>
      </c>
      <c r="E558" s="235" t="s">
        <v>7652</v>
      </c>
      <c r="F558" s="235" t="s">
        <v>8621</v>
      </c>
      <c r="G558" s="235" t="str">
        <f t="shared" si="282"/>
        <v>Rapsodyn</v>
      </c>
      <c r="H558" s="235" t="s">
        <v>267</v>
      </c>
      <c r="I558" s="235">
        <v>1</v>
      </c>
      <c r="J558" s="235">
        <v>9036</v>
      </c>
      <c r="K558" s="235">
        <v>50</v>
      </c>
      <c r="L558" s="235">
        <f t="shared" si="275"/>
        <v>122</v>
      </c>
      <c r="M558" s="235">
        <v>1</v>
      </c>
      <c r="N558" s="235">
        <v>7</v>
      </c>
      <c r="O558" s="248">
        <v>42048</v>
      </c>
      <c r="P558" s="136">
        <v>4.95</v>
      </c>
      <c r="Q558" s="264">
        <v>42204</v>
      </c>
      <c r="V558" s="219">
        <f t="shared" si="283"/>
        <v>13.334581254536628</v>
      </c>
      <c r="X558">
        <v>15.55</v>
      </c>
      <c r="AB558" s="220">
        <f t="shared" si="284"/>
        <v>5.6622061689266108</v>
      </c>
      <c r="AD558" s="221">
        <f t="shared" si="285"/>
        <v>61235.065195524759</v>
      </c>
      <c r="AF558" s="220">
        <f t="shared" si="286"/>
        <v>28.84171570709216</v>
      </c>
      <c r="AH558" s="220">
        <f t="shared" si="287"/>
        <v>32.341013351751691</v>
      </c>
      <c r="AJ558">
        <v>4.71</v>
      </c>
      <c r="AK558" s="285" t="s">
        <v>8399</v>
      </c>
      <c r="AL558" s="260">
        <v>160</v>
      </c>
      <c r="AN558" s="235">
        <v>75</v>
      </c>
      <c r="AO558" s="242">
        <v>42079</v>
      </c>
      <c r="AP558" s="235">
        <v>104</v>
      </c>
      <c r="AQ558" s="242">
        <v>42108</v>
      </c>
      <c r="AR558" s="136">
        <v>133</v>
      </c>
      <c r="AS558" s="297">
        <f t="shared" si="288"/>
        <v>133</v>
      </c>
      <c r="AT558" s="290">
        <v>42137</v>
      </c>
      <c r="AU558" s="298"/>
      <c r="BF558" s="282">
        <v>-3.2132279872894287</v>
      </c>
      <c r="BG558" s="283">
        <v>42234</v>
      </c>
      <c r="BL558" s="296">
        <v>62.220539093017578</v>
      </c>
      <c r="BM558" s="283">
        <v>42234</v>
      </c>
      <c r="BP558" s="282">
        <v>3.7102859020233154</v>
      </c>
      <c r="BQ558" s="283">
        <v>42234</v>
      </c>
      <c r="BR558" s="282">
        <v>46.233661651611328</v>
      </c>
      <c r="BS558" s="283">
        <v>42234</v>
      </c>
      <c r="BT558" s="282">
        <v>19.632001876831055</v>
      </c>
      <c r="BU558" s="283">
        <v>42234</v>
      </c>
      <c r="BV558" s="282">
        <v>57.712203979492188</v>
      </c>
      <c r="BW558" s="283">
        <v>42234</v>
      </c>
      <c r="BX558" s="282">
        <v>5.7318115234375</v>
      </c>
      <c r="BY558" s="283">
        <v>42234</v>
      </c>
      <c r="CB558" s="267">
        <v>3.56</v>
      </c>
      <c r="CD558" s="282">
        <v>7.547169811320745</v>
      </c>
      <c r="CE558" s="291" t="s">
        <v>8399</v>
      </c>
      <c r="CH558" s="136">
        <v>3</v>
      </c>
      <c r="CI558" s="136">
        <v>4</v>
      </c>
      <c r="CL558" s="136">
        <v>4</v>
      </c>
      <c r="CM558" s="259">
        <v>42161</v>
      </c>
      <c r="CN558" s="137" t="s">
        <v>8406</v>
      </c>
    </row>
    <row r="559" spans="1:93">
      <c r="A559" s="258">
        <v>927</v>
      </c>
      <c r="B559" s="235">
        <v>51</v>
      </c>
      <c r="C559" s="235" t="s">
        <v>7576</v>
      </c>
      <c r="D559" s="235"/>
      <c r="E559" s="235"/>
      <c r="F559" s="235"/>
      <c r="G559" s="235"/>
      <c r="H559" s="235" t="s">
        <v>267</v>
      </c>
      <c r="I559" s="235">
        <v>1</v>
      </c>
      <c r="K559" s="235">
        <v>51</v>
      </c>
      <c r="L559" s="235">
        <f t="shared" si="275"/>
        <v>123</v>
      </c>
      <c r="M559" s="235">
        <v>1</v>
      </c>
      <c r="O559" s="248">
        <v>42048</v>
      </c>
      <c r="V559" s="219"/>
      <c r="X559">
        <v>15.55</v>
      </c>
      <c r="AB559" s="220"/>
      <c r="AD559" s="221"/>
      <c r="AF559" s="220"/>
      <c r="AH559" s="220"/>
      <c r="AJ559" s="286"/>
      <c r="AK559" s="285"/>
      <c r="AL559" s="260"/>
      <c r="AN559" s="235">
        <v>70</v>
      </c>
      <c r="AO559" s="242">
        <v>42074</v>
      </c>
      <c r="AP559" s="235">
        <v>106</v>
      </c>
      <c r="AQ559" s="242">
        <v>42110</v>
      </c>
      <c r="AS559" s="297"/>
      <c r="AT559" s="290"/>
      <c r="AU559" s="298"/>
      <c r="BF559" s="282"/>
      <c r="BG559" s="235"/>
      <c r="BL559" s="296"/>
      <c r="BM559" s="235"/>
      <c r="BP559" s="282"/>
      <c r="BQ559" s="235"/>
      <c r="BR559" s="282"/>
      <c r="BS559" s="235"/>
      <c r="BT559" s="282"/>
      <c r="BU559" s="235"/>
      <c r="BV559" s="282"/>
      <c r="BW559" s="235"/>
      <c r="BX559" s="282"/>
      <c r="BY559" s="235"/>
      <c r="CB559" s="267"/>
      <c r="CD559" s="282"/>
      <c r="CE559" s="291"/>
      <c r="CL559" s="136">
        <v>2</v>
      </c>
      <c r="CM559" s="259">
        <v>42161</v>
      </c>
    </row>
    <row r="560" spans="1:93">
      <c r="A560" s="258">
        <v>928</v>
      </c>
      <c r="B560" s="235">
        <v>52</v>
      </c>
      <c r="C560" s="235" t="s">
        <v>7576</v>
      </c>
      <c r="D560" s="235"/>
      <c r="E560" s="235"/>
      <c r="F560" s="235"/>
      <c r="G560" s="235"/>
      <c r="H560" s="235" t="s">
        <v>267</v>
      </c>
      <c r="I560" s="235">
        <v>1</v>
      </c>
      <c r="K560" s="235">
        <v>52</v>
      </c>
      <c r="L560" s="235">
        <f t="shared" si="275"/>
        <v>124</v>
      </c>
      <c r="M560" s="235">
        <v>1</v>
      </c>
      <c r="O560" s="248">
        <v>42048</v>
      </c>
      <c r="V560" s="219"/>
      <c r="X560">
        <v>15.55</v>
      </c>
      <c r="AB560" s="220"/>
      <c r="AD560" s="221"/>
      <c r="AF560" s="220"/>
      <c r="AH560" s="220"/>
      <c r="AJ560" s="286"/>
      <c r="AK560" s="285"/>
      <c r="AL560" s="260"/>
      <c r="AN560" s="235">
        <v>70</v>
      </c>
      <c r="AO560" s="242">
        <v>42074</v>
      </c>
      <c r="AP560" s="235">
        <v>106</v>
      </c>
      <c r="AQ560" s="242">
        <v>42110</v>
      </c>
      <c r="AS560" s="297"/>
      <c r="AT560" s="290"/>
      <c r="AU560" s="298"/>
      <c r="BF560" s="282"/>
      <c r="BG560" s="235"/>
      <c r="BL560" s="296"/>
      <c r="BM560" s="235"/>
      <c r="BP560" s="282"/>
      <c r="BQ560" s="235"/>
      <c r="BR560" s="282"/>
      <c r="BS560" s="235"/>
      <c r="BT560" s="282"/>
      <c r="BU560" s="235"/>
      <c r="BV560" s="282"/>
      <c r="BW560" s="235"/>
      <c r="BX560" s="282"/>
      <c r="BY560" s="235"/>
      <c r="CB560" s="267"/>
      <c r="CD560" s="282"/>
      <c r="CE560" s="291"/>
      <c r="CL560" s="136">
        <v>3</v>
      </c>
      <c r="CM560" s="259">
        <v>42161</v>
      </c>
    </row>
    <row r="561" spans="1:93">
      <c r="A561" s="258">
        <v>930</v>
      </c>
      <c r="B561" s="235">
        <v>54</v>
      </c>
      <c r="C561" s="235" t="s">
        <v>7617</v>
      </c>
      <c r="D561" s="235" t="s">
        <v>7454</v>
      </c>
      <c r="E561" s="235" t="s">
        <v>7617</v>
      </c>
      <c r="F561" s="235" t="s">
        <v>8506</v>
      </c>
      <c r="G561" s="235" t="str">
        <f t="shared" ref="G561:G568" si="289">IF(MID(C561,1,3)="BGA","Complement","Rapsodyn")</f>
        <v>Rapsodyn</v>
      </c>
      <c r="H561" s="235" t="s">
        <v>267</v>
      </c>
      <c r="I561" s="235">
        <v>1</v>
      </c>
      <c r="J561" s="235">
        <v>9010</v>
      </c>
      <c r="K561" s="235">
        <v>54</v>
      </c>
      <c r="L561" s="235">
        <f t="shared" si="275"/>
        <v>126</v>
      </c>
      <c r="M561" s="235">
        <v>1</v>
      </c>
      <c r="N561" s="235">
        <v>9</v>
      </c>
      <c r="O561" s="248">
        <v>42048</v>
      </c>
      <c r="P561" s="136">
        <v>4.28</v>
      </c>
      <c r="Q561" s="264">
        <v>42204</v>
      </c>
      <c r="V561" s="219">
        <f t="shared" ref="V561:V568" si="290">+BR561*AF561/100</f>
        <v>12.187563588572186</v>
      </c>
      <c r="X561">
        <v>15.55</v>
      </c>
      <c r="AB561" s="220">
        <f t="shared" ref="AB561:AB568" si="291">+AF561*BT561/100</f>
        <v>5.4318706081336803</v>
      </c>
      <c r="AD561" s="221">
        <f t="shared" ref="AD561:AD568" si="292">+(AF561/AJ561)*10000</f>
        <v>64205.951061790598</v>
      </c>
      <c r="AF561" s="220">
        <f t="shared" ref="AF561:AF568" si="293">($P561/$X561)*(((100-$CD561)/100*(100-2)/100))*100</f>
        <v>25.553968522592658</v>
      </c>
      <c r="AH561" s="220">
        <f t="shared" ref="AH561:AH568" si="294">($P561/$X561)*(((100-$CD561)/(100-9)*(100-2)/(100-2))*100)</f>
        <v>28.65437152118486</v>
      </c>
      <c r="AJ561">
        <v>3.98</v>
      </c>
      <c r="AK561" s="285" t="s">
        <v>8399</v>
      </c>
      <c r="AL561" s="260">
        <v>150</v>
      </c>
      <c r="AN561" s="235">
        <v>72</v>
      </c>
      <c r="AO561" s="242">
        <v>42076</v>
      </c>
      <c r="AP561" s="235">
        <v>104</v>
      </c>
      <c r="AQ561" s="242">
        <v>42108</v>
      </c>
      <c r="AR561" s="136">
        <v>131</v>
      </c>
      <c r="AS561" s="297">
        <f t="shared" ref="AS561:AS568" si="295">IF(AR561=0,,AR561)</f>
        <v>131</v>
      </c>
      <c r="AT561" s="290">
        <v>42135</v>
      </c>
      <c r="AU561" s="298"/>
      <c r="BF561" s="282">
        <v>43.052150726318359</v>
      </c>
      <c r="BG561" s="283">
        <v>42234</v>
      </c>
      <c r="BL561" s="296">
        <v>58.334869384765625</v>
      </c>
      <c r="BM561" s="283">
        <v>42234</v>
      </c>
      <c r="BP561" s="282">
        <v>2.6467950344085693</v>
      </c>
      <c r="BQ561" s="283">
        <v>42234</v>
      </c>
      <c r="BR561" s="282">
        <v>47.693428039550781</v>
      </c>
      <c r="BS561" s="283">
        <v>42234</v>
      </c>
      <c r="BT561" s="282">
        <v>21.256465911865234</v>
      </c>
      <c r="BU561" s="283">
        <v>42234</v>
      </c>
      <c r="BV561" s="282">
        <v>62.925765991210938</v>
      </c>
      <c r="BW561" s="283">
        <v>42234</v>
      </c>
      <c r="BX561" s="282">
        <v>5.4006423950195312</v>
      </c>
      <c r="BY561" s="283">
        <v>42234</v>
      </c>
      <c r="CB561" s="267">
        <v>3.33</v>
      </c>
      <c r="CD561" s="282">
        <v>5.2631578947368389</v>
      </c>
      <c r="CE561" s="291" t="s">
        <v>8399</v>
      </c>
      <c r="CH561" s="136">
        <v>1</v>
      </c>
      <c r="CI561" s="136">
        <v>7</v>
      </c>
      <c r="CL561" s="136">
        <v>1</v>
      </c>
      <c r="CM561" s="259">
        <v>42161</v>
      </c>
      <c r="CO561" s="137" t="s">
        <v>8405</v>
      </c>
    </row>
    <row r="562" spans="1:93">
      <c r="A562" s="258">
        <v>931</v>
      </c>
      <c r="B562" s="236">
        <v>55</v>
      </c>
      <c r="C562" s="236" t="s">
        <v>7610</v>
      </c>
      <c r="D562" s="236" t="s">
        <v>7812</v>
      </c>
      <c r="E562" s="236" t="s">
        <v>7610</v>
      </c>
      <c r="F562" s="236" t="s">
        <v>8439</v>
      </c>
      <c r="G562" s="235" t="str">
        <f t="shared" si="289"/>
        <v>Rapsodyn</v>
      </c>
      <c r="H562" s="235" t="s">
        <v>267</v>
      </c>
      <c r="I562" s="235">
        <v>1</v>
      </c>
      <c r="J562" s="236">
        <v>9005</v>
      </c>
      <c r="K562" s="236">
        <v>55</v>
      </c>
      <c r="L562" s="235">
        <f t="shared" si="275"/>
        <v>127</v>
      </c>
      <c r="M562" s="236">
        <v>1</v>
      </c>
      <c r="N562" s="236">
        <v>9</v>
      </c>
      <c r="O562" s="248">
        <v>42048</v>
      </c>
      <c r="P562" s="136">
        <v>2.35</v>
      </c>
      <c r="Q562" s="264">
        <v>42204</v>
      </c>
      <c r="V562" s="219">
        <f t="shared" si="290"/>
        <v>6.7522750774763782</v>
      </c>
      <c r="X562">
        <v>15.55</v>
      </c>
      <c r="AB562" s="220">
        <f t="shared" si="291"/>
        <v>2.813508474735408</v>
      </c>
      <c r="AD562" s="221">
        <f t="shared" si="292"/>
        <v>29854.639149063707</v>
      </c>
      <c r="AF562" s="220">
        <f t="shared" si="293"/>
        <v>14.240662874103387</v>
      </c>
      <c r="AH562" s="220">
        <f t="shared" si="294"/>
        <v>15.968449062686014</v>
      </c>
      <c r="AJ562">
        <v>4.7699999999999996</v>
      </c>
      <c r="AK562" s="285" t="s">
        <v>8399</v>
      </c>
      <c r="AL562" s="260">
        <v>160</v>
      </c>
      <c r="AN562" s="235">
        <v>61</v>
      </c>
      <c r="AO562" s="243">
        <v>42065</v>
      </c>
      <c r="AP562" s="235">
        <v>100</v>
      </c>
      <c r="AQ562" s="242">
        <v>42104</v>
      </c>
      <c r="AR562" s="136">
        <v>125</v>
      </c>
      <c r="AS562" s="297">
        <f t="shared" si="295"/>
        <v>125</v>
      </c>
      <c r="AT562" s="290">
        <v>42129</v>
      </c>
      <c r="AU562" s="298"/>
      <c r="BF562" s="282">
        <v>27.214687347412109</v>
      </c>
      <c r="BG562" s="283">
        <v>42234</v>
      </c>
      <c r="BL562" s="296">
        <v>59.515224456787109</v>
      </c>
      <c r="BM562" s="283">
        <v>42234</v>
      </c>
      <c r="BP562" s="282">
        <v>3.0692980289459229</v>
      </c>
      <c r="BQ562" s="283">
        <v>42234</v>
      </c>
      <c r="BR562" s="282">
        <v>47.415454864501953</v>
      </c>
      <c r="BS562" s="283">
        <v>42234</v>
      </c>
      <c r="BT562" s="282">
        <v>19.756864547729492</v>
      </c>
      <c r="BU562" s="283">
        <v>42234</v>
      </c>
      <c r="BV562" s="282">
        <v>51.119163513183594</v>
      </c>
      <c r="BW562" s="283">
        <v>42234</v>
      </c>
      <c r="BX562" s="282">
        <v>5.5814208984375</v>
      </c>
      <c r="BY562" s="283">
        <v>42234</v>
      </c>
      <c r="CB562" s="267">
        <v>2.94</v>
      </c>
      <c r="CD562" s="282">
        <v>3.8461538461538494</v>
      </c>
      <c r="CE562" s="291" t="s">
        <v>8399</v>
      </c>
      <c r="CH562" s="136">
        <v>3</v>
      </c>
      <c r="CI562" s="136">
        <v>8</v>
      </c>
      <c r="CL562" s="136">
        <v>6</v>
      </c>
      <c r="CM562" s="259">
        <v>42161</v>
      </c>
      <c r="CO562" s="137" t="s">
        <v>8405</v>
      </c>
    </row>
    <row r="563" spans="1:93">
      <c r="A563" s="258">
        <v>938</v>
      </c>
      <c r="B563" s="235">
        <v>62</v>
      </c>
      <c r="C563" s="235" t="s">
        <v>7795</v>
      </c>
      <c r="D563" s="235" t="s">
        <v>7593</v>
      </c>
      <c r="E563" s="235" t="s">
        <v>7795</v>
      </c>
      <c r="F563" s="235" t="s">
        <v>8488</v>
      </c>
      <c r="G563" s="235" t="str">
        <f t="shared" si="289"/>
        <v>Rapsodyn</v>
      </c>
      <c r="H563" s="235" t="s">
        <v>267</v>
      </c>
      <c r="I563" s="235">
        <v>1</v>
      </c>
      <c r="J563" s="235">
        <v>9166</v>
      </c>
      <c r="K563" s="235">
        <v>62</v>
      </c>
      <c r="L563" s="235">
        <f t="shared" si="275"/>
        <v>134</v>
      </c>
      <c r="M563" s="235">
        <v>1</v>
      </c>
      <c r="N563" s="235">
        <v>7</v>
      </c>
      <c r="O563" s="248">
        <v>42048</v>
      </c>
      <c r="P563" s="136">
        <v>6.28</v>
      </c>
      <c r="Q563" s="264">
        <v>42204</v>
      </c>
      <c r="V563" s="219">
        <f t="shared" si="290"/>
        <v>19.320046237369063</v>
      </c>
      <c r="X563">
        <v>15.55</v>
      </c>
      <c r="AB563" s="220">
        <f t="shared" si="291"/>
        <v>6.4147316458110275</v>
      </c>
      <c r="AD563" s="221">
        <f t="shared" si="292"/>
        <v>82607.424729611244</v>
      </c>
      <c r="AF563" s="220">
        <f t="shared" si="293"/>
        <v>38.164630225080394</v>
      </c>
      <c r="AH563" s="220">
        <f t="shared" si="294"/>
        <v>42.795055197443808</v>
      </c>
      <c r="AJ563">
        <v>4.62</v>
      </c>
      <c r="AK563" s="285" t="s">
        <v>8402</v>
      </c>
      <c r="AL563" s="260">
        <v>150</v>
      </c>
      <c r="AN563" s="235">
        <v>72</v>
      </c>
      <c r="AO563" s="242">
        <v>42076</v>
      </c>
      <c r="AP563" s="235">
        <v>104</v>
      </c>
      <c r="AQ563" s="242">
        <v>42108</v>
      </c>
      <c r="AR563" s="136">
        <v>127</v>
      </c>
      <c r="AS563" s="297">
        <f t="shared" si="295"/>
        <v>127</v>
      </c>
      <c r="AT563" s="290">
        <v>42131</v>
      </c>
      <c r="AU563" s="298"/>
      <c r="BF563" s="282">
        <v>-5.2609901428222656</v>
      </c>
      <c r="BG563" s="283">
        <v>42234</v>
      </c>
      <c r="BL563" s="296">
        <v>67.052154541015625</v>
      </c>
      <c r="BM563" s="283">
        <v>42234</v>
      </c>
      <c r="BP563" s="282">
        <v>4.2163171768188477</v>
      </c>
      <c r="BQ563" s="283">
        <v>42234</v>
      </c>
      <c r="BR563" s="282">
        <v>50.622909545898438</v>
      </c>
      <c r="BS563" s="283">
        <v>42234</v>
      </c>
      <c r="BT563" s="282">
        <v>16.808053970336914</v>
      </c>
      <c r="BU563" s="283">
        <v>42234</v>
      </c>
      <c r="BV563" s="282">
        <v>10.924888610839844</v>
      </c>
      <c r="BW563" s="283">
        <v>42234</v>
      </c>
      <c r="BX563" s="282">
        <v>5.436187744140625</v>
      </c>
      <c r="BY563" s="283">
        <v>42234</v>
      </c>
      <c r="CB563" s="267">
        <v>3.41</v>
      </c>
      <c r="CD563" s="282">
        <v>3.5714285714285587</v>
      </c>
      <c r="CE563" s="291" t="s">
        <v>8402</v>
      </c>
      <c r="CH563" s="136">
        <v>2</v>
      </c>
      <c r="CI563" s="136">
        <v>3</v>
      </c>
      <c r="CL563" s="136">
        <v>1</v>
      </c>
      <c r="CM563" s="259">
        <v>42161</v>
      </c>
      <c r="CN563" s="137" t="s">
        <v>8406</v>
      </c>
    </row>
    <row r="564" spans="1:93">
      <c r="A564" s="258">
        <v>940</v>
      </c>
      <c r="B564" s="235">
        <v>64</v>
      </c>
      <c r="C564" s="235" t="s">
        <v>7770</v>
      </c>
      <c r="D564" s="235" t="s">
        <v>7568</v>
      </c>
      <c r="E564" s="235" t="s">
        <v>7770</v>
      </c>
      <c r="F564" s="235" t="s">
        <v>8492</v>
      </c>
      <c r="G564" s="235" t="str">
        <f t="shared" si="289"/>
        <v>Rapsodyn</v>
      </c>
      <c r="H564" s="235" t="s">
        <v>267</v>
      </c>
      <c r="I564" s="235">
        <v>1</v>
      </c>
      <c r="J564" s="235">
        <v>9141</v>
      </c>
      <c r="K564" s="235">
        <v>64</v>
      </c>
      <c r="L564" s="235">
        <f t="shared" si="275"/>
        <v>136</v>
      </c>
      <c r="M564" s="235">
        <v>1</v>
      </c>
      <c r="N564" s="235">
        <v>7</v>
      </c>
      <c r="O564" s="248">
        <v>42048</v>
      </c>
      <c r="P564" s="136">
        <v>6.45</v>
      </c>
      <c r="Q564" s="264">
        <v>42204</v>
      </c>
      <c r="V564" s="219">
        <f t="shared" si="290"/>
        <v>20.085811758098668</v>
      </c>
      <c r="X564">
        <v>15.55</v>
      </c>
      <c r="AB564" s="220">
        <f t="shared" si="291"/>
        <v>6.7320501382664961</v>
      </c>
      <c r="AD564" s="221">
        <f t="shared" si="292"/>
        <v>80733.898083192587</v>
      </c>
      <c r="AF564" s="220">
        <f t="shared" si="293"/>
        <v>39.882545653097139</v>
      </c>
      <c r="AH564" s="220">
        <f t="shared" si="294"/>
        <v>44.721401270573153</v>
      </c>
      <c r="AJ564">
        <v>4.9400000000000004</v>
      </c>
      <c r="AK564" s="285" t="s">
        <v>8401</v>
      </c>
      <c r="AL564" s="260">
        <v>175</v>
      </c>
      <c r="AN564" s="235">
        <v>70</v>
      </c>
      <c r="AO564" s="242">
        <v>42074</v>
      </c>
      <c r="AP564" s="235">
        <v>106</v>
      </c>
      <c r="AQ564" s="242">
        <v>42110</v>
      </c>
      <c r="AR564" s="136">
        <v>127</v>
      </c>
      <c r="AS564" s="297">
        <f t="shared" si="295"/>
        <v>127</v>
      </c>
      <c r="AT564" s="290">
        <v>42131</v>
      </c>
      <c r="AU564" s="298"/>
      <c r="BF564" s="282">
        <v>-4.1257991790771484</v>
      </c>
      <c r="BG564" s="283">
        <v>42234</v>
      </c>
      <c r="BL564" s="296">
        <v>65.7952880859375</v>
      </c>
      <c r="BM564" s="283">
        <v>42234</v>
      </c>
      <c r="BP564" s="282">
        <v>3.9661030769348145</v>
      </c>
      <c r="BQ564" s="283">
        <v>42234</v>
      </c>
      <c r="BR564" s="282">
        <v>50.362411499023437</v>
      </c>
      <c r="BS564" s="283">
        <v>42234</v>
      </c>
      <c r="BT564" s="282">
        <v>16.879690170288086</v>
      </c>
      <c r="BU564" s="283">
        <v>42234</v>
      </c>
      <c r="BV564" s="282">
        <v>12.701678276062012</v>
      </c>
      <c r="BW564" s="283">
        <v>42234</v>
      </c>
      <c r="BX564" s="282">
        <v>5.237884521484375</v>
      </c>
      <c r="BY564" s="283">
        <v>42234</v>
      </c>
      <c r="CB564" s="267">
        <v>3.79</v>
      </c>
      <c r="CD564" s="282">
        <v>1.886792452830182</v>
      </c>
      <c r="CE564" s="291" t="s">
        <v>8401</v>
      </c>
      <c r="CH564" s="136">
        <v>3</v>
      </c>
      <c r="CI564" s="136">
        <v>3</v>
      </c>
      <c r="CL564" s="136">
        <v>3</v>
      </c>
      <c r="CM564" s="259">
        <v>42161</v>
      </c>
      <c r="CN564" s="137" t="s">
        <v>8406</v>
      </c>
    </row>
    <row r="565" spans="1:93">
      <c r="A565" s="258">
        <v>942</v>
      </c>
      <c r="B565" s="235">
        <v>66</v>
      </c>
      <c r="C565" s="235" t="s">
        <v>7758</v>
      </c>
      <c r="D565" s="235" t="s">
        <v>8423</v>
      </c>
      <c r="E565" s="235" t="s">
        <v>7758</v>
      </c>
      <c r="F565" s="235" t="s">
        <v>8556</v>
      </c>
      <c r="G565" s="235" t="str">
        <f t="shared" si="289"/>
        <v>Rapsodyn</v>
      </c>
      <c r="H565" s="235" t="s">
        <v>267</v>
      </c>
      <c r="I565" s="235">
        <v>1</v>
      </c>
      <c r="J565" s="235">
        <v>9129</v>
      </c>
      <c r="K565" s="235">
        <v>66</v>
      </c>
      <c r="L565" s="235">
        <f t="shared" ref="L565:L604" si="296">72+K565</f>
        <v>138</v>
      </c>
      <c r="M565" s="235">
        <v>1</v>
      </c>
      <c r="N565" s="235">
        <v>7</v>
      </c>
      <c r="O565" s="248">
        <v>42048</v>
      </c>
      <c r="P565" s="136">
        <v>6.68</v>
      </c>
      <c r="Q565" s="264">
        <v>42204</v>
      </c>
      <c r="V565" s="219">
        <f t="shared" si="290"/>
        <v>19.793338685905415</v>
      </c>
      <c r="X565">
        <v>15.55</v>
      </c>
      <c r="AB565" s="220">
        <f t="shared" si="291"/>
        <v>7.4130955010791864</v>
      </c>
      <c r="AD565" s="221">
        <f t="shared" si="292"/>
        <v>88698.708933587419</v>
      </c>
      <c r="AF565" s="220">
        <f t="shared" si="293"/>
        <v>41.333598363051742</v>
      </c>
      <c r="AH565" s="220">
        <f t="shared" si="294"/>
        <v>46.348506798667572</v>
      </c>
      <c r="AJ565">
        <v>4.66</v>
      </c>
      <c r="AK565" s="285" t="s">
        <v>8399</v>
      </c>
      <c r="AL565" s="260">
        <v>165</v>
      </c>
      <c r="AN565" s="235">
        <v>79</v>
      </c>
      <c r="AO565" s="242">
        <v>42083</v>
      </c>
      <c r="AP565" s="235">
        <v>106</v>
      </c>
      <c r="AQ565" s="242">
        <v>42110</v>
      </c>
      <c r="AR565" s="136">
        <v>132</v>
      </c>
      <c r="AS565" s="297">
        <f t="shared" si="295"/>
        <v>132</v>
      </c>
      <c r="AT565" s="290">
        <v>42136</v>
      </c>
      <c r="AU565" s="298"/>
      <c r="BF565" s="282">
        <v>-0.63245999813079834</v>
      </c>
      <c r="BG565" s="283">
        <v>42235</v>
      </c>
      <c r="BL565" s="296">
        <v>58.969493865966797</v>
      </c>
      <c r="BM565" s="283">
        <v>42235</v>
      </c>
      <c r="BP565" s="282">
        <v>3.4860050678253174</v>
      </c>
      <c r="BQ565" s="283">
        <v>42235</v>
      </c>
      <c r="BR565" s="282">
        <v>47.886802673339844</v>
      </c>
      <c r="BS565" s="283">
        <v>42235</v>
      </c>
      <c r="BT565" s="282">
        <v>17.934793472290039</v>
      </c>
      <c r="BU565" s="283">
        <v>42235</v>
      </c>
      <c r="BV565" s="282">
        <v>18.218511581420898</v>
      </c>
      <c r="BW565" s="283">
        <v>42235</v>
      </c>
      <c r="BX565" s="282">
        <v>5.626708984375</v>
      </c>
      <c r="BY565" s="283">
        <v>42235</v>
      </c>
      <c r="CB565" s="267">
        <v>3.37</v>
      </c>
      <c r="CD565" s="282">
        <v>1.8181818181818119</v>
      </c>
      <c r="CE565" s="291" t="s">
        <v>8399</v>
      </c>
      <c r="CH565" s="136">
        <v>1</v>
      </c>
      <c r="CI565" s="136">
        <v>4</v>
      </c>
      <c r="CL565" s="136">
        <v>2</v>
      </c>
      <c r="CM565" s="259">
        <v>42161</v>
      </c>
      <c r="CN565" s="137" t="s">
        <v>8406</v>
      </c>
    </row>
    <row r="566" spans="1:93">
      <c r="A566" s="258">
        <v>943</v>
      </c>
      <c r="B566" s="235">
        <v>67</v>
      </c>
      <c r="C566" s="235" t="s">
        <v>7761</v>
      </c>
      <c r="D566" s="235" t="s">
        <v>7838</v>
      </c>
      <c r="E566" s="235" t="s">
        <v>7761</v>
      </c>
      <c r="F566" s="235" t="s">
        <v>8512</v>
      </c>
      <c r="G566" s="235" t="str">
        <f t="shared" si="289"/>
        <v>Rapsodyn</v>
      </c>
      <c r="H566" s="235" t="s">
        <v>267</v>
      </c>
      <c r="I566" s="235">
        <v>1</v>
      </c>
      <c r="J566" s="235">
        <v>9132</v>
      </c>
      <c r="K566" s="235">
        <v>67</v>
      </c>
      <c r="L566" s="235">
        <f t="shared" si="296"/>
        <v>139</v>
      </c>
      <c r="M566" s="235">
        <v>1</v>
      </c>
      <c r="N566" s="235">
        <v>7</v>
      </c>
      <c r="O566" s="248">
        <v>42048</v>
      </c>
      <c r="P566" s="136">
        <v>5.41</v>
      </c>
      <c r="Q566" s="264">
        <v>42204</v>
      </c>
      <c r="V566" s="219">
        <f t="shared" si="290"/>
        <v>16.206484354460734</v>
      </c>
      <c r="X566">
        <v>15.55</v>
      </c>
      <c r="AB566" s="220">
        <f t="shared" si="291"/>
        <v>5.728812840771444</v>
      </c>
      <c r="AD566" s="221">
        <f t="shared" si="292"/>
        <v>71390.817517001968</v>
      </c>
      <c r="AF566" s="220">
        <f t="shared" si="293"/>
        <v>32.268649517684885</v>
      </c>
      <c r="AH566" s="220">
        <f t="shared" si="294"/>
        <v>36.183728994937077</v>
      </c>
      <c r="AJ566">
        <v>4.5199999999999996</v>
      </c>
      <c r="AK566" s="285" t="s">
        <v>8400</v>
      </c>
      <c r="AL566" s="260">
        <v>170</v>
      </c>
      <c r="AN566" s="235">
        <v>70</v>
      </c>
      <c r="AO566" s="242">
        <v>42074</v>
      </c>
      <c r="AP566" s="235">
        <v>104</v>
      </c>
      <c r="AQ566" s="242">
        <v>42108</v>
      </c>
      <c r="AR566" s="136">
        <v>131</v>
      </c>
      <c r="AS566" s="297">
        <f t="shared" si="295"/>
        <v>131</v>
      </c>
      <c r="AT566" s="290">
        <v>42135</v>
      </c>
      <c r="AU566" s="298"/>
      <c r="BF566" s="282">
        <v>-0.98556900024414063</v>
      </c>
      <c r="BG566" s="283">
        <v>42235</v>
      </c>
      <c r="BL566" s="296">
        <v>64.798439025878906</v>
      </c>
      <c r="BM566" s="283">
        <v>42235</v>
      </c>
      <c r="BP566" s="282">
        <v>3.454063892364502</v>
      </c>
      <c r="BQ566" s="283">
        <v>42235</v>
      </c>
      <c r="BR566" s="282">
        <v>50.223621368408203</v>
      </c>
      <c r="BS566" s="283">
        <v>42235</v>
      </c>
      <c r="BT566" s="282">
        <v>17.753494262695313</v>
      </c>
      <c r="BU566" s="283">
        <v>42235</v>
      </c>
      <c r="BV566" s="282">
        <v>10.943473815917969</v>
      </c>
      <c r="BW566" s="283">
        <v>42235</v>
      </c>
      <c r="BX566" s="282">
        <v>5.4628372192382813</v>
      </c>
      <c r="BY566" s="283">
        <v>42235</v>
      </c>
      <c r="CB566" s="267">
        <v>3.93</v>
      </c>
      <c r="CD566" s="282">
        <v>5.3571428571428541</v>
      </c>
      <c r="CE566" s="291" t="s">
        <v>8400</v>
      </c>
      <c r="CH566" s="136">
        <v>2</v>
      </c>
      <c r="CI566" s="136">
        <v>3</v>
      </c>
      <c r="CL566" s="136">
        <v>1</v>
      </c>
      <c r="CM566" s="259">
        <v>42161</v>
      </c>
      <c r="CN566" s="137" t="s">
        <v>8406</v>
      </c>
    </row>
    <row r="567" spans="1:93">
      <c r="A567" s="258">
        <v>945</v>
      </c>
      <c r="B567" s="235">
        <v>69</v>
      </c>
      <c r="C567" s="235" t="s">
        <v>7681</v>
      </c>
      <c r="D567" s="235" t="s">
        <v>7508</v>
      </c>
      <c r="E567" s="235" t="s">
        <v>7681</v>
      </c>
      <c r="F567" s="235" t="s">
        <v>8489</v>
      </c>
      <c r="G567" s="235" t="str">
        <f t="shared" si="289"/>
        <v>Rapsodyn</v>
      </c>
      <c r="H567" s="235" t="s">
        <v>267</v>
      </c>
      <c r="I567" s="235">
        <v>1</v>
      </c>
      <c r="J567" s="235">
        <v>9063</v>
      </c>
      <c r="K567" s="235">
        <v>69</v>
      </c>
      <c r="L567" s="235">
        <f t="shared" si="296"/>
        <v>141</v>
      </c>
      <c r="M567" s="235">
        <v>1</v>
      </c>
      <c r="N567" s="235">
        <v>9</v>
      </c>
      <c r="O567" s="248">
        <v>42048</v>
      </c>
      <c r="P567" s="136">
        <v>6.15</v>
      </c>
      <c r="Q567" s="264">
        <v>42204</v>
      </c>
      <c r="V567" s="219">
        <f t="shared" si="290"/>
        <v>18.778089499362192</v>
      </c>
      <c r="X567">
        <v>15.55</v>
      </c>
      <c r="AB567" s="220">
        <f t="shared" si="291"/>
        <v>6.4700129281740431</v>
      </c>
      <c r="AD567" s="221">
        <f t="shared" si="292"/>
        <v>77378.100862374733</v>
      </c>
      <c r="AF567" s="220">
        <f t="shared" si="293"/>
        <v>37.296244615664619</v>
      </c>
      <c r="AH567" s="220">
        <f t="shared" si="294"/>
        <v>41.821310401059229</v>
      </c>
      <c r="AJ567">
        <v>4.82</v>
      </c>
      <c r="AK567" s="285" t="s">
        <v>8403</v>
      </c>
      <c r="AL567" s="260">
        <v>170</v>
      </c>
      <c r="AN567" s="235">
        <v>72</v>
      </c>
      <c r="AO567" s="242">
        <v>42076</v>
      </c>
      <c r="AP567" s="235">
        <v>106</v>
      </c>
      <c r="AQ567" s="242">
        <v>42110</v>
      </c>
      <c r="AR567" s="136">
        <v>131</v>
      </c>
      <c r="AS567" s="297">
        <f t="shared" si="295"/>
        <v>131</v>
      </c>
      <c r="AT567" s="290">
        <v>42135</v>
      </c>
      <c r="AU567" s="298"/>
      <c r="BF567" s="282">
        <v>-1.214697003364563</v>
      </c>
      <c r="BG567" s="283">
        <v>42235</v>
      </c>
      <c r="BL567" s="296">
        <v>63.969913482666016</v>
      </c>
      <c r="BM567" s="283">
        <v>42235</v>
      </c>
      <c r="BP567" s="282">
        <v>2.59169602394104</v>
      </c>
      <c r="BQ567" s="283">
        <v>42235</v>
      </c>
      <c r="BR567" s="282">
        <v>50.348472595214844</v>
      </c>
      <c r="BS567" s="283">
        <v>42235</v>
      </c>
      <c r="BT567" s="282">
        <v>17.347625732421875</v>
      </c>
      <c r="BU567" s="283">
        <v>42235</v>
      </c>
      <c r="BV567" s="282">
        <v>12.988362312316895</v>
      </c>
      <c r="BW567" s="283">
        <v>42235</v>
      </c>
      <c r="BX567" s="282">
        <v>5.1988601684570313</v>
      </c>
      <c r="BY567" s="283">
        <v>42235</v>
      </c>
      <c r="CB567" s="267">
        <v>2.15</v>
      </c>
      <c r="CD567" s="282">
        <v>3.7735849056603805</v>
      </c>
      <c r="CE567" s="291" t="s">
        <v>8403</v>
      </c>
      <c r="CH567" s="136">
        <v>1</v>
      </c>
      <c r="CI567" s="136">
        <v>6</v>
      </c>
      <c r="CL567" s="136">
        <v>3</v>
      </c>
      <c r="CM567" s="259">
        <v>42161</v>
      </c>
      <c r="CN567" s="137" t="s">
        <v>8406</v>
      </c>
    </row>
    <row r="568" spans="1:93">
      <c r="A568" s="258">
        <v>948</v>
      </c>
      <c r="B568" s="235">
        <v>72</v>
      </c>
      <c r="C568" s="235" t="s">
        <v>7650</v>
      </c>
      <c r="D568" s="235" t="s">
        <v>260</v>
      </c>
      <c r="E568" s="235" t="s">
        <v>7650</v>
      </c>
      <c r="F568" s="235" t="s">
        <v>8543</v>
      </c>
      <c r="G568" s="235" t="str">
        <f t="shared" si="289"/>
        <v>Rapsodyn</v>
      </c>
      <c r="H568" s="235" t="s">
        <v>267</v>
      </c>
      <c r="I568" s="235">
        <v>1</v>
      </c>
      <c r="J568" s="235">
        <v>9035</v>
      </c>
      <c r="K568" s="235">
        <v>72</v>
      </c>
      <c r="L568" s="235">
        <f t="shared" si="296"/>
        <v>144</v>
      </c>
      <c r="M568" s="235">
        <v>1</v>
      </c>
      <c r="N568" s="235">
        <v>7</v>
      </c>
      <c r="O568" s="248">
        <v>42048</v>
      </c>
      <c r="P568" s="136">
        <v>5.88</v>
      </c>
      <c r="Q568" s="264">
        <v>42204</v>
      </c>
      <c r="V568" s="219">
        <f t="shared" si="290"/>
        <v>17.703982110429404</v>
      </c>
      <c r="X568">
        <v>15.55</v>
      </c>
      <c r="AB568" s="220">
        <f t="shared" si="291"/>
        <v>6.5835823861194918</v>
      </c>
      <c r="AD568" s="221">
        <f t="shared" si="292"/>
        <v>91186.633640517539</v>
      </c>
      <c r="AF568" s="220">
        <f t="shared" si="293"/>
        <v>35.106853951599255</v>
      </c>
      <c r="AH568" s="220">
        <f t="shared" si="294"/>
        <v>39.366286108543683</v>
      </c>
      <c r="AJ568">
        <v>3.85</v>
      </c>
      <c r="AK568" s="285" t="s">
        <v>8403</v>
      </c>
      <c r="AL568" s="260">
        <v>150</v>
      </c>
      <c r="AN568" s="235">
        <v>75</v>
      </c>
      <c r="AO568" s="242">
        <v>42079</v>
      </c>
      <c r="AP568" s="235">
        <v>104</v>
      </c>
      <c r="AQ568" s="242">
        <v>42108</v>
      </c>
      <c r="AR568" s="136">
        <v>133</v>
      </c>
      <c r="AS568" s="297">
        <f t="shared" si="295"/>
        <v>133</v>
      </c>
      <c r="AT568" s="290">
        <v>42137</v>
      </c>
      <c r="AU568" s="298"/>
      <c r="BF568" s="282">
        <v>-5.5903191566467285</v>
      </c>
      <c r="BG568" s="283">
        <v>42235</v>
      </c>
      <c r="BL568" s="296">
        <v>62.2320556640625</v>
      </c>
      <c r="BM568" s="283">
        <v>42235</v>
      </c>
      <c r="BP568" s="282">
        <v>2.8521249294281006</v>
      </c>
      <c r="BQ568" s="283">
        <v>42235</v>
      </c>
      <c r="BR568" s="282">
        <v>50.428848266601563</v>
      </c>
      <c r="BS568" s="283">
        <v>42235</v>
      </c>
      <c r="BT568" s="282">
        <v>18.752983093261719</v>
      </c>
      <c r="BU568" s="283">
        <v>42235</v>
      </c>
      <c r="BV568" s="282">
        <v>50.927711486816406</v>
      </c>
      <c r="BW568" s="283">
        <v>42235</v>
      </c>
      <c r="BX568" s="282">
        <v>5.3171310424804687</v>
      </c>
      <c r="BY568" s="283">
        <v>42235</v>
      </c>
      <c r="CB568" s="267">
        <v>2.79</v>
      </c>
      <c r="CD568" s="282">
        <v>5.2631578947368389</v>
      </c>
      <c r="CE568" s="291" t="s">
        <v>8403</v>
      </c>
      <c r="CH568" s="136">
        <v>1</v>
      </c>
      <c r="CI568" s="136">
        <v>2</v>
      </c>
      <c r="CL568" s="136">
        <v>1</v>
      </c>
      <c r="CM568" s="259">
        <v>42161</v>
      </c>
      <c r="CN568" s="137" t="s">
        <v>8406</v>
      </c>
    </row>
    <row r="569" spans="1:93">
      <c r="A569" s="258">
        <v>949</v>
      </c>
      <c r="B569" s="235">
        <v>73</v>
      </c>
      <c r="C569" s="235" t="s">
        <v>7576</v>
      </c>
      <c r="D569" s="235"/>
      <c r="E569" s="235"/>
      <c r="F569" s="235"/>
      <c r="G569" s="235"/>
      <c r="H569" s="235" t="s">
        <v>267</v>
      </c>
      <c r="I569" s="235">
        <v>1</v>
      </c>
      <c r="K569" s="235">
        <v>73</v>
      </c>
      <c r="L569" s="235">
        <f t="shared" si="296"/>
        <v>145</v>
      </c>
      <c r="M569" s="235">
        <v>1</v>
      </c>
      <c r="O569" s="248">
        <v>42048</v>
      </c>
      <c r="V569" s="219"/>
      <c r="X569">
        <v>15.55</v>
      </c>
      <c r="AB569" s="220"/>
      <c r="AD569" s="221"/>
      <c r="AF569" s="220"/>
      <c r="AH569" s="220"/>
      <c r="AJ569" s="286"/>
      <c r="AK569" s="285"/>
      <c r="AL569" s="260"/>
      <c r="AN569" s="235">
        <v>70</v>
      </c>
      <c r="AO569" s="242">
        <v>42074</v>
      </c>
      <c r="AP569" s="235">
        <v>106</v>
      </c>
      <c r="AQ569" s="242">
        <v>42110</v>
      </c>
      <c r="AS569" s="297"/>
      <c r="AT569" s="290"/>
      <c r="AU569" s="298"/>
      <c r="BF569" s="282"/>
      <c r="BG569" s="235"/>
      <c r="BL569" s="296"/>
      <c r="BM569" s="235"/>
      <c r="BP569" s="282"/>
      <c r="BQ569" s="235"/>
      <c r="BR569" s="282"/>
      <c r="BS569" s="235"/>
      <c r="BT569" s="282"/>
      <c r="BU569" s="235"/>
      <c r="BV569" s="282"/>
      <c r="BW569" s="235"/>
      <c r="BX569" s="282"/>
      <c r="BY569" s="235"/>
      <c r="CB569" s="267"/>
      <c r="CD569" s="282"/>
      <c r="CE569" s="291"/>
      <c r="CL569" s="136">
        <v>2</v>
      </c>
      <c r="CM569" s="259">
        <v>42161</v>
      </c>
    </row>
    <row r="570" spans="1:93">
      <c r="A570" s="258">
        <v>950</v>
      </c>
      <c r="B570" s="235">
        <v>74</v>
      </c>
      <c r="C570" s="235" t="s">
        <v>7576</v>
      </c>
      <c r="D570" s="235"/>
      <c r="E570" s="235"/>
      <c r="F570" s="235"/>
      <c r="G570" s="235"/>
      <c r="H570" s="235" t="s">
        <v>267</v>
      </c>
      <c r="I570" s="235">
        <v>1</v>
      </c>
      <c r="K570" s="235">
        <v>73</v>
      </c>
      <c r="L570" s="235">
        <f t="shared" si="296"/>
        <v>145</v>
      </c>
      <c r="M570" s="235">
        <v>2</v>
      </c>
      <c r="O570" s="248">
        <v>42048</v>
      </c>
      <c r="V570" s="219"/>
      <c r="X570">
        <v>15.55</v>
      </c>
      <c r="AB570" s="220"/>
      <c r="AD570" s="221"/>
      <c r="AF570" s="220"/>
      <c r="AH570" s="220"/>
      <c r="AJ570" s="286"/>
      <c r="AK570" s="285"/>
      <c r="AL570" s="260"/>
      <c r="AN570" s="235">
        <v>70</v>
      </c>
      <c r="AO570" s="242">
        <v>42074</v>
      </c>
      <c r="AP570" s="235">
        <v>106</v>
      </c>
      <c r="AQ570" s="242">
        <v>42110</v>
      </c>
      <c r="AS570" s="297"/>
      <c r="AT570" s="290"/>
      <c r="AU570" s="298"/>
      <c r="BF570" s="282"/>
      <c r="BG570" s="235"/>
      <c r="BL570" s="296"/>
      <c r="BM570" s="235"/>
      <c r="BP570" s="282"/>
      <c r="BQ570" s="235"/>
      <c r="BR570" s="282"/>
      <c r="BS570" s="235"/>
      <c r="BT570" s="282"/>
      <c r="BU570" s="235"/>
      <c r="BV570" s="282"/>
      <c r="BW570" s="235"/>
      <c r="BX570" s="282"/>
      <c r="BY570" s="235"/>
      <c r="CB570" s="267"/>
      <c r="CD570" s="282"/>
      <c r="CE570" s="291"/>
      <c r="CL570" s="136">
        <v>2</v>
      </c>
      <c r="CM570" s="259">
        <v>42161</v>
      </c>
    </row>
    <row r="571" spans="1:93">
      <c r="A571" s="258">
        <v>951</v>
      </c>
      <c r="B571" s="235">
        <v>75</v>
      </c>
      <c r="C571" s="235" t="s">
        <v>7716</v>
      </c>
      <c r="D571" s="235" t="s">
        <v>7540</v>
      </c>
      <c r="E571" s="235" t="s">
        <v>7716</v>
      </c>
      <c r="F571" s="235" t="s">
        <v>8502</v>
      </c>
      <c r="G571" s="235" t="str">
        <f t="shared" ref="G571:G584" si="297">IF(MID(C571,1,3)="BGA","Complement","Rapsodyn")</f>
        <v>Rapsodyn</v>
      </c>
      <c r="H571" s="235" t="s">
        <v>267</v>
      </c>
      <c r="I571" s="235">
        <v>1</v>
      </c>
      <c r="J571" s="235">
        <v>9098</v>
      </c>
      <c r="K571" s="235">
        <v>72</v>
      </c>
      <c r="L571" s="235">
        <f t="shared" si="296"/>
        <v>144</v>
      </c>
      <c r="M571" s="235">
        <v>2</v>
      </c>
      <c r="N571" s="235">
        <v>5</v>
      </c>
      <c r="O571" s="248">
        <v>42048</v>
      </c>
      <c r="P571" s="136">
        <v>6.19</v>
      </c>
      <c r="Q571" s="264">
        <v>42204</v>
      </c>
      <c r="V571" s="219">
        <f t="shared" ref="V571:V584" si="298">+BR571*AF571/100</f>
        <v>18.366308980768995</v>
      </c>
      <c r="X571">
        <v>15.55</v>
      </c>
      <c r="AB571" s="220">
        <f t="shared" ref="AB571:AB584" si="299">+AF571*BT571/100</f>
        <v>6.1954234521174101</v>
      </c>
      <c r="AD571" s="221">
        <f t="shared" ref="AD571:AD584" si="300">+(AF571/AJ571)*10000</f>
        <v>91718.493281859526</v>
      </c>
      <c r="AF571" s="220">
        <f t="shared" ref="AF571:AF584" si="301">($P571/$X571)*(((100-$CD571)/100*(100-2)/100))*100</f>
        <v>36.320523339616372</v>
      </c>
      <c r="AH571" s="220">
        <f t="shared" ref="AH571:AH584" si="302">($P571/$X571)*(((100-$CD571)/(100-9)*(100-2)/(100-2))*100)</f>
        <v>40.727207153640244</v>
      </c>
      <c r="AJ571">
        <v>3.96</v>
      </c>
      <c r="AK571" s="285" t="s">
        <v>8400</v>
      </c>
      <c r="AL571" s="260">
        <v>155</v>
      </c>
      <c r="AN571" s="235">
        <v>70</v>
      </c>
      <c r="AO571" s="242">
        <v>42074</v>
      </c>
      <c r="AP571" s="235">
        <v>100</v>
      </c>
      <c r="AQ571" s="242">
        <v>42104</v>
      </c>
      <c r="AR571" s="136">
        <v>132</v>
      </c>
      <c r="AS571" s="297">
        <f t="shared" ref="AS571:AS584" si="303">IF(AR571=0,,AR571)</f>
        <v>132</v>
      </c>
      <c r="AT571" s="290">
        <v>42136</v>
      </c>
      <c r="AU571" s="298"/>
      <c r="BF571" s="282">
        <v>-2.8132209777832031</v>
      </c>
      <c r="BG571" s="283">
        <v>42235</v>
      </c>
      <c r="BL571" s="296">
        <v>63.539154052734375</v>
      </c>
      <c r="BM571" s="283">
        <v>42235</v>
      </c>
      <c r="BP571" s="282">
        <v>4.2242012023925781</v>
      </c>
      <c r="BQ571" s="283">
        <v>42235</v>
      </c>
      <c r="BR571" s="282">
        <v>50.567302703857422</v>
      </c>
      <c r="BS571" s="283">
        <v>42235</v>
      </c>
      <c r="BT571" s="282">
        <v>17.057638168334961</v>
      </c>
      <c r="BU571" s="283">
        <v>42235</v>
      </c>
      <c r="BV571" s="282">
        <v>14.347275733947754</v>
      </c>
      <c r="BW571" s="283">
        <v>42235</v>
      </c>
      <c r="BX571" s="282">
        <v>5.4507675170898437</v>
      </c>
      <c r="BY571" s="283">
        <v>42235</v>
      </c>
      <c r="CB571" s="267">
        <v>3.42</v>
      </c>
      <c r="CD571" s="282">
        <v>6.8965517241379226</v>
      </c>
      <c r="CE571" s="291" t="s">
        <v>8400</v>
      </c>
      <c r="CH571" s="136">
        <v>1</v>
      </c>
      <c r="CI571" s="136">
        <v>5</v>
      </c>
      <c r="CL571" s="136">
        <v>1</v>
      </c>
      <c r="CM571" s="259">
        <v>42161</v>
      </c>
      <c r="CN571" s="137" t="s">
        <v>8406</v>
      </c>
    </row>
    <row r="572" spans="1:93">
      <c r="A572" s="258">
        <v>952</v>
      </c>
      <c r="B572" s="235">
        <v>76</v>
      </c>
      <c r="C572" s="235" t="s">
        <v>7699</v>
      </c>
      <c r="D572" s="235" t="s">
        <v>7525</v>
      </c>
      <c r="E572" s="235" t="s">
        <v>7699</v>
      </c>
      <c r="F572" s="235" t="s">
        <v>8434</v>
      </c>
      <c r="G572" s="235" t="str">
        <f t="shared" si="297"/>
        <v>Rapsodyn</v>
      </c>
      <c r="H572" s="235" t="s">
        <v>267</v>
      </c>
      <c r="I572" s="235">
        <v>1</v>
      </c>
      <c r="J572" s="235">
        <v>9081</v>
      </c>
      <c r="K572" s="235">
        <v>71</v>
      </c>
      <c r="L572" s="235">
        <f t="shared" si="296"/>
        <v>143</v>
      </c>
      <c r="M572" s="235">
        <v>2</v>
      </c>
      <c r="N572" s="236">
        <v>9</v>
      </c>
      <c r="O572" s="248">
        <v>42048</v>
      </c>
      <c r="P572" s="136">
        <v>6.55</v>
      </c>
      <c r="Q572" s="264">
        <v>42204</v>
      </c>
      <c r="V572" s="219">
        <f t="shared" si="298"/>
        <v>20.112604519789027</v>
      </c>
      <c r="X572">
        <v>15.55</v>
      </c>
      <c r="AB572" s="220">
        <f t="shared" si="299"/>
        <v>7.4971472731321036</v>
      </c>
      <c r="AD572" s="221">
        <f t="shared" si="300"/>
        <v>94576.230055208376</v>
      </c>
      <c r="AF572" s="220">
        <f t="shared" si="301"/>
        <v>39.722016623187514</v>
      </c>
      <c r="AH572" s="220">
        <f t="shared" si="302"/>
        <v>44.541395630396416</v>
      </c>
      <c r="AJ572">
        <v>4.2</v>
      </c>
      <c r="AK572" s="285" t="s">
        <v>8400</v>
      </c>
      <c r="AL572" s="260">
        <v>160</v>
      </c>
      <c r="AN572" s="235">
        <v>70</v>
      </c>
      <c r="AO572" s="242">
        <v>42074</v>
      </c>
      <c r="AP572" s="235">
        <v>104</v>
      </c>
      <c r="AQ572" s="242">
        <v>42108</v>
      </c>
      <c r="AR572" s="136">
        <v>131</v>
      </c>
      <c r="AS572" s="297">
        <f t="shared" si="303"/>
        <v>131</v>
      </c>
      <c r="AT572" s="290">
        <v>42135</v>
      </c>
      <c r="AU572" s="298"/>
      <c r="BF572" s="282">
        <v>-6.7000060081481934</v>
      </c>
      <c r="BG572" s="283">
        <v>42235</v>
      </c>
      <c r="BL572" s="296">
        <v>66.616958618164062</v>
      </c>
      <c r="BM572" s="283">
        <v>42235</v>
      </c>
      <c r="BP572" s="282">
        <v>3.3258299827575684</v>
      </c>
      <c r="BQ572" s="283">
        <v>42235</v>
      </c>
      <c r="BR572" s="282">
        <v>50.633392333984375</v>
      </c>
      <c r="BS572" s="283">
        <v>42235</v>
      </c>
      <c r="BT572" s="282">
        <v>18.874034881591797</v>
      </c>
      <c r="BU572" s="283">
        <v>42235</v>
      </c>
      <c r="BV572" s="282">
        <v>9.6647758483886719</v>
      </c>
      <c r="BW572" s="283">
        <v>42235</v>
      </c>
      <c r="BX572" s="282">
        <v>5.5368499755859375</v>
      </c>
      <c r="BY572" s="283">
        <v>42235</v>
      </c>
      <c r="CB572" s="267">
        <v>3.22</v>
      </c>
      <c r="CD572" s="282">
        <v>3.7735849056603805</v>
      </c>
      <c r="CE572" s="291" t="s">
        <v>8400</v>
      </c>
      <c r="CH572" s="136">
        <v>2</v>
      </c>
      <c r="CI572" s="136">
        <v>4</v>
      </c>
      <c r="CL572" s="136">
        <v>1</v>
      </c>
      <c r="CM572" s="259">
        <v>42161</v>
      </c>
      <c r="CN572" s="137" t="s">
        <v>8406</v>
      </c>
    </row>
    <row r="573" spans="1:93">
      <c r="A573" s="258">
        <v>953</v>
      </c>
      <c r="B573" s="235">
        <v>77</v>
      </c>
      <c r="C573" s="235" t="s">
        <v>7773</v>
      </c>
      <c r="D573" s="235" t="s">
        <v>7571</v>
      </c>
      <c r="E573" s="235" t="s">
        <v>7773</v>
      </c>
      <c r="F573" s="235" t="s">
        <v>8575</v>
      </c>
      <c r="G573" s="235" t="str">
        <f t="shared" si="297"/>
        <v>Rapsodyn</v>
      </c>
      <c r="H573" s="235" t="s">
        <v>267</v>
      </c>
      <c r="I573" s="235">
        <v>1</v>
      </c>
      <c r="J573" s="235">
        <v>9144</v>
      </c>
      <c r="K573" s="235">
        <v>70</v>
      </c>
      <c r="L573" s="235">
        <f t="shared" si="296"/>
        <v>142</v>
      </c>
      <c r="M573" s="235">
        <v>2</v>
      </c>
      <c r="N573" s="235">
        <v>7</v>
      </c>
      <c r="O573" s="248">
        <v>42048</v>
      </c>
      <c r="P573" s="136">
        <v>6.59</v>
      </c>
      <c r="Q573" s="264">
        <v>42204</v>
      </c>
      <c r="V573" s="219">
        <f t="shared" si="298"/>
        <v>19.459602504983579</v>
      </c>
      <c r="X573">
        <v>15.55</v>
      </c>
      <c r="AB573" s="220">
        <f t="shared" si="299"/>
        <v>7.0853516368039076</v>
      </c>
      <c r="AD573" s="221">
        <f t="shared" si="300"/>
        <v>85803.12537970554</v>
      </c>
      <c r="AF573" s="220">
        <f t="shared" si="301"/>
        <v>39.383634549284842</v>
      </c>
      <c r="AH573" s="220">
        <f t="shared" si="302"/>
        <v>44.161958454008577</v>
      </c>
      <c r="AJ573">
        <v>4.59</v>
      </c>
      <c r="AK573" s="285" t="s">
        <v>8403</v>
      </c>
      <c r="AL573" s="260">
        <v>165</v>
      </c>
      <c r="AN573" s="235">
        <v>72</v>
      </c>
      <c r="AO573" s="242">
        <v>42076</v>
      </c>
      <c r="AP573" s="235">
        <v>106</v>
      </c>
      <c r="AQ573" s="242">
        <v>42110</v>
      </c>
      <c r="AR573" s="136">
        <v>131</v>
      </c>
      <c r="AS573" s="297">
        <f t="shared" si="303"/>
        <v>131</v>
      </c>
      <c r="AT573" s="290">
        <v>42135</v>
      </c>
      <c r="AU573" s="298"/>
      <c r="BF573" s="282">
        <v>-2.7143421173095703</v>
      </c>
      <c r="BG573" s="283">
        <v>42235</v>
      </c>
      <c r="BL573" s="296">
        <v>63.753589630126953</v>
      </c>
      <c r="BM573" s="283">
        <v>42235</v>
      </c>
      <c r="BP573" s="282">
        <v>4.0431270599365234</v>
      </c>
      <c r="BQ573" s="283">
        <v>42235</v>
      </c>
      <c r="BR573" s="282">
        <v>49.410377502441406</v>
      </c>
      <c r="BS573" s="283">
        <v>42235</v>
      </c>
      <c r="BT573" s="282">
        <v>17.990598678588867</v>
      </c>
      <c r="BU573" s="283">
        <v>42235</v>
      </c>
      <c r="BV573" s="282">
        <v>14.187369346618652</v>
      </c>
      <c r="BW573" s="283">
        <v>42235</v>
      </c>
      <c r="BX573" s="282">
        <v>5.361358642578125</v>
      </c>
      <c r="BY573" s="283">
        <v>42235</v>
      </c>
      <c r="CB573" s="267">
        <v>4.24</v>
      </c>
      <c r="CD573" s="282">
        <v>5.1724137931034457</v>
      </c>
      <c r="CE573" s="291" t="s">
        <v>8403</v>
      </c>
      <c r="CH573" s="136">
        <v>3</v>
      </c>
      <c r="CI573" s="136">
        <v>3</v>
      </c>
      <c r="CL573" s="136">
        <v>1</v>
      </c>
      <c r="CM573" s="259">
        <v>42161</v>
      </c>
      <c r="CN573" s="137" t="s">
        <v>8406</v>
      </c>
    </row>
    <row r="574" spans="1:93">
      <c r="A574" s="258">
        <v>954</v>
      </c>
      <c r="B574" s="235">
        <v>78</v>
      </c>
      <c r="C574" s="235" t="s">
        <v>7809</v>
      </c>
      <c r="D574" s="235" t="s">
        <v>7603</v>
      </c>
      <c r="E574" s="235" t="s">
        <v>7809</v>
      </c>
      <c r="F574" s="235" t="s">
        <v>8572</v>
      </c>
      <c r="G574" s="235" t="str">
        <f t="shared" si="297"/>
        <v>Rapsodyn</v>
      </c>
      <c r="H574" s="235" t="s">
        <v>267</v>
      </c>
      <c r="I574" s="235">
        <v>1</v>
      </c>
      <c r="J574" s="235">
        <v>9180</v>
      </c>
      <c r="K574" s="235">
        <v>69</v>
      </c>
      <c r="L574" s="235">
        <f t="shared" si="296"/>
        <v>141</v>
      </c>
      <c r="M574" s="235">
        <v>2</v>
      </c>
      <c r="N574" s="235">
        <v>9</v>
      </c>
      <c r="O574" s="248">
        <v>42048</v>
      </c>
      <c r="P574" s="136">
        <v>7</v>
      </c>
      <c r="Q574" s="264">
        <v>42204</v>
      </c>
      <c r="V574" s="219">
        <f t="shared" si="298"/>
        <v>20.873683577961664</v>
      </c>
      <c r="X574">
        <v>15.55</v>
      </c>
      <c r="AB574" s="220">
        <f t="shared" si="299"/>
        <v>6.5781584920607203</v>
      </c>
      <c r="AD574" s="221">
        <f t="shared" si="300"/>
        <v>95293.635986392692</v>
      </c>
      <c r="AF574" s="220">
        <f t="shared" si="301"/>
        <v>41.833906198026391</v>
      </c>
      <c r="AH574" s="220">
        <f t="shared" si="302"/>
        <v>46.909515808506832</v>
      </c>
      <c r="AJ574">
        <v>4.3899999999999997</v>
      </c>
      <c r="AK574" s="285" t="s">
        <v>8403</v>
      </c>
      <c r="AL574" s="260">
        <v>165</v>
      </c>
      <c r="AN574" s="235">
        <v>70</v>
      </c>
      <c r="AO574" s="242">
        <v>42074</v>
      </c>
      <c r="AP574" s="235">
        <v>106</v>
      </c>
      <c r="AQ574" s="242">
        <v>42110</v>
      </c>
      <c r="AR574" s="136">
        <v>133</v>
      </c>
      <c r="AS574" s="297">
        <f t="shared" si="303"/>
        <v>133</v>
      </c>
      <c r="AT574" s="290">
        <v>42137</v>
      </c>
      <c r="AU574" s="298"/>
      <c r="BF574" s="282">
        <v>-5.7845668792724609</v>
      </c>
      <c r="BG574" s="283">
        <v>42235</v>
      </c>
      <c r="BL574" s="296">
        <v>64.755279541015625</v>
      </c>
      <c r="BM574" s="283">
        <v>42235</v>
      </c>
      <c r="BP574" s="282">
        <v>3.8691260814666748</v>
      </c>
      <c r="BQ574" s="283">
        <v>42235</v>
      </c>
      <c r="BR574" s="282">
        <v>49.896568298339844</v>
      </c>
      <c r="BS574" s="283">
        <v>42235</v>
      </c>
      <c r="BT574" s="282">
        <v>15.724466323852539</v>
      </c>
      <c r="BU574" s="283">
        <v>42235</v>
      </c>
      <c r="BV574" s="282">
        <v>11.506258964538574</v>
      </c>
      <c r="BW574" s="283">
        <v>42235</v>
      </c>
      <c r="BX574" s="282">
        <v>5.51458740234375</v>
      </c>
      <c r="BY574" s="283">
        <v>42235</v>
      </c>
      <c r="CB574" s="267">
        <v>2.61</v>
      </c>
      <c r="CD574" s="282">
        <v>5.1724137931034457</v>
      </c>
      <c r="CE574" s="291" t="s">
        <v>8403</v>
      </c>
      <c r="CH574" s="136">
        <v>2</v>
      </c>
      <c r="CI574" s="136">
        <v>5</v>
      </c>
      <c r="CL574" s="136">
        <v>2</v>
      </c>
      <c r="CM574" s="259">
        <v>42161</v>
      </c>
      <c r="CN574" s="137" t="s">
        <v>8406</v>
      </c>
    </row>
    <row r="575" spans="1:93">
      <c r="A575" s="258">
        <v>955</v>
      </c>
      <c r="B575" s="235">
        <v>79</v>
      </c>
      <c r="C575" s="235" t="s">
        <v>7634</v>
      </c>
      <c r="D575" s="235" t="s">
        <v>7467</v>
      </c>
      <c r="E575" s="235" t="s">
        <v>7634</v>
      </c>
      <c r="F575" s="235" t="s">
        <v>8580</v>
      </c>
      <c r="G575" s="235" t="str">
        <f t="shared" si="297"/>
        <v>Rapsodyn</v>
      </c>
      <c r="H575" s="235" t="s">
        <v>267</v>
      </c>
      <c r="I575" s="235">
        <v>1</v>
      </c>
      <c r="J575" s="235">
        <v>9022</v>
      </c>
      <c r="K575" s="235">
        <v>68</v>
      </c>
      <c r="L575" s="235">
        <f t="shared" si="296"/>
        <v>140</v>
      </c>
      <c r="M575" s="235">
        <v>2</v>
      </c>
      <c r="N575" s="236">
        <v>9</v>
      </c>
      <c r="O575" s="248">
        <v>42048</v>
      </c>
      <c r="P575" s="136">
        <v>5.96</v>
      </c>
      <c r="Q575" s="264">
        <v>42204</v>
      </c>
      <c r="V575" s="219">
        <f t="shared" si="298"/>
        <v>18.858559791981982</v>
      </c>
      <c r="X575">
        <v>15.55</v>
      </c>
      <c r="AB575" s="220">
        <f t="shared" si="299"/>
        <v>6.6657902976523644</v>
      </c>
      <c r="AD575" s="221">
        <f t="shared" si="300"/>
        <v>74989.514888857811</v>
      </c>
      <c r="AF575" s="220">
        <f t="shared" si="301"/>
        <v>36.219935691318327</v>
      </c>
      <c r="AH575" s="220">
        <f t="shared" si="302"/>
        <v>40.614415442160045</v>
      </c>
      <c r="AJ575">
        <v>4.83</v>
      </c>
      <c r="AK575" s="285" t="s">
        <v>8400</v>
      </c>
      <c r="AL575" s="260">
        <v>170</v>
      </c>
      <c r="AN575" s="235">
        <v>70</v>
      </c>
      <c r="AO575" s="242">
        <v>42074</v>
      </c>
      <c r="AP575" s="235">
        <v>106</v>
      </c>
      <c r="AQ575" s="242">
        <v>42110</v>
      </c>
      <c r="AR575" s="136">
        <v>127</v>
      </c>
      <c r="AS575" s="297">
        <f t="shared" si="303"/>
        <v>127</v>
      </c>
      <c r="AT575" s="290">
        <v>42131</v>
      </c>
      <c r="AU575" s="298"/>
      <c r="BF575" s="282">
        <v>53.128944396972656</v>
      </c>
      <c r="BG575" s="283">
        <v>42235</v>
      </c>
      <c r="BL575" s="296">
        <v>64.608848571777344</v>
      </c>
      <c r="BM575" s="283">
        <v>42235</v>
      </c>
      <c r="BP575" s="282">
        <v>2.7159810066223145</v>
      </c>
      <c r="BQ575" s="283">
        <v>42235</v>
      </c>
      <c r="BR575" s="282">
        <v>52.066795349121094</v>
      </c>
      <c r="BS575" s="283">
        <v>42235</v>
      </c>
      <c r="BT575" s="282">
        <v>18.403650283813477</v>
      </c>
      <c r="BU575" s="283">
        <v>42235</v>
      </c>
      <c r="BV575" s="282">
        <v>14.743446350097656</v>
      </c>
      <c r="BW575" s="283">
        <v>42235</v>
      </c>
      <c r="BX575" s="282">
        <v>4.9605941772460938</v>
      </c>
      <c r="BY575" s="283">
        <v>42235</v>
      </c>
      <c r="CB575" s="267">
        <v>3.35</v>
      </c>
      <c r="CD575" s="282">
        <v>3.5714285714285587</v>
      </c>
      <c r="CE575" s="291" t="s">
        <v>8400</v>
      </c>
      <c r="CH575" s="136">
        <v>1</v>
      </c>
      <c r="CI575" s="136">
        <v>7</v>
      </c>
      <c r="CL575" s="136">
        <v>3</v>
      </c>
      <c r="CM575" s="259">
        <v>42161</v>
      </c>
      <c r="CO575" s="137" t="s">
        <v>8405</v>
      </c>
    </row>
    <row r="576" spans="1:93">
      <c r="A576" s="258">
        <v>956</v>
      </c>
      <c r="B576" s="235">
        <v>80</v>
      </c>
      <c r="C576" s="235" t="s">
        <v>7774</v>
      </c>
      <c r="D576" s="235" t="s">
        <v>7572</v>
      </c>
      <c r="E576" s="235" t="s">
        <v>7774</v>
      </c>
      <c r="F576" s="235" t="s">
        <v>8617</v>
      </c>
      <c r="G576" s="235" t="str">
        <f t="shared" si="297"/>
        <v>Rapsodyn</v>
      </c>
      <c r="H576" s="235" t="s">
        <v>267</v>
      </c>
      <c r="I576" s="235">
        <v>1</v>
      </c>
      <c r="J576" s="235">
        <v>9145</v>
      </c>
      <c r="K576" s="235">
        <v>67</v>
      </c>
      <c r="L576" s="235">
        <f t="shared" si="296"/>
        <v>139</v>
      </c>
      <c r="M576" s="235">
        <v>2</v>
      </c>
      <c r="N576" s="235">
        <v>7</v>
      </c>
      <c r="O576" s="248">
        <v>42048</v>
      </c>
      <c r="P576" s="136">
        <v>5.91</v>
      </c>
      <c r="Q576" s="264">
        <v>42204</v>
      </c>
      <c r="V576" s="219">
        <f t="shared" si="298"/>
        <v>17.474489356491723</v>
      </c>
      <c r="X576">
        <v>15.55</v>
      </c>
      <c r="AB576" s="220">
        <f t="shared" si="299"/>
        <v>6.1814966262099826</v>
      </c>
      <c r="AD576" s="221">
        <f t="shared" si="300"/>
        <v>65158.899501340253</v>
      </c>
      <c r="AF576" s="220">
        <f t="shared" si="301"/>
        <v>35.250964630225077</v>
      </c>
      <c r="AH576" s="220">
        <f t="shared" si="302"/>
        <v>39.52788139742664</v>
      </c>
      <c r="AJ576">
        <v>5.41</v>
      </c>
      <c r="AK576" s="285" t="s">
        <v>8400</v>
      </c>
      <c r="AL576" s="260">
        <v>170</v>
      </c>
      <c r="AN576" s="235">
        <v>70</v>
      </c>
      <c r="AO576" s="242">
        <v>42074</v>
      </c>
      <c r="AP576" s="235">
        <v>106</v>
      </c>
      <c r="AQ576" s="242">
        <v>42110</v>
      </c>
      <c r="AR576" s="136">
        <v>130</v>
      </c>
      <c r="AS576" s="297">
        <f t="shared" si="303"/>
        <v>130</v>
      </c>
      <c r="AT576" s="290">
        <v>42134</v>
      </c>
      <c r="AU576" s="298"/>
      <c r="BF576" s="282">
        <v>-0.61761099100112915</v>
      </c>
      <c r="BG576" s="283">
        <v>42235</v>
      </c>
      <c r="BL576" s="296">
        <v>59.347938537597656</v>
      </c>
      <c r="BM576" s="283">
        <v>42235</v>
      </c>
      <c r="BP576" s="282">
        <v>3.178170919418335</v>
      </c>
      <c r="BQ576" s="283">
        <v>42235</v>
      </c>
      <c r="BR576" s="282">
        <v>49.571662902832031</v>
      </c>
      <c r="BS576" s="283">
        <v>42235</v>
      </c>
      <c r="BT576" s="282">
        <v>17.535680770874023</v>
      </c>
      <c r="BU576" s="283">
        <v>42235</v>
      </c>
      <c r="BV576" s="282">
        <v>15.47034740447998</v>
      </c>
      <c r="BW576" s="283">
        <v>42235</v>
      </c>
      <c r="BX576" s="282">
        <v>5.363525390625</v>
      </c>
      <c r="BY576" s="283">
        <v>42235</v>
      </c>
      <c r="CB576" s="267">
        <v>3.73</v>
      </c>
      <c r="CD576" s="282">
        <v>5.3571428571428541</v>
      </c>
      <c r="CE576" s="291" t="s">
        <v>8400</v>
      </c>
      <c r="CH576" s="136">
        <v>1</v>
      </c>
      <c r="CI576" s="136">
        <v>5</v>
      </c>
      <c r="CL576" s="136">
        <v>2</v>
      </c>
      <c r="CM576" s="259">
        <v>42161</v>
      </c>
      <c r="CN576" s="137" t="s">
        <v>8406</v>
      </c>
    </row>
    <row r="577" spans="1:93">
      <c r="A577" s="258">
        <v>957</v>
      </c>
      <c r="B577" s="235">
        <v>81</v>
      </c>
      <c r="C577" s="235" t="s">
        <v>7625</v>
      </c>
      <c r="D577" s="235" t="s">
        <v>7816</v>
      </c>
      <c r="E577" s="235" t="s">
        <v>7625</v>
      </c>
      <c r="F577" s="235" t="s">
        <v>8428</v>
      </c>
      <c r="G577" s="235" t="str">
        <f t="shared" si="297"/>
        <v>Rapsodyn</v>
      </c>
      <c r="H577" s="235" t="s">
        <v>267</v>
      </c>
      <c r="I577" s="235">
        <v>1</v>
      </c>
      <c r="J577" s="235">
        <v>9017</v>
      </c>
      <c r="K577" s="235">
        <v>66</v>
      </c>
      <c r="L577" s="235">
        <f t="shared" si="296"/>
        <v>138</v>
      </c>
      <c r="M577" s="235">
        <v>2</v>
      </c>
      <c r="N577" s="235">
        <v>9</v>
      </c>
      <c r="O577" s="248">
        <v>42048</v>
      </c>
      <c r="P577" s="136">
        <v>4.67</v>
      </c>
      <c r="Q577" s="264">
        <v>42204</v>
      </c>
      <c r="V577" s="219">
        <f t="shared" si="298"/>
        <v>13.461707394253812</v>
      </c>
      <c r="X577">
        <v>15.55</v>
      </c>
      <c r="AB577" s="220">
        <f t="shared" si="299"/>
        <v>5.9582977087505382</v>
      </c>
      <c r="AD577" s="221">
        <f t="shared" si="300"/>
        <v>71636.104124881953</v>
      </c>
      <c r="AF577" s="220">
        <f t="shared" si="301"/>
        <v>28.940986066452307</v>
      </c>
      <c r="AH577" s="220">
        <f t="shared" si="302"/>
        <v>32.452327950720232</v>
      </c>
      <c r="AJ577">
        <v>4.04</v>
      </c>
      <c r="AK577" s="285" t="s">
        <v>8399</v>
      </c>
      <c r="AL577" s="260">
        <v>170</v>
      </c>
      <c r="AN577" s="235">
        <v>75</v>
      </c>
      <c r="AO577" s="242">
        <v>42079</v>
      </c>
      <c r="AP577" s="235">
        <v>113</v>
      </c>
      <c r="AQ577" s="242">
        <v>42117</v>
      </c>
      <c r="AR577" s="136">
        <v>146</v>
      </c>
      <c r="AS577" s="297">
        <f t="shared" si="303"/>
        <v>146</v>
      </c>
      <c r="AT577" s="290">
        <v>42150</v>
      </c>
      <c r="AU577" s="298"/>
      <c r="BF577" s="282">
        <v>32.750392913818359</v>
      </c>
      <c r="BG577" s="283">
        <v>42235</v>
      </c>
      <c r="BL577" s="296">
        <v>59.9232177734375</v>
      </c>
      <c r="BM577" s="283">
        <v>42235</v>
      </c>
      <c r="BP577" s="282">
        <v>2.5129768848419189</v>
      </c>
      <c r="BQ577" s="283">
        <v>42235</v>
      </c>
      <c r="BR577" s="282">
        <v>46.514335632324219</v>
      </c>
      <c r="BS577" s="283">
        <v>42235</v>
      </c>
      <c r="BT577" s="282">
        <v>20.587749481201172</v>
      </c>
      <c r="BU577" s="283">
        <v>42235</v>
      </c>
      <c r="BV577" s="282">
        <v>64.257614135742188</v>
      </c>
      <c r="BW577" s="283">
        <v>42235</v>
      </c>
      <c r="BX577" s="282">
        <v>5.6306838989257813</v>
      </c>
      <c r="BY577" s="283">
        <v>42235</v>
      </c>
      <c r="CB577" s="267">
        <v>4.45</v>
      </c>
      <c r="CD577" s="282">
        <v>1.6666666666666607</v>
      </c>
      <c r="CE577" s="291" t="s">
        <v>8399</v>
      </c>
      <c r="CH577" s="136">
        <v>3</v>
      </c>
      <c r="CI577" s="136">
        <v>3</v>
      </c>
      <c r="CL577" s="136">
        <v>4</v>
      </c>
      <c r="CM577" s="259">
        <v>42161</v>
      </c>
      <c r="CN577" s="137" t="s">
        <v>8406</v>
      </c>
    </row>
    <row r="578" spans="1:93">
      <c r="A578" s="258">
        <v>958</v>
      </c>
      <c r="B578" s="235">
        <v>82</v>
      </c>
      <c r="C578" s="235" t="s">
        <v>7806</v>
      </c>
      <c r="D578" s="235" t="s">
        <v>7600</v>
      </c>
      <c r="E578" s="235" t="s">
        <v>7806</v>
      </c>
      <c r="F578" s="235" t="s">
        <v>8508</v>
      </c>
      <c r="G578" s="235" t="str">
        <f t="shared" si="297"/>
        <v>Rapsodyn</v>
      </c>
      <c r="H578" s="235" t="s">
        <v>267</v>
      </c>
      <c r="I578" s="235">
        <v>1</v>
      </c>
      <c r="J578" s="235">
        <v>9177</v>
      </c>
      <c r="K578" s="235">
        <v>65</v>
      </c>
      <c r="L578" s="235">
        <f t="shared" si="296"/>
        <v>137</v>
      </c>
      <c r="M578" s="235">
        <v>2</v>
      </c>
      <c r="N578" s="235">
        <v>7</v>
      </c>
      <c r="O578" s="248">
        <v>42048</v>
      </c>
      <c r="P578" s="136">
        <v>7.07</v>
      </c>
      <c r="Q578" s="264">
        <v>42204</v>
      </c>
      <c r="V578" s="219">
        <f t="shared" si="298"/>
        <v>21.663068570495806</v>
      </c>
      <c r="X578">
        <v>15.55</v>
      </c>
      <c r="AB578" s="220">
        <f t="shared" si="299"/>
        <v>7.5688352454268291</v>
      </c>
      <c r="AD578" s="221">
        <f t="shared" si="300"/>
        <v>79126.325700378409</v>
      </c>
      <c r="AF578" s="220">
        <f t="shared" si="301"/>
        <v>42.965594855305476</v>
      </c>
      <c r="AH578" s="220">
        <f t="shared" si="302"/>
        <v>48.178509593300596</v>
      </c>
      <c r="AJ578">
        <v>5.43</v>
      </c>
      <c r="AK578" s="285" t="s">
        <v>8399</v>
      </c>
      <c r="AL578" s="260">
        <v>170</v>
      </c>
      <c r="AN578" s="235">
        <v>70</v>
      </c>
      <c r="AO578" s="242">
        <v>42074</v>
      </c>
      <c r="AP578" s="235">
        <v>104</v>
      </c>
      <c r="AQ578" s="242">
        <v>42108</v>
      </c>
      <c r="AR578" s="136">
        <v>127</v>
      </c>
      <c r="AS578" s="297">
        <f t="shared" si="303"/>
        <v>127</v>
      </c>
      <c r="AT578" s="290">
        <v>42131</v>
      </c>
      <c r="AU578" s="298"/>
      <c r="BF578" s="282">
        <v>-2.6352269649505615</v>
      </c>
      <c r="BG578" s="283">
        <v>42235</v>
      </c>
      <c r="BL578" s="296">
        <v>64.646141052246094</v>
      </c>
      <c r="BM578" s="283">
        <v>42235</v>
      </c>
      <c r="BP578" s="282">
        <v>3.5960249900817871</v>
      </c>
      <c r="BQ578" s="283">
        <v>42235</v>
      </c>
      <c r="BR578" s="282">
        <v>50.419570922851563</v>
      </c>
      <c r="BS578" s="283">
        <v>42235</v>
      </c>
      <c r="BT578" s="282">
        <v>17.616037368774414</v>
      </c>
      <c r="BU578" s="283">
        <v>42235</v>
      </c>
      <c r="BV578" s="282">
        <v>19.325998306274414</v>
      </c>
      <c r="BW578" s="283">
        <v>42235</v>
      </c>
      <c r="BX578" s="282">
        <v>5.185516357421875</v>
      </c>
      <c r="BY578" s="283">
        <v>42235</v>
      </c>
      <c r="CB578" s="267">
        <v>4.1500000000000004</v>
      </c>
      <c r="CD578" s="282">
        <v>3.5714285714285587</v>
      </c>
      <c r="CE578" s="291" t="s">
        <v>8399</v>
      </c>
      <c r="CH578" s="136">
        <v>2</v>
      </c>
      <c r="CI578" s="136">
        <v>3</v>
      </c>
      <c r="CL578" s="136">
        <v>3</v>
      </c>
      <c r="CM578" s="259">
        <v>42161</v>
      </c>
      <c r="CN578" s="137" t="s">
        <v>8406</v>
      </c>
    </row>
    <row r="579" spans="1:93">
      <c r="A579" s="258">
        <v>960</v>
      </c>
      <c r="B579" s="235">
        <v>84</v>
      </c>
      <c r="C579" s="235" t="s">
        <v>7737</v>
      </c>
      <c r="D579" s="235" t="s">
        <v>7883</v>
      </c>
      <c r="E579" s="235" t="s">
        <v>7737</v>
      </c>
      <c r="F579" s="235" t="s">
        <v>8545</v>
      </c>
      <c r="G579" s="235" t="str">
        <f t="shared" si="297"/>
        <v>Rapsodyn</v>
      </c>
      <c r="H579" s="235" t="s">
        <v>267</v>
      </c>
      <c r="I579" s="235">
        <v>1</v>
      </c>
      <c r="J579" s="235">
        <v>9117</v>
      </c>
      <c r="K579" s="235">
        <v>63</v>
      </c>
      <c r="L579" s="235">
        <f t="shared" si="296"/>
        <v>135</v>
      </c>
      <c r="M579" s="235">
        <v>2</v>
      </c>
      <c r="N579" s="235">
        <v>7</v>
      </c>
      <c r="O579" s="248">
        <v>42048</v>
      </c>
      <c r="P579" s="136">
        <v>2.94</v>
      </c>
      <c r="Q579" s="264">
        <v>42204</v>
      </c>
      <c r="V579" s="219">
        <f t="shared" si="298"/>
        <v>8.5321338856197233</v>
      </c>
      <c r="X579">
        <v>15.55</v>
      </c>
      <c r="AB579" s="220">
        <f t="shared" si="299"/>
        <v>3.7758060009224828</v>
      </c>
      <c r="AD579" s="221">
        <f t="shared" si="300"/>
        <v>41397.615489124801</v>
      </c>
      <c r="AF579" s="220">
        <f t="shared" si="301"/>
        <v>17.842372275812789</v>
      </c>
      <c r="AH579" s="220">
        <f t="shared" si="302"/>
        <v>20.007145409074667</v>
      </c>
      <c r="AJ579">
        <v>4.3099999999999996</v>
      </c>
      <c r="AK579" s="285" t="s">
        <v>8401</v>
      </c>
      <c r="AL579" s="260">
        <v>175</v>
      </c>
      <c r="AN579" s="235">
        <v>72</v>
      </c>
      <c r="AO579" s="242">
        <v>42076</v>
      </c>
      <c r="AP579" s="235">
        <v>113</v>
      </c>
      <c r="AQ579" s="242">
        <v>42117</v>
      </c>
      <c r="AR579" s="136">
        <v>143</v>
      </c>
      <c r="AS579" s="297">
        <f t="shared" si="303"/>
        <v>143</v>
      </c>
      <c r="AT579" s="290">
        <v>42147</v>
      </c>
      <c r="AU579" s="298"/>
      <c r="BF579" s="282">
        <v>25.776386260986328</v>
      </c>
      <c r="BG579" s="283">
        <v>42234</v>
      </c>
      <c r="BL579" s="296">
        <v>61.370033264160156</v>
      </c>
      <c r="BM579" s="283">
        <v>42234</v>
      </c>
      <c r="BP579" s="282">
        <v>4.0735139846801758</v>
      </c>
      <c r="BQ579" s="283">
        <v>42234</v>
      </c>
      <c r="BR579" s="282">
        <v>47.819503784179688</v>
      </c>
      <c r="BS579" s="283">
        <v>42234</v>
      </c>
      <c r="BT579" s="282">
        <v>21.162017822265625</v>
      </c>
      <c r="BU579" s="283">
        <v>42234</v>
      </c>
      <c r="BV579" s="282">
        <v>52.664169311523438</v>
      </c>
      <c r="BW579" s="283">
        <v>42234</v>
      </c>
      <c r="BX579" s="282">
        <v>5.4751815795898437</v>
      </c>
      <c r="BY579" s="283">
        <v>42234</v>
      </c>
      <c r="CB579" s="267">
        <v>3.86</v>
      </c>
      <c r="CD579" s="282">
        <v>3.7037037037037068</v>
      </c>
      <c r="CE579" s="291" t="s">
        <v>8401</v>
      </c>
      <c r="CH579" s="136">
        <v>7</v>
      </c>
      <c r="CI579" s="136">
        <v>7</v>
      </c>
      <c r="CL579" s="136">
        <v>4</v>
      </c>
      <c r="CM579" s="259">
        <v>42161</v>
      </c>
      <c r="CO579" s="137" t="s">
        <v>8405</v>
      </c>
    </row>
    <row r="580" spans="1:93">
      <c r="A580" s="258">
        <v>963</v>
      </c>
      <c r="B580" s="235">
        <v>87</v>
      </c>
      <c r="C580" s="235" t="s">
        <v>7791</v>
      </c>
      <c r="D580" s="235" t="s">
        <v>7589</v>
      </c>
      <c r="E580" s="235" t="s">
        <v>7791</v>
      </c>
      <c r="F580" s="235" t="s">
        <v>8550</v>
      </c>
      <c r="G580" s="235" t="str">
        <f t="shared" si="297"/>
        <v>Rapsodyn</v>
      </c>
      <c r="H580" s="235" t="s">
        <v>267</v>
      </c>
      <c r="I580" s="235">
        <v>1</v>
      </c>
      <c r="J580" s="235">
        <v>9162</v>
      </c>
      <c r="K580" s="235">
        <v>60</v>
      </c>
      <c r="L580" s="235">
        <f t="shared" si="296"/>
        <v>132</v>
      </c>
      <c r="M580" s="235">
        <v>2</v>
      </c>
      <c r="N580" s="235">
        <v>7</v>
      </c>
      <c r="O580" s="248">
        <v>42048</v>
      </c>
      <c r="P580" s="136">
        <v>7.41</v>
      </c>
      <c r="Q580" s="264">
        <v>42204</v>
      </c>
      <c r="V580" s="219">
        <f t="shared" si="298"/>
        <v>22.491075307994993</v>
      </c>
      <c r="X580">
        <v>15.55</v>
      </c>
      <c r="AB580" s="220">
        <f t="shared" si="299"/>
        <v>7.8393553330432368</v>
      </c>
      <c r="AD580" s="221">
        <f t="shared" si="300"/>
        <v>98331.348882629667</v>
      </c>
      <c r="AF580" s="220">
        <f t="shared" si="301"/>
        <v>44.937426439361758</v>
      </c>
      <c r="AH580" s="220">
        <f t="shared" si="302"/>
        <v>50.389578873471365</v>
      </c>
      <c r="AJ580">
        <v>4.57</v>
      </c>
      <c r="AK580" s="285" t="s">
        <v>8403</v>
      </c>
      <c r="AL580" s="260">
        <v>180</v>
      </c>
      <c r="AN580" s="235">
        <v>65</v>
      </c>
      <c r="AO580" s="242">
        <v>42069</v>
      </c>
      <c r="AP580" s="235">
        <v>104</v>
      </c>
      <c r="AQ580" s="242">
        <v>42108</v>
      </c>
      <c r="AR580" s="136">
        <v>127</v>
      </c>
      <c r="AS580" s="297">
        <f t="shared" si="303"/>
        <v>127</v>
      </c>
      <c r="AT580" s="290">
        <v>42131</v>
      </c>
      <c r="AU580" s="298"/>
      <c r="BF580" s="282">
        <v>-2.4885640144348145</v>
      </c>
      <c r="BG580" s="283">
        <v>42234</v>
      </c>
      <c r="BL580" s="296">
        <v>66.266197204589844</v>
      </c>
      <c r="BM580" s="283">
        <v>42234</v>
      </c>
      <c r="BP580" s="282">
        <v>3.3232510089874268</v>
      </c>
      <c r="BQ580" s="283">
        <v>42234</v>
      </c>
      <c r="BR580" s="282">
        <v>50.049762725830078</v>
      </c>
      <c r="BS580" s="283">
        <v>42234</v>
      </c>
      <c r="BT580" s="282">
        <v>17.445047378540039</v>
      </c>
      <c r="BU580" s="283">
        <v>42234</v>
      </c>
      <c r="BV580" s="282">
        <v>15.101707458496094</v>
      </c>
      <c r="BW580" s="283">
        <v>42234</v>
      </c>
      <c r="BX580" s="282">
        <v>5.3115692138671875</v>
      </c>
      <c r="BY580" s="283">
        <v>42234</v>
      </c>
      <c r="CB580" s="267">
        <v>4.0999999999999996</v>
      </c>
      <c r="CD580" s="282">
        <v>3.7735849056603805</v>
      </c>
      <c r="CE580" s="291" t="s">
        <v>8403</v>
      </c>
      <c r="CH580" s="136">
        <v>2</v>
      </c>
      <c r="CI580" s="136">
        <v>3</v>
      </c>
      <c r="CL580" s="136">
        <v>2</v>
      </c>
      <c r="CM580" s="259">
        <v>42161</v>
      </c>
      <c r="CN580" s="137" t="s">
        <v>8406</v>
      </c>
    </row>
    <row r="581" spans="1:93">
      <c r="A581" s="258">
        <v>964</v>
      </c>
      <c r="B581" s="235">
        <v>88</v>
      </c>
      <c r="C581" s="235" t="s">
        <v>7724</v>
      </c>
      <c r="D581" s="235" t="s">
        <v>7821</v>
      </c>
      <c r="E581" s="235" t="s">
        <v>7724</v>
      </c>
      <c r="F581" s="235" t="s">
        <v>8505</v>
      </c>
      <c r="G581" s="235" t="str">
        <f t="shared" si="297"/>
        <v>Rapsodyn</v>
      </c>
      <c r="H581" s="235" t="s">
        <v>267</v>
      </c>
      <c r="I581" s="235">
        <v>1</v>
      </c>
      <c r="J581" s="235">
        <v>9106</v>
      </c>
      <c r="K581" s="235">
        <v>59</v>
      </c>
      <c r="L581" s="235">
        <f t="shared" si="296"/>
        <v>131</v>
      </c>
      <c r="M581" s="235">
        <v>2</v>
      </c>
      <c r="N581" s="235">
        <v>7</v>
      </c>
      <c r="O581" s="248">
        <v>42048</v>
      </c>
      <c r="P581" s="136">
        <v>7.56</v>
      </c>
      <c r="Q581" s="264">
        <v>42204</v>
      </c>
      <c r="V581" s="219">
        <f t="shared" si="298"/>
        <v>22.528665573733864</v>
      </c>
      <c r="X581">
        <v>15.55</v>
      </c>
      <c r="AB581" s="220">
        <f t="shared" si="299"/>
        <v>8.1987965309436035</v>
      </c>
      <c r="AD581" s="221">
        <f t="shared" si="300"/>
        <v>103027.17065659065</v>
      </c>
      <c r="AF581" s="220">
        <f t="shared" si="301"/>
        <v>45.847090942182838</v>
      </c>
      <c r="AH581" s="220">
        <f t="shared" si="302"/>
        <v>51.409610834472808</v>
      </c>
      <c r="AJ581">
        <v>4.45</v>
      </c>
      <c r="AK581" s="285" t="s">
        <v>8399</v>
      </c>
      <c r="AL581" s="260">
        <v>170</v>
      </c>
      <c r="AN581" s="235">
        <v>70</v>
      </c>
      <c r="AO581" s="242">
        <v>42074</v>
      </c>
      <c r="AP581" s="235">
        <v>104</v>
      </c>
      <c r="AQ581" s="242">
        <v>42108</v>
      </c>
      <c r="AR581" s="136">
        <v>131</v>
      </c>
      <c r="AS581" s="297">
        <f t="shared" si="303"/>
        <v>131</v>
      </c>
      <c r="AT581" s="290">
        <v>42135</v>
      </c>
      <c r="AU581" s="298"/>
      <c r="BF581" s="282">
        <v>-5.1407570838928223</v>
      </c>
      <c r="BG581" s="283">
        <v>42234</v>
      </c>
      <c r="BL581" s="296">
        <v>63.574005126953125</v>
      </c>
      <c r="BM581" s="283">
        <v>42234</v>
      </c>
      <c r="BP581" s="282">
        <v>3.3637650012969971</v>
      </c>
      <c r="BQ581" s="283">
        <v>42234</v>
      </c>
      <c r="BR581" s="282">
        <v>49.138702392578125</v>
      </c>
      <c r="BS581" s="283">
        <v>42234</v>
      </c>
      <c r="BT581" s="282">
        <v>17.882915496826172</v>
      </c>
      <c r="BU581" s="283">
        <v>42234</v>
      </c>
      <c r="BV581" s="282">
        <v>17.084819793701172</v>
      </c>
      <c r="BW581" s="283">
        <v>42234</v>
      </c>
      <c r="BX581" s="282">
        <v>5.4180679321289062</v>
      </c>
      <c r="BY581" s="283">
        <v>42234</v>
      </c>
      <c r="CB581" s="267">
        <v>3.27</v>
      </c>
      <c r="CD581" s="282">
        <v>3.7735849056603805</v>
      </c>
      <c r="CE581" s="291" t="s">
        <v>8399</v>
      </c>
      <c r="CH581" s="136">
        <v>2</v>
      </c>
      <c r="CI581" s="136">
        <v>4</v>
      </c>
      <c r="CL581" s="136">
        <v>1</v>
      </c>
      <c r="CM581" s="259">
        <v>42161</v>
      </c>
      <c r="CN581" s="137" t="s">
        <v>8406</v>
      </c>
    </row>
    <row r="582" spans="1:93">
      <c r="A582" s="258">
        <v>966</v>
      </c>
      <c r="B582" s="235">
        <v>90</v>
      </c>
      <c r="C582" s="235" t="s">
        <v>7726</v>
      </c>
      <c r="D582" s="235" t="s">
        <v>7549</v>
      </c>
      <c r="E582" s="235" t="s">
        <v>7726</v>
      </c>
      <c r="F582" s="235" t="s">
        <v>8553</v>
      </c>
      <c r="G582" s="235" t="str">
        <f t="shared" si="297"/>
        <v>Rapsodyn</v>
      </c>
      <c r="H582" s="235" t="s">
        <v>267</v>
      </c>
      <c r="I582" s="235">
        <v>1</v>
      </c>
      <c r="J582" s="235">
        <v>9108</v>
      </c>
      <c r="K582" s="235">
        <v>57</v>
      </c>
      <c r="L582" s="235">
        <f t="shared" si="296"/>
        <v>129</v>
      </c>
      <c r="M582" s="235">
        <v>2</v>
      </c>
      <c r="N582" s="235">
        <v>7</v>
      </c>
      <c r="O582" s="248">
        <v>42048</v>
      </c>
      <c r="P582" s="136">
        <v>6.35</v>
      </c>
      <c r="Q582" s="264">
        <v>42204</v>
      </c>
      <c r="V582" s="219">
        <f t="shared" si="298"/>
        <v>19.116226602922772</v>
      </c>
      <c r="X582">
        <v>15.55</v>
      </c>
      <c r="AB582" s="220">
        <f t="shared" si="299"/>
        <v>7.1347947286397799</v>
      </c>
      <c r="AD582" s="221">
        <f t="shared" si="300"/>
        <v>77914.229880029365</v>
      </c>
      <c r="AF582" s="220">
        <f t="shared" si="301"/>
        <v>37.710487261934212</v>
      </c>
      <c r="AH582" s="220">
        <f t="shared" si="302"/>
        <v>42.285812134934083</v>
      </c>
      <c r="AJ582">
        <v>4.84</v>
      </c>
      <c r="AK582" s="285" t="s">
        <v>8399</v>
      </c>
      <c r="AL582" s="260">
        <v>170</v>
      </c>
      <c r="AN582" s="235">
        <v>70</v>
      </c>
      <c r="AO582" s="242">
        <v>42074</v>
      </c>
      <c r="AP582" s="235">
        <v>104</v>
      </c>
      <c r="AQ582" s="242">
        <v>42108</v>
      </c>
      <c r="AR582" s="136">
        <v>127</v>
      </c>
      <c r="AS582" s="297">
        <f t="shared" si="303"/>
        <v>127</v>
      </c>
      <c r="AT582" s="290">
        <v>42131</v>
      </c>
      <c r="AU582" s="298"/>
      <c r="BF582" s="282">
        <v>-6.7297878265380859</v>
      </c>
      <c r="BG582" s="283">
        <v>42234</v>
      </c>
      <c r="BL582" s="296">
        <v>65.50732421875</v>
      </c>
      <c r="BM582" s="283">
        <v>42234</v>
      </c>
      <c r="BP582" s="282">
        <v>2.6723079681396484</v>
      </c>
      <c r="BQ582" s="283">
        <v>42234</v>
      </c>
      <c r="BR582" s="282">
        <v>50.692070007324219</v>
      </c>
      <c r="BS582" s="283">
        <v>42234</v>
      </c>
      <c r="BT582" s="282">
        <v>18.919921875</v>
      </c>
      <c r="BU582" s="283">
        <v>42234</v>
      </c>
      <c r="BV582" s="282">
        <v>17.362314224243164</v>
      </c>
      <c r="BW582" s="283">
        <v>42234</v>
      </c>
      <c r="BX582" s="282">
        <v>5.321441650390625</v>
      </c>
      <c r="BY582" s="283">
        <v>42234</v>
      </c>
      <c r="CB582" s="267">
        <v>3.75</v>
      </c>
      <c r="CD582" s="282">
        <v>5.7692307692307656</v>
      </c>
      <c r="CE582" s="291" t="s">
        <v>8399</v>
      </c>
      <c r="CH582" s="136">
        <v>2</v>
      </c>
      <c r="CI582" s="136">
        <v>3</v>
      </c>
      <c r="CL582" s="136">
        <v>1</v>
      </c>
      <c r="CM582" s="259">
        <v>42161</v>
      </c>
      <c r="CN582" s="137" t="s">
        <v>8406</v>
      </c>
    </row>
    <row r="583" spans="1:93">
      <c r="A583" s="258">
        <v>967</v>
      </c>
      <c r="B583" s="235">
        <v>91</v>
      </c>
      <c r="C583" s="235" t="s">
        <v>7784</v>
      </c>
      <c r="D583" s="235" t="s">
        <v>7582</v>
      </c>
      <c r="E583" s="235" t="s">
        <v>7784</v>
      </c>
      <c r="F583" s="235" t="s">
        <v>8429</v>
      </c>
      <c r="G583" s="235" t="str">
        <f t="shared" si="297"/>
        <v>Rapsodyn</v>
      </c>
      <c r="H583" s="235" t="s">
        <v>267</v>
      </c>
      <c r="I583" s="235">
        <v>1</v>
      </c>
      <c r="J583" s="235">
        <v>9155</v>
      </c>
      <c r="K583" s="235">
        <v>56</v>
      </c>
      <c r="L583" s="235">
        <f t="shared" si="296"/>
        <v>128</v>
      </c>
      <c r="M583" s="235">
        <v>2</v>
      </c>
      <c r="N583" s="235">
        <v>7</v>
      </c>
      <c r="O583" s="248">
        <v>42048</v>
      </c>
      <c r="P583" s="136">
        <v>8.16</v>
      </c>
      <c r="Q583" s="264">
        <v>42204</v>
      </c>
      <c r="V583" s="219">
        <f t="shared" si="298"/>
        <v>24.694216069691333</v>
      </c>
      <c r="X583">
        <v>15.55</v>
      </c>
      <c r="AB583" s="220">
        <f t="shared" si="299"/>
        <v>8.8468604416254841</v>
      </c>
      <c r="AD583" s="221">
        <f t="shared" si="300"/>
        <v>117154.41339577618</v>
      </c>
      <c r="AF583" s="220">
        <f t="shared" si="301"/>
        <v>49.556316866413326</v>
      </c>
      <c r="AH583" s="220">
        <f t="shared" si="302"/>
        <v>55.568868430604752</v>
      </c>
      <c r="AJ583">
        <v>4.2300000000000004</v>
      </c>
      <c r="AK583" s="285" t="s">
        <v>8399</v>
      </c>
      <c r="AL583" s="260">
        <v>175</v>
      </c>
      <c r="AN583" s="235">
        <v>65</v>
      </c>
      <c r="AO583" s="242">
        <v>42069</v>
      </c>
      <c r="AP583" s="235">
        <v>106</v>
      </c>
      <c r="AQ583" s="242">
        <v>42110</v>
      </c>
      <c r="AR583" s="136">
        <v>137</v>
      </c>
      <c r="AS583" s="297">
        <f t="shared" si="303"/>
        <v>137</v>
      </c>
      <c r="AT583" s="290">
        <v>42141</v>
      </c>
      <c r="AU583" s="298"/>
      <c r="BF583" s="282">
        <v>-2.4921610355377197</v>
      </c>
      <c r="BG583" s="283">
        <v>42234</v>
      </c>
      <c r="BL583" s="296">
        <v>63.389251708984375</v>
      </c>
      <c r="BM583" s="283">
        <v>42234</v>
      </c>
      <c r="BP583" s="282">
        <v>3.1901938915252686</v>
      </c>
      <c r="BQ583" s="283">
        <v>42234</v>
      </c>
      <c r="BR583" s="282">
        <v>49.830612182617188</v>
      </c>
      <c r="BS583" s="283">
        <v>42234</v>
      </c>
      <c r="BT583" s="282">
        <v>17.852134704589844</v>
      </c>
      <c r="BU583" s="283">
        <v>42234</v>
      </c>
      <c r="BV583" s="282">
        <v>14.295158386230469</v>
      </c>
      <c r="BW583" s="283">
        <v>42234</v>
      </c>
      <c r="BX583" s="282">
        <v>5.4281005859375</v>
      </c>
      <c r="BY583" s="283">
        <v>42234</v>
      </c>
      <c r="CB583" s="267">
        <v>3.23</v>
      </c>
      <c r="CD583" s="282">
        <v>3.6363636363636398</v>
      </c>
      <c r="CE583" s="291" t="s">
        <v>8399</v>
      </c>
      <c r="CH583" s="136">
        <v>2</v>
      </c>
      <c r="CI583" s="136">
        <v>4</v>
      </c>
      <c r="CL583" s="136">
        <v>3</v>
      </c>
      <c r="CM583" s="259">
        <v>42161</v>
      </c>
      <c r="CN583" s="137" t="s">
        <v>8406</v>
      </c>
    </row>
    <row r="584" spans="1:93">
      <c r="A584" s="258">
        <v>970</v>
      </c>
      <c r="B584" s="235">
        <v>94</v>
      </c>
      <c r="C584" s="235" t="s">
        <v>7678</v>
      </c>
      <c r="D584" s="235" t="s">
        <v>261</v>
      </c>
      <c r="E584" s="235" t="s">
        <v>7678</v>
      </c>
      <c r="F584" s="235" t="s">
        <v>8578</v>
      </c>
      <c r="G584" s="235" t="str">
        <f t="shared" si="297"/>
        <v>Rapsodyn</v>
      </c>
      <c r="H584" s="235" t="s">
        <v>267</v>
      </c>
      <c r="I584" s="235">
        <v>1</v>
      </c>
      <c r="J584" s="235">
        <v>9060</v>
      </c>
      <c r="K584" s="235">
        <v>53</v>
      </c>
      <c r="L584" s="235">
        <f t="shared" si="296"/>
        <v>125</v>
      </c>
      <c r="M584" s="235">
        <v>2</v>
      </c>
      <c r="N584" s="235">
        <v>7</v>
      </c>
      <c r="O584" s="248">
        <v>42048</v>
      </c>
      <c r="P584" s="136">
        <v>5.76</v>
      </c>
      <c r="Q584" s="264">
        <v>42204</v>
      </c>
      <c r="V584" s="219">
        <f t="shared" si="298"/>
        <v>16.341853041207965</v>
      </c>
      <c r="X584">
        <v>15.55</v>
      </c>
      <c r="AB584" s="220">
        <f t="shared" si="299"/>
        <v>7.0244433484113564</v>
      </c>
      <c r="AD584" s="221">
        <f t="shared" si="300"/>
        <v>69606.369433062966</v>
      </c>
      <c r="AF584" s="220">
        <f t="shared" si="301"/>
        <v>34.455152869366174</v>
      </c>
      <c r="AH584" s="220">
        <f t="shared" si="302"/>
        <v>38.635515664236571</v>
      </c>
      <c r="AJ584">
        <v>4.95</v>
      </c>
      <c r="AK584" s="285" t="s">
        <v>8399</v>
      </c>
      <c r="AL584" s="260">
        <v>175</v>
      </c>
      <c r="AN584" s="235">
        <v>65</v>
      </c>
      <c r="AO584" s="242">
        <v>42069</v>
      </c>
      <c r="AP584" s="235">
        <v>110</v>
      </c>
      <c r="AQ584" s="242">
        <v>42114</v>
      </c>
      <c r="AR584" s="136">
        <v>136</v>
      </c>
      <c r="AS584" s="297">
        <f t="shared" si="303"/>
        <v>136</v>
      </c>
      <c r="AT584" s="290">
        <v>42140</v>
      </c>
      <c r="AU584" s="298"/>
      <c r="BF584" s="282">
        <v>-4.5956192016601562</v>
      </c>
      <c r="BG584" s="283">
        <v>42234</v>
      </c>
      <c r="BL584" s="296">
        <v>71.581581115722656</v>
      </c>
      <c r="BM584" s="283">
        <v>42234</v>
      </c>
      <c r="BP584" s="282">
        <v>3.5785260200500488</v>
      </c>
      <c r="BQ584" s="283">
        <v>42234</v>
      </c>
      <c r="BR584" s="282">
        <v>47.429344177246094</v>
      </c>
      <c r="BS584" s="283">
        <v>42234</v>
      </c>
      <c r="BT584" s="282">
        <v>20.38720703125</v>
      </c>
      <c r="BU584" s="283">
        <v>42234</v>
      </c>
      <c r="BV584" s="282">
        <v>20.353347778320312</v>
      </c>
      <c r="BW584" s="283">
        <v>42234</v>
      </c>
      <c r="BX584" s="282">
        <v>5.6888046264648437</v>
      </c>
      <c r="BY584" s="283">
        <v>42234</v>
      </c>
      <c r="CB584" s="267">
        <v>4.04</v>
      </c>
      <c r="CD584" s="282">
        <v>5.0847457627118757</v>
      </c>
      <c r="CE584" s="291" t="s">
        <v>8399</v>
      </c>
      <c r="CH584" s="136">
        <v>2</v>
      </c>
      <c r="CI584" s="136">
        <v>3</v>
      </c>
      <c r="CL584" s="136">
        <v>4</v>
      </c>
      <c r="CM584" s="259">
        <v>42161</v>
      </c>
      <c r="CN584" s="137" t="s">
        <v>8406</v>
      </c>
    </row>
    <row r="585" spans="1:93">
      <c r="A585" s="258">
        <v>971</v>
      </c>
      <c r="B585" s="235">
        <v>95</v>
      </c>
      <c r="C585" s="235" t="s">
        <v>7576</v>
      </c>
      <c r="D585" s="235"/>
      <c r="E585" s="235"/>
      <c r="F585" s="235"/>
      <c r="G585" s="235"/>
      <c r="H585" s="235" t="s">
        <v>267</v>
      </c>
      <c r="I585" s="235">
        <v>1</v>
      </c>
      <c r="K585" s="235">
        <v>52</v>
      </c>
      <c r="L585" s="235">
        <f t="shared" si="296"/>
        <v>124</v>
      </c>
      <c r="M585" s="235">
        <v>2</v>
      </c>
      <c r="O585" s="248">
        <v>42048</v>
      </c>
      <c r="V585" s="219"/>
      <c r="X585">
        <v>15.55</v>
      </c>
      <c r="AB585" s="220"/>
      <c r="AD585" s="221"/>
      <c r="AF585" s="220"/>
      <c r="AH585" s="220"/>
      <c r="AJ585" s="286"/>
      <c r="AK585" s="285"/>
      <c r="AL585" s="260"/>
      <c r="AN585" s="235">
        <v>70</v>
      </c>
      <c r="AO585" s="242">
        <v>42074</v>
      </c>
      <c r="AP585" s="235">
        <v>106</v>
      </c>
      <c r="AQ585" s="242">
        <v>42110</v>
      </c>
      <c r="AS585" s="297"/>
      <c r="AT585" s="290"/>
      <c r="AU585" s="298"/>
      <c r="BF585" s="282"/>
      <c r="BG585" s="235"/>
      <c r="BL585" s="296"/>
      <c r="BM585" s="235"/>
      <c r="BP585" s="282"/>
      <c r="BQ585" s="235"/>
      <c r="BR585" s="282"/>
      <c r="BS585" s="235"/>
      <c r="BT585" s="282"/>
      <c r="BU585" s="235"/>
      <c r="BV585" s="282"/>
      <c r="BW585" s="235"/>
      <c r="BX585" s="282"/>
      <c r="BY585" s="235"/>
      <c r="CB585" s="267"/>
      <c r="CD585" s="282"/>
      <c r="CE585" s="291"/>
      <c r="CL585" s="136">
        <v>3</v>
      </c>
      <c r="CM585" s="259">
        <v>42161</v>
      </c>
    </row>
    <row r="586" spans="1:93">
      <c r="A586" s="258">
        <v>972</v>
      </c>
      <c r="B586" s="235">
        <v>96</v>
      </c>
      <c r="C586" s="235" t="s">
        <v>7576</v>
      </c>
      <c r="D586" s="235"/>
      <c r="E586" s="235"/>
      <c r="F586" s="235"/>
      <c r="G586" s="235"/>
      <c r="H586" s="235" t="s">
        <v>267</v>
      </c>
      <c r="I586" s="235">
        <v>1</v>
      </c>
      <c r="K586" s="235">
        <v>51</v>
      </c>
      <c r="L586" s="235">
        <f t="shared" si="296"/>
        <v>123</v>
      </c>
      <c r="M586" s="235">
        <v>2</v>
      </c>
      <c r="O586" s="248">
        <v>42048</v>
      </c>
      <c r="V586" s="219"/>
      <c r="X586">
        <v>15.55</v>
      </c>
      <c r="AB586" s="220"/>
      <c r="AD586" s="221"/>
      <c r="AF586" s="220"/>
      <c r="AH586" s="220"/>
      <c r="AJ586" s="286"/>
      <c r="AK586" s="285"/>
      <c r="AL586" s="260"/>
      <c r="AN586" s="235">
        <v>70</v>
      </c>
      <c r="AO586" s="242">
        <v>42074</v>
      </c>
      <c r="AP586" s="235">
        <v>106</v>
      </c>
      <c r="AQ586" s="242">
        <v>42110</v>
      </c>
      <c r="AS586" s="297"/>
      <c r="AT586" s="290"/>
      <c r="AU586" s="298"/>
      <c r="BF586" s="282"/>
      <c r="BG586" s="235"/>
      <c r="BL586" s="296"/>
      <c r="BM586" s="235"/>
      <c r="BP586" s="282"/>
      <c r="BQ586" s="235"/>
      <c r="BR586" s="282"/>
      <c r="BS586" s="235"/>
      <c r="BT586" s="282"/>
      <c r="BU586" s="235"/>
      <c r="BV586" s="282"/>
      <c r="BW586" s="235"/>
      <c r="BX586" s="282"/>
      <c r="BY586" s="235"/>
      <c r="CB586" s="267"/>
      <c r="CD586" s="282"/>
      <c r="CE586" s="291"/>
      <c r="CL586" s="136">
        <v>3</v>
      </c>
      <c r="CM586" s="259">
        <v>42161</v>
      </c>
    </row>
    <row r="587" spans="1:93">
      <c r="A587" s="258">
        <v>973</v>
      </c>
      <c r="B587" s="235">
        <v>97</v>
      </c>
      <c r="C587" s="235" t="s">
        <v>7640</v>
      </c>
      <c r="D587" s="235" t="s">
        <v>7472</v>
      </c>
      <c r="E587" s="235" t="s">
        <v>7640</v>
      </c>
      <c r="F587" s="235" t="s">
        <v>8430</v>
      </c>
      <c r="G587" s="235" t="str">
        <f t="shared" ref="G587:G596" si="304">IF(MID(C587,1,3)="BGA","Complement","Rapsodyn")</f>
        <v>Rapsodyn</v>
      </c>
      <c r="H587" s="235" t="s">
        <v>267</v>
      </c>
      <c r="I587" s="235">
        <v>1</v>
      </c>
      <c r="J587" s="235">
        <v>9028</v>
      </c>
      <c r="K587" s="235">
        <v>50</v>
      </c>
      <c r="L587" s="235">
        <f t="shared" si="296"/>
        <v>122</v>
      </c>
      <c r="M587" s="235">
        <v>2</v>
      </c>
      <c r="N587" s="236">
        <v>9</v>
      </c>
      <c r="O587" s="248">
        <v>42048</v>
      </c>
      <c r="P587" s="136">
        <v>2.69</v>
      </c>
      <c r="Q587" s="264">
        <v>42204</v>
      </c>
      <c r="V587" s="219">
        <f t="shared" ref="V587:V590" si="305">+BR587*AF587/100</f>
        <v>7.2005151568961674</v>
      </c>
      <c r="X587">
        <v>15.55</v>
      </c>
      <c r="AB587" s="220">
        <f t="shared" ref="AB587:AB590" si="306">+AF587*BT587/100</f>
        <v>2.9554974087564885</v>
      </c>
      <c r="AD587" s="221">
        <f t="shared" ref="AD587:AD590" si="307">+(AF587/AJ587)*10000</f>
        <v>35089.520608009349</v>
      </c>
      <c r="AF587" s="220">
        <f t="shared" ref="AF587:AF590" si="308">($P587/$X587)*(((100-$CD587)/100*(100-2)/100))*100</f>
        <v>15.439389067524115</v>
      </c>
      <c r="AH587" s="220">
        <f t="shared" ref="AH587:AH590" si="309">($P587/$X587)*(((100-$CD587)/(100-9)*(100-2)/(100-2))*100)</f>
        <v>17.31261389047333</v>
      </c>
      <c r="AJ587">
        <v>4.4000000000000004</v>
      </c>
      <c r="AK587" s="285" t="s">
        <v>8400</v>
      </c>
      <c r="AL587" s="260">
        <v>175</v>
      </c>
      <c r="AN587" s="235">
        <v>72</v>
      </c>
      <c r="AO587" s="242">
        <v>42076</v>
      </c>
      <c r="AP587" s="235">
        <v>104</v>
      </c>
      <c r="AQ587" s="242">
        <v>42108</v>
      </c>
      <c r="AR587" s="136">
        <v>126</v>
      </c>
      <c r="AS587" s="297">
        <f t="shared" ref="AS587:AS596" si="310">IF(AR587=0,,AR587)</f>
        <v>126</v>
      </c>
      <c r="AT587" s="290">
        <v>42130</v>
      </c>
      <c r="AU587" s="298"/>
      <c r="BF587" s="282">
        <v>-6.6409091949462891</v>
      </c>
      <c r="BG587" s="283">
        <v>42234</v>
      </c>
      <c r="BL587" s="296">
        <v>60.530773162841797</v>
      </c>
      <c r="BM587" s="283">
        <v>42234</v>
      </c>
      <c r="BP587" s="282">
        <v>3.521522045135498</v>
      </c>
      <c r="BQ587" s="283">
        <v>42234</v>
      </c>
      <c r="BR587" s="282">
        <v>46.637306213378906</v>
      </c>
      <c r="BS587" s="283">
        <v>42234</v>
      </c>
      <c r="BT587" s="282">
        <v>19.142580032348633</v>
      </c>
      <c r="BU587" s="283">
        <v>42234</v>
      </c>
      <c r="BV587" s="282">
        <v>63.526771545410156</v>
      </c>
      <c r="BW587" s="283">
        <v>42234</v>
      </c>
      <c r="BX587" s="282">
        <v>5.4879150390625</v>
      </c>
      <c r="BY587" s="283">
        <v>42234</v>
      </c>
      <c r="CB587" s="267">
        <v>3.09</v>
      </c>
      <c r="CD587" s="282">
        <v>8.9285714285714288</v>
      </c>
      <c r="CE587" s="291" t="s">
        <v>8400</v>
      </c>
      <c r="CH587" s="136">
        <v>1</v>
      </c>
      <c r="CI587" s="136">
        <v>8</v>
      </c>
      <c r="CL587" s="136">
        <v>6</v>
      </c>
      <c r="CM587" s="259">
        <v>42161</v>
      </c>
      <c r="CO587" s="137" t="s">
        <v>8405</v>
      </c>
    </row>
    <row r="588" spans="1:93">
      <c r="A588" s="258">
        <v>974</v>
      </c>
      <c r="B588" s="235">
        <v>98</v>
      </c>
      <c r="C588" s="235" t="s">
        <v>7688</v>
      </c>
      <c r="D588" s="235" t="s">
        <v>7514</v>
      </c>
      <c r="E588" s="235" t="s">
        <v>7688</v>
      </c>
      <c r="F588" s="235" t="s">
        <v>8435</v>
      </c>
      <c r="G588" s="235" t="str">
        <f t="shared" si="304"/>
        <v>Rapsodyn</v>
      </c>
      <c r="H588" s="235" t="s">
        <v>267</v>
      </c>
      <c r="I588" s="235">
        <v>1</v>
      </c>
      <c r="J588" s="235">
        <v>9070</v>
      </c>
      <c r="K588" s="235">
        <v>49</v>
      </c>
      <c r="L588" s="235">
        <f t="shared" si="296"/>
        <v>121</v>
      </c>
      <c r="M588" s="235">
        <v>2</v>
      </c>
      <c r="N588" s="235">
        <v>7</v>
      </c>
      <c r="O588" s="248">
        <v>42048</v>
      </c>
      <c r="P588" s="136">
        <v>5.85</v>
      </c>
      <c r="Q588" s="264">
        <v>42204</v>
      </c>
      <c r="V588" s="219">
        <f t="shared" si="305"/>
        <v>16.672630834129528</v>
      </c>
      <c r="X588">
        <v>15.55</v>
      </c>
      <c r="AB588" s="220">
        <f t="shared" si="306"/>
        <v>6.6362202840145468</v>
      </c>
      <c r="AD588" s="221">
        <f t="shared" si="307"/>
        <v>86067.101887037556</v>
      </c>
      <c r="AF588" s="220">
        <f t="shared" si="308"/>
        <v>34.857176264250214</v>
      </c>
      <c r="AH588" s="220">
        <f t="shared" si="309"/>
        <v>39.086315613646804</v>
      </c>
      <c r="AJ588">
        <v>4.05</v>
      </c>
      <c r="AK588" s="285" t="s">
        <v>8400</v>
      </c>
      <c r="AL588" s="260">
        <v>140</v>
      </c>
      <c r="AN588" s="235">
        <v>70</v>
      </c>
      <c r="AO588" s="242">
        <v>42074</v>
      </c>
      <c r="AP588" s="235">
        <v>113</v>
      </c>
      <c r="AQ588" s="242">
        <v>42117</v>
      </c>
      <c r="AR588" s="136">
        <v>141</v>
      </c>
      <c r="AS588" s="297">
        <f t="shared" si="310"/>
        <v>141</v>
      </c>
      <c r="AT588" s="290">
        <v>42145</v>
      </c>
      <c r="AU588" s="298"/>
      <c r="BF588" s="282">
        <v>-1.7369420528411865</v>
      </c>
      <c r="BG588" s="283">
        <v>42234</v>
      </c>
      <c r="BL588" s="296">
        <v>63.519931793212891</v>
      </c>
      <c r="BM588" s="283">
        <v>42234</v>
      </c>
      <c r="BP588" s="282">
        <v>4.1447839736938477</v>
      </c>
      <c r="BQ588" s="283">
        <v>42234</v>
      </c>
      <c r="BR588" s="282">
        <v>47.831272125244141</v>
      </c>
      <c r="BS588" s="283">
        <v>42234</v>
      </c>
      <c r="BT588" s="282">
        <v>19.038318634033203</v>
      </c>
      <c r="BU588" s="283">
        <v>42234</v>
      </c>
      <c r="BV588" s="282">
        <v>19.167970657348633</v>
      </c>
      <c r="BW588" s="283">
        <v>42234</v>
      </c>
      <c r="BX588" s="282">
        <v>5.4506759643554687</v>
      </c>
      <c r="BY588" s="283">
        <v>42234</v>
      </c>
      <c r="CB588" s="267">
        <v>3.66</v>
      </c>
      <c r="CD588" s="282">
        <v>5.4545454545454515</v>
      </c>
      <c r="CE588" s="291" t="s">
        <v>8400</v>
      </c>
      <c r="CH588" s="136">
        <v>4</v>
      </c>
      <c r="CI588" s="136">
        <v>3</v>
      </c>
      <c r="CL588" s="136">
        <v>4</v>
      </c>
      <c r="CM588" s="259">
        <v>42161</v>
      </c>
      <c r="CN588" s="137" t="s">
        <v>8406</v>
      </c>
    </row>
    <row r="589" spans="1:93">
      <c r="A589" s="258">
        <v>976</v>
      </c>
      <c r="B589" s="235">
        <v>100</v>
      </c>
      <c r="C589" s="235" t="s">
        <v>8238</v>
      </c>
      <c r="D589" s="235" t="s">
        <v>7562</v>
      </c>
      <c r="E589" s="235" t="s">
        <v>8461</v>
      </c>
      <c r="F589" s="235" t="s">
        <v>8469</v>
      </c>
      <c r="G589" s="235" t="str">
        <f t="shared" si="304"/>
        <v>Rapsodyn</v>
      </c>
      <c r="H589" s="235" t="s">
        <v>267</v>
      </c>
      <c r="I589" s="235">
        <v>1</v>
      </c>
      <c r="J589" s="235">
        <v>9360</v>
      </c>
      <c r="K589" s="235">
        <v>47</v>
      </c>
      <c r="L589" s="235">
        <f t="shared" si="296"/>
        <v>119</v>
      </c>
      <c r="M589" s="235">
        <v>2</v>
      </c>
      <c r="N589" s="235">
        <v>7</v>
      </c>
      <c r="O589" s="248">
        <v>42048</v>
      </c>
      <c r="P589" s="136">
        <v>6.53</v>
      </c>
      <c r="Q589" s="264">
        <v>42204</v>
      </c>
      <c r="V589" s="219">
        <f t="shared" si="305"/>
        <v>18.320358241465104</v>
      </c>
      <c r="X589">
        <v>15.55</v>
      </c>
      <c r="AB589" s="220">
        <f t="shared" si="306"/>
        <v>7.2062213224971341</v>
      </c>
      <c r="AD589" s="221">
        <f t="shared" si="307"/>
        <v>82242.891269945278</v>
      </c>
      <c r="AF589" s="220">
        <f t="shared" si="308"/>
        <v>38.160701549254604</v>
      </c>
      <c r="AH589" s="220">
        <f t="shared" si="309"/>
        <v>42.790649864604845</v>
      </c>
      <c r="AJ589">
        <v>4.6399999999999997</v>
      </c>
      <c r="AK589" s="285" t="s">
        <v>8399</v>
      </c>
      <c r="AL589" s="260">
        <v>165</v>
      </c>
      <c r="AN589" s="235">
        <v>72</v>
      </c>
      <c r="AO589" s="242">
        <v>42076</v>
      </c>
      <c r="AP589" s="235">
        <v>106</v>
      </c>
      <c r="AQ589" s="242">
        <v>42110</v>
      </c>
      <c r="AR589" s="136">
        <v>133</v>
      </c>
      <c r="AS589" s="297">
        <f t="shared" si="310"/>
        <v>133</v>
      </c>
      <c r="AT589" s="290">
        <v>42137</v>
      </c>
      <c r="AU589" s="298"/>
      <c r="BF589" s="282">
        <v>-3.3244109153747559</v>
      </c>
      <c r="BG589" s="283">
        <v>42234</v>
      </c>
      <c r="BL589" s="296">
        <v>62.764633178710938</v>
      </c>
      <c r="BM589" s="283">
        <v>42234</v>
      </c>
      <c r="BP589" s="282">
        <v>3.8520820140838623</v>
      </c>
      <c r="BQ589" s="283">
        <v>42234</v>
      </c>
      <c r="BR589" s="282">
        <v>48.008441925048828</v>
      </c>
      <c r="BS589" s="283">
        <v>42234</v>
      </c>
      <c r="BT589" s="282">
        <v>18.883880615234375</v>
      </c>
      <c r="BU589" s="283">
        <v>42234</v>
      </c>
      <c r="BV589" s="282">
        <v>16.662361145019531</v>
      </c>
      <c r="BW589" s="283">
        <v>42234</v>
      </c>
      <c r="BX589" s="282">
        <v>5.3297576904296875</v>
      </c>
      <c r="BY589" s="283">
        <v>42234</v>
      </c>
      <c r="CB589" s="267">
        <v>3.66</v>
      </c>
      <c r="CD589" s="282">
        <v>7.2727272727272796</v>
      </c>
      <c r="CE589" s="291" t="s">
        <v>8399</v>
      </c>
      <c r="CH589" s="136">
        <v>2</v>
      </c>
      <c r="CI589" s="136">
        <v>2</v>
      </c>
      <c r="CL589" s="136">
        <v>2</v>
      </c>
      <c r="CM589" s="259">
        <v>42161</v>
      </c>
      <c r="CN589" s="137" t="s">
        <v>8406</v>
      </c>
    </row>
    <row r="590" spans="1:93">
      <c r="A590" s="258">
        <v>977</v>
      </c>
      <c r="B590" s="235">
        <v>101</v>
      </c>
      <c r="C590" s="235" t="s">
        <v>7797</v>
      </c>
      <c r="D590" s="235" t="s">
        <v>7595</v>
      </c>
      <c r="E590" s="235" t="s">
        <v>7797</v>
      </c>
      <c r="F590" s="235" t="s">
        <v>8547</v>
      </c>
      <c r="G590" s="235" t="str">
        <f t="shared" si="304"/>
        <v>Rapsodyn</v>
      </c>
      <c r="H590" s="235" t="s">
        <v>267</v>
      </c>
      <c r="I590" s="235">
        <v>1</v>
      </c>
      <c r="J590" s="235">
        <v>9168</v>
      </c>
      <c r="K590" s="235">
        <v>46</v>
      </c>
      <c r="L590" s="235">
        <f t="shared" si="296"/>
        <v>118</v>
      </c>
      <c r="M590" s="235">
        <v>2</v>
      </c>
      <c r="N590" s="235">
        <v>7</v>
      </c>
      <c r="O590" s="248">
        <v>42048</v>
      </c>
      <c r="P590" s="136">
        <v>6.86</v>
      </c>
      <c r="Q590" s="264">
        <v>42204</v>
      </c>
      <c r="V590" s="219">
        <f t="shared" si="305"/>
        <v>21.06893122192762</v>
      </c>
      <c r="X590">
        <v>15.55</v>
      </c>
      <c r="AB590" s="220">
        <f t="shared" si="306"/>
        <v>7.0681707691980762</v>
      </c>
      <c r="AD590" s="221">
        <f t="shared" si="307"/>
        <v>90406.710298802514</v>
      </c>
      <c r="AF590" s="220">
        <f t="shared" si="308"/>
        <v>41.767900158046757</v>
      </c>
      <c r="AH590" s="220">
        <f t="shared" si="309"/>
        <v>46.835501410682625</v>
      </c>
      <c r="AJ590">
        <v>4.62</v>
      </c>
      <c r="AK590" s="285" t="s">
        <v>8399</v>
      </c>
      <c r="AL590" s="260">
        <v>170</v>
      </c>
      <c r="AN590" s="235">
        <v>70</v>
      </c>
      <c r="AO590" s="242">
        <v>42074</v>
      </c>
      <c r="AP590" s="235">
        <v>104</v>
      </c>
      <c r="AQ590" s="242">
        <v>42108</v>
      </c>
      <c r="AR590" s="136">
        <v>130</v>
      </c>
      <c r="AS590" s="297">
        <f t="shared" si="310"/>
        <v>130</v>
      </c>
      <c r="AT590" s="290">
        <v>42134</v>
      </c>
      <c r="AU590" s="298"/>
      <c r="BF590" s="282">
        <v>-4.7483830451965332</v>
      </c>
      <c r="BG590" s="283">
        <v>42234</v>
      </c>
      <c r="BL590" s="296">
        <v>64.659942626953125</v>
      </c>
      <c r="BM590" s="283">
        <v>42234</v>
      </c>
      <c r="BP590" s="282">
        <v>3.4351499080657959</v>
      </c>
      <c r="BQ590" s="283">
        <v>42234</v>
      </c>
      <c r="BR590" s="282">
        <v>50.442878723144531</v>
      </c>
      <c r="BS590" s="283">
        <v>42234</v>
      </c>
      <c r="BT590" s="282">
        <v>16.922494888305664</v>
      </c>
      <c r="BU590" s="283">
        <v>42234</v>
      </c>
      <c r="BV590" s="282">
        <v>15.54090404510498</v>
      </c>
      <c r="BW590" s="283">
        <v>42234</v>
      </c>
      <c r="BX590" s="282">
        <v>5.2609939575195312</v>
      </c>
      <c r="BY590" s="283">
        <v>42234</v>
      </c>
      <c r="CB590" s="267">
        <v>3.14</v>
      </c>
      <c r="CD590" s="282">
        <v>3.3898305084745792</v>
      </c>
      <c r="CE590" s="291" t="s">
        <v>8399</v>
      </c>
      <c r="CH590" s="136">
        <v>1</v>
      </c>
      <c r="CI590" s="136">
        <v>3</v>
      </c>
      <c r="CL590" s="136">
        <v>3</v>
      </c>
      <c r="CM590" s="259">
        <v>42161</v>
      </c>
      <c r="CN590" s="137" t="s">
        <v>8406</v>
      </c>
    </row>
    <row r="591" spans="1:93">
      <c r="A591" s="258">
        <v>979</v>
      </c>
      <c r="B591" s="235">
        <v>103</v>
      </c>
      <c r="C591" s="235" t="s">
        <v>7608</v>
      </c>
      <c r="D591" s="235" t="s">
        <v>7447</v>
      </c>
      <c r="E591" s="235" t="s">
        <v>7608</v>
      </c>
      <c r="F591" s="235" t="s">
        <v>8483</v>
      </c>
      <c r="G591" s="235" t="str">
        <f t="shared" si="304"/>
        <v>Rapsodyn</v>
      </c>
      <c r="H591" s="235" t="s">
        <v>267</v>
      </c>
      <c r="I591" s="235">
        <v>1</v>
      </c>
      <c r="J591" s="235">
        <v>9003</v>
      </c>
      <c r="K591" s="235">
        <v>44</v>
      </c>
      <c r="L591" s="235">
        <f t="shared" si="296"/>
        <v>116</v>
      </c>
      <c r="M591" s="235">
        <v>2</v>
      </c>
      <c r="N591" s="235">
        <v>7</v>
      </c>
      <c r="O591" s="248">
        <v>42048</v>
      </c>
      <c r="P591" s="136">
        <v>6.09</v>
      </c>
      <c r="Q591" s="264">
        <v>42204</v>
      </c>
      <c r="V591" s="219" t="s">
        <v>8379</v>
      </c>
      <c r="X591">
        <v>15.55</v>
      </c>
      <c r="AB591" s="219" t="s">
        <v>8379</v>
      </c>
      <c r="AC591" s="219" t="s">
        <v>8379</v>
      </c>
      <c r="AD591" s="219" t="s">
        <v>8379</v>
      </c>
      <c r="AE591" s="219" t="s">
        <v>8379</v>
      </c>
      <c r="AF591" s="219" t="s">
        <v>8379</v>
      </c>
      <c r="AG591" s="219" t="s">
        <v>8379</v>
      </c>
      <c r="AH591" s="219" t="s">
        <v>8379</v>
      </c>
      <c r="AI591" s="219" t="s">
        <v>8379</v>
      </c>
      <c r="AJ591" s="219" t="s">
        <v>8379</v>
      </c>
      <c r="AK591" t="s">
        <v>8379</v>
      </c>
      <c r="AL591" s="260">
        <v>170</v>
      </c>
      <c r="AN591" s="235">
        <v>79</v>
      </c>
      <c r="AO591" s="242">
        <v>42083</v>
      </c>
      <c r="AP591" s="235">
        <v>110</v>
      </c>
      <c r="AQ591" s="242">
        <v>42114</v>
      </c>
      <c r="AR591" s="136">
        <v>135</v>
      </c>
      <c r="AS591" s="297">
        <f t="shared" si="310"/>
        <v>135</v>
      </c>
      <c r="AT591" s="290">
        <v>42139</v>
      </c>
      <c r="AU591" s="298"/>
      <c r="BF591" s="219" t="s">
        <v>8379</v>
      </c>
      <c r="BG591" s="219" t="s">
        <v>8379</v>
      </c>
      <c r="BH591" s="219" t="s">
        <v>8379</v>
      </c>
      <c r="BI591" s="219" t="s">
        <v>8379</v>
      </c>
      <c r="BJ591" s="219" t="s">
        <v>8379</v>
      </c>
      <c r="BK591" s="219" t="s">
        <v>8379</v>
      </c>
      <c r="BL591" s="219" t="s">
        <v>8379</v>
      </c>
      <c r="BM591" s="219" t="s">
        <v>8379</v>
      </c>
      <c r="BN591" s="219" t="s">
        <v>8379</v>
      </c>
      <c r="BO591" s="219" t="s">
        <v>8379</v>
      </c>
      <c r="BP591" s="219" t="s">
        <v>8379</v>
      </c>
      <c r="BQ591" s="219" t="s">
        <v>8379</v>
      </c>
      <c r="BR591" s="219" t="s">
        <v>8379</v>
      </c>
      <c r="BS591" s="219" t="s">
        <v>8379</v>
      </c>
      <c r="BT591" s="219" t="s">
        <v>8379</v>
      </c>
      <c r="BU591" s="219" t="s">
        <v>8379</v>
      </c>
      <c r="BV591" s="219" t="s">
        <v>8379</v>
      </c>
      <c r="BW591" s="219" t="s">
        <v>8379</v>
      </c>
      <c r="BX591" s="219" t="s">
        <v>8379</v>
      </c>
      <c r="BY591" s="219" t="s">
        <v>8379</v>
      </c>
      <c r="CB591" s="267">
        <v>4.17</v>
      </c>
      <c r="CD591" s="277" t="s">
        <v>8379</v>
      </c>
      <c r="CE591" t="s">
        <v>8379</v>
      </c>
      <c r="CF591" s="219" t="s">
        <v>8379</v>
      </c>
      <c r="CG591" s="219" t="s">
        <v>8379</v>
      </c>
      <c r="CH591" s="136">
        <v>2</v>
      </c>
      <c r="CI591" s="136">
        <v>3</v>
      </c>
      <c r="CL591" s="136">
        <v>2</v>
      </c>
      <c r="CM591" s="259">
        <v>42161</v>
      </c>
      <c r="CN591" s="137" t="s">
        <v>8406</v>
      </c>
    </row>
    <row r="592" spans="1:93">
      <c r="A592" s="258">
        <v>981</v>
      </c>
      <c r="B592" s="235">
        <v>105</v>
      </c>
      <c r="C592" s="235" t="s">
        <v>7712</v>
      </c>
      <c r="D592" s="235" t="s">
        <v>259</v>
      </c>
      <c r="E592" s="235" t="s">
        <v>7712</v>
      </c>
      <c r="F592" s="235" t="s">
        <v>8510</v>
      </c>
      <c r="G592" s="235" t="str">
        <f t="shared" si="304"/>
        <v>Rapsodyn</v>
      </c>
      <c r="H592" s="235" t="s">
        <v>267</v>
      </c>
      <c r="I592" s="235">
        <v>1</v>
      </c>
      <c r="J592" s="235">
        <v>9094</v>
      </c>
      <c r="K592" s="235">
        <v>42</v>
      </c>
      <c r="L592" s="235">
        <f t="shared" si="296"/>
        <v>114</v>
      </c>
      <c r="M592" s="235">
        <v>2</v>
      </c>
      <c r="N592" s="235">
        <v>7</v>
      </c>
      <c r="O592" s="248">
        <v>42048</v>
      </c>
      <c r="P592" s="136">
        <v>7.29</v>
      </c>
      <c r="Q592" s="264">
        <v>42204</v>
      </c>
      <c r="V592" s="219">
        <f t="shared" ref="V592:V596" si="311">+BR592*AF592/100</f>
        <v>22.11181231584008</v>
      </c>
      <c r="X592">
        <v>15.55</v>
      </c>
      <c r="AB592" s="220">
        <f t="shared" ref="AB592:AB596" si="312">+AF592*BT592/100</f>
        <v>7.7931535423063005</v>
      </c>
      <c r="AD592" s="221">
        <f t="shared" ref="AD592:AD596" si="313">+(AF592/AJ592)*10000</f>
        <v>110119.45164215042</v>
      </c>
      <c r="AF592" s="220">
        <f t="shared" ref="AF592:AF596" si="314">($P592/$X592)*(((100-$CD592)/100*(100-2)/100))*100</f>
        <v>43.607302850291568</v>
      </c>
      <c r="AH592" s="220">
        <f t="shared" ref="AH592:AH596" si="315">($P592/$X592)*(((100-$CD592)/(100-9)*(100-2)/(100-2))*100)</f>
        <v>48.898074512549407</v>
      </c>
      <c r="AJ592">
        <v>3.96</v>
      </c>
      <c r="AK592" s="285" t="s">
        <v>8400</v>
      </c>
      <c r="AL592" s="260">
        <v>170</v>
      </c>
      <c r="AN592" s="235">
        <v>63</v>
      </c>
      <c r="AO592" s="242">
        <v>42067</v>
      </c>
      <c r="AP592" s="235">
        <v>104</v>
      </c>
      <c r="AQ592" s="242">
        <v>42108</v>
      </c>
      <c r="AR592" s="136">
        <v>127</v>
      </c>
      <c r="AS592" s="297">
        <f t="shared" si="310"/>
        <v>127</v>
      </c>
      <c r="AT592" s="290">
        <v>42131</v>
      </c>
      <c r="AU592" s="298"/>
      <c r="BF592" s="282">
        <v>0.40974399447441101</v>
      </c>
      <c r="BG592" s="283">
        <v>42235</v>
      </c>
      <c r="BL592" s="296">
        <v>62.961746215820313</v>
      </c>
      <c r="BM592" s="283">
        <v>42235</v>
      </c>
      <c r="BP592" s="282">
        <v>3.0626170635223389</v>
      </c>
      <c r="BQ592" s="283">
        <v>42235</v>
      </c>
      <c r="BR592" s="282">
        <v>50.706672668457031</v>
      </c>
      <c r="BS592" s="283">
        <v>42235</v>
      </c>
      <c r="BT592" s="282">
        <v>17.871212005615234</v>
      </c>
      <c r="BU592" s="283">
        <v>42235</v>
      </c>
      <c r="BV592" s="282">
        <v>13.724967956542969</v>
      </c>
      <c r="BW592" s="283">
        <v>42235</v>
      </c>
      <c r="BX592" s="282">
        <v>5.2622222900390625</v>
      </c>
      <c r="BY592" s="283">
        <v>42235</v>
      </c>
      <c r="CB592" s="267">
        <v>4.12</v>
      </c>
      <c r="CD592" s="282">
        <v>5.0847457627118757</v>
      </c>
      <c r="CE592" s="291" t="s">
        <v>8400</v>
      </c>
      <c r="CH592" s="136">
        <v>1</v>
      </c>
      <c r="CI592" s="136">
        <v>3</v>
      </c>
      <c r="CL592" s="136">
        <v>2</v>
      </c>
      <c r="CM592" s="259">
        <v>42161</v>
      </c>
      <c r="CN592" s="137" t="s">
        <v>8406</v>
      </c>
    </row>
    <row r="593" spans="1:93">
      <c r="A593" s="258">
        <v>983</v>
      </c>
      <c r="B593" s="235">
        <v>107</v>
      </c>
      <c r="C593" s="235" t="s">
        <v>7684</v>
      </c>
      <c r="D593" s="235" t="s">
        <v>7511</v>
      </c>
      <c r="E593" s="235" t="s">
        <v>7684</v>
      </c>
      <c r="F593" s="235" t="s">
        <v>8451</v>
      </c>
      <c r="G593" s="235" t="str">
        <f t="shared" si="304"/>
        <v>Rapsodyn</v>
      </c>
      <c r="H593" s="235" t="s">
        <v>267</v>
      </c>
      <c r="I593" s="235">
        <v>1</v>
      </c>
      <c r="J593" s="235">
        <v>9066</v>
      </c>
      <c r="K593" s="235">
        <v>40</v>
      </c>
      <c r="L593" s="235">
        <f t="shared" si="296"/>
        <v>112</v>
      </c>
      <c r="M593" s="235">
        <v>2</v>
      </c>
      <c r="N593" s="235">
        <v>5</v>
      </c>
      <c r="O593" s="248">
        <v>42048</v>
      </c>
      <c r="P593" s="136">
        <v>7.62</v>
      </c>
      <c r="Q593" s="264">
        <v>42204</v>
      </c>
      <c r="V593" s="219">
        <f t="shared" si="311"/>
        <v>21.924616429331753</v>
      </c>
      <c r="X593">
        <v>15.55</v>
      </c>
      <c r="AB593" s="220">
        <f t="shared" si="312"/>
        <v>8.4419316007205314</v>
      </c>
      <c r="AD593" s="221">
        <f t="shared" si="313"/>
        <v>94780.040904322115</v>
      </c>
      <c r="AF593" s="220">
        <f t="shared" si="314"/>
        <v>45.304859552265974</v>
      </c>
      <c r="AH593" s="220">
        <f t="shared" si="315"/>
        <v>50.801591783209211</v>
      </c>
      <c r="AJ593">
        <v>4.78</v>
      </c>
      <c r="AK593" s="285" t="s">
        <v>8400</v>
      </c>
      <c r="AL593" s="260">
        <v>175</v>
      </c>
      <c r="AN593" s="235">
        <v>70</v>
      </c>
      <c r="AO593" s="242">
        <v>42074</v>
      </c>
      <c r="AP593" s="235">
        <v>106</v>
      </c>
      <c r="AQ593" s="242">
        <v>42110</v>
      </c>
      <c r="AR593" s="136">
        <v>131</v>
      </c>
      <c r="AS593" s="297">
        <f t="shared" si="310"/>
        <v>131</v>
      </c>
      <c r="AT593" s="290">
        <v>42135</v>
      </c>
      <c r="AU593" s="298"/>
      <c r="BF593" s="282">
        <v>1.1701240539550781</v>
      </c>
      <c r="BG593" s="283">
        <v>42235</v>
      </c>
      <c r="BL593" s="296">
        <v>61.948078155517578</v>
      </c>
      <c r="BM593" s="283">
        <v>42235</v>
      </c>
      <c r="BP593" s="282">
        <v>3.188586950302124</v>
      </c>
      <c r="BQ593" s="283">
        <v>42235</v>
      </c>
      <c r="BR593" s="282">
        <v>48.393520355224609</v>
      </c>
      <c r="BS593" s="283">
        <v>42235</v>
      </c>
      <c r="BT593" s="282">
        <v>18.633611679077148</v>
      </c>
      <c r="BU593" s="283">
        <v>42235</v>
      </c>
      <c r="BV593" s="282">
        <v>16.876470565795898</v>
      </c>
      <c r="BW593" s="283">
        <v>42235</v>
      </c>
      <c r="BX593" s="282">
        <v>5.3735275268554687</v>
      </c>
      <c r="BY593" s="283">
        <v>42235</v>
      </c>
      <c r="CB593" s="267">
        <v>3.27</v>
      </c>
      <c r="CD593" s="282">
        <v>5.660377358490563</v>
      </c>
      <c r="CE593" s="291" t="s">
        <v>8400</v>
      </c>
      <c r="CH593" s="136">
        <v>2</v>
      </c>
      <c r="CI593" s="136">
        <v>4</v>
      </c>
      <c r="CL593" s="136">
        <v>3</v>
      </c>
      <c r="CM593" s="259">
        <v>42161</v>
      </c>
      <c r="CN593" s="137" t="s">
        <v>8406</v>
      </c>
    </row>
    <row r="594" spans="1:93">
      <c r="A594" s="258">
        <v>985</v>
      </c>
      <c r="B594" s="235">
        <v>109</v>
      </c>
      <c r="C594" s="235" t="s">
        <v>7698</v>
      </c>
      <c r="D594" s="235" t="s">
        <v>7524</v>
      </c>
      <c r="E594" s="235" t="s">
        <v>7698</v>
      </c>
      <c r="F594" s="235" t="s">
        <v>8463</v>
      </c>
      <c r="G594" s="235" t="str">
        <f t="shared" si="304"/>
        <v>Rapsodyn</v>
      </c>
      <c r="H594" s="235" t="s">
        <v>267</v>
      </c>
      <c r="I594" s="235">
        <v>1</v>
      </c>
      <c r="J594" s="235">
        <v>9080</v>
      </c>
      <c r="K594" s="235">
        <v>38</v>
      </c>
      <c r="L594" s="235">
        <f t="shared" si="296"/>
        <v>110</v>
      </c>
      <c r="M594" s="235">
        <v>2</v>
      </c>
      <c r="N594" s="235">
        <v>5</v>
      </c>
      <c r="O594" s="248">
        <v>42048</v>
      </c>
      <c r="P594" s="136">
        <v>6.68</v>
      </c>
      <c r="Q594" s="264">
        <v>42204</v>
      </c>
      <c r="V594" s="219">
        <f t="shared" si="311"/>
        <v>19.191524932274412</v>
      </c>
      <c r="X594">
        <v>15.55</v>
      </c>
      <c r="AB594" s="220">
        <f t="shared" si="312"/>
        <v>8.0451269918000996</v>
      </c>
      <c r="AD594" s="221">
        <f t="shared" si="313"/>
        <v>117421.42761052887</v>
      </c>
      <c r="AF594" s="220">
        <f t="shared" si="314"/>
        <v>40.510392525632462</v>
      </c>
      <c r="AH594" s="220">
        <f t="shared" si="315"/>
        <v>45.425423329931</v>
      </c>
      <c r="AJ594">
        <v>3.45</v>
      </c>
      <c r="AK594" s="285" t="s">
        <v>8400</v>
      </c>
      <c r="AL594" s="260">
        <v>180</v>
      </c>
      <c r="AN594" s="235">
        <v>72</v>
      </c>
      <c r="AO594" s="242">
        <v>42076</v>
      </c>
      <c r="AP594" s="235">
        <v>113</v>
      </c>
      <c r="AQ594" s="242">
        <v>42117</v>
      </c>
      <c r="AR594" s="136">
        <v>145</v>
      </c>
      <c r="AS594" s="297">
        <f t="shared" si="310"/>
        <v>145</v>
      </c>
      <c r="AT594" s="290">
        <v>42149</v>
      </c>
      <c r="AU594" s="298"/>
      <c r="BF594" s="282">
        <v>1.5642169713973999</v>
      </c>
      <c r="BG594" s="283">
        <v>42235</v>
      </c>
      <c r="BL594" s="296">
        <v>63.000068664550781</v>
      </c>
      <c r="BM594" s="283">
        <v>42235</v>
      </c>
      <c r="BP594" s="282">
        <v>3.5392100811004639</v>
      </c>
      <c r="BQ594" s="283">
        <v>42235</v>
      </c>
      <c r="BR594" s="282">
        <v>47.374324798583984</v>
      </c>
      <c r="BS594" s="283">
        <v>42235</v>
      </c>
      <c r="BT594" s="282">
        <v>19.859415054321289</v>
      </c>
      <c r="BU594" s="283">
        <v>42235</v>
      </c>
      <c r="BV594" s="282">
        <v>20.20085334777832</v>
      </c>
      <c r="BW594" s="283">
        <v>42235</v>
      </c>
      <c r="BX594" s="282">
        <v>5.78179931640625</v>
      </c>
      <c r="BY594" s="283">
        <v>42235</v>
      </c>
      <c r="CB594" s="267">
        <v>4.12</v>
      </c>
      <c r="CD594" s="282">
        <v>3.7735849056603805</v>
      </c>
      <c r="CE594" s="291" t="s">
        <v>8400</v>
      </c>
      <c r="CH594" s="136">
        <v>1</v>
      </c>
      <c r="CI594" s="136">
        <v>3</v>
      </c>
      <c r="CL594" s="136">
        <v>4</v>
      </c>
      <c r="CM594" s="259">
        <v>42161</v>
      </c>
      <c r="CN594" s="137" t="s">
        <v>8406</v>
      </c>
    </row>
    <row r="595" spans="1:93">
      <c r="A595" s="258">
        <v>988</v>
      </c>
      <c r="B595" s="235">
        <v>112</v>
      </c>
      <c r="C595" s="235" t="s">
        <v>7639</v>
      </c>
      <c r="D595" s="235" t="s">
        <v>7817</v>
      </c>
      <c r="E595" s="235" t="s">
        <v>7639</v>
      </c>
      <c r="F595" s="235" t="s">
        <v>8585</v>
      </c>
      <c r="G595" s="235" t="str">
        <f t="shared" si="304"/>
        <v>Rapsodyn</v>
      </c>
      <c r="H595" s="235" t="s">
        <v>267</v>
      </c>
      <c r="I595" s="235">
        <v>1</v>
      </c>
      <c r="J595" s="235">
        <v>9027</v>
      </c>
      <c r="K595" s="235">
        <v>35</v>
      </c>
      <c r="L595" s="235">
        <f t="shared" si="296"/>
        <v>107</v>
      </c>
      <c r="M595" s="235">
        <v>2</v>
      </c>
      <c r="N595" s="235">
        <v>3</v>
      </c>
      <c r="O595" s="248">
        <v>42048</v>
      </c>
      <c r="P595" s="136">
        <v>5.9</v>
      </c>
      <c r="Q595" s="264">
        <v>42204</v>
      </c>
      <c r="V595" s="219">
        <f t="shared" si="311"/>
        <v>17.56430632416458</v>
      </c>
      <c r="X595">
        <v>15.55</v>
      </c>
      <c r="AB595" s="220">
        <f t="shared" si="312"/>
        <v>5.730387728773894</v>
      </c>
      <c r="AD595" s="221">
        <f t="shared" si="313"/>
        <v>89336.029436138808</v>
      </c>
      <c r="AF595" s="220">
        <f t="shared" si="314"/>
        <v>34.662379421221857</v>
      </c>
      <c r="AH595" s="220">
        <f t="shared" si="315"/>
        <v>38.86788452704851</v>
      </c>
      <c r="AJ595">
        <v>3.88</v>
      </c>
      <c r="AK595" s="285" t="s">
        <v>8400</v>
      </c>
      <c r="AL595" s="260">
        <v>145</v>
      </c>
      <c r="AN595" s="235">
        <v>65</v>
      </c>
      <c r="AO595" s="242">
        <v>42069</v>
      </c>
      <c r="AP595" s="235">
        <v>104</v>
      </c>
      <c r="AQ595" s="242">
        <v>42108</v>
      </c>
      <c r="AR595" s="136">
        <v>131</v>
      </c>
      <c r="AS595" s="297">
        <f t="shared" si="310"/>
        <v>131</v>
      </c>
      <c r="AT595" s="290">
        <v>42135</v>
      </c>
      <c r="AU595" s="298"/>
      <c r="BF595" s="282">
        <v>-1.4642870426177979</v>
      </c>
      <c r="BG595" s="283">
        <v>42235</v>
      </c>
      <c r="BL595" s="296">
        <v>62.422286987304687</v>
      </c>
      <c r="BM595" s="283">
        <v>42235</v>
      </c>
      <c r="BP595" s="282">
        <v>2.995884895324707</v>
      </c>
      <c r="BQ595" s="283">
        <v>42235</v>
      </c>
      <c r="BR595" s="282">
        <v>50.672534942626953</v>
      </c>
      <c r="BS595" s="283">
        <v>42235</v>
      </c>
      <c r="BT595" s="282">
        <v>16.532009124755859</v>
      </c>
      <c r="BU595" s="283">
        <v>42235</v>
      </c>
      <c r="BV595" s="282">
        <v>45.524406433105469</v>
      </c>
      <c r="BW595" s="283">
        <v>42235</v>
      </c>
      <c r="BX595" s="282">
        <v>5.59454345703125</v>
      </c>
      <c r="BY595" s="283">
        <v>42235</v>
      </c>
      <c r="CB595" s="267">
        <v>3.32</v>
      </c>
      <c r="CD595" s="282">
        <v>6.7796610169491585</v>
      </c>
      <c r="CE595" s="291" t="s">
        <v>8400</v>
      </c>
      <c r="CH595" s="136">
        <v>2</v>
      </c>
      <c r="CI595" s="136">
        <v>7</v>
      </c>
      <c r="CL595" s="136">
        <v>3</v>
      </c>
      <c r="CM595" s="259">
        <v>42161</v>
      </c>
      <c r="CO595" s="137" t="s">
        <v>8405</v>
      </c>
    </row>
    <row r="596" spans="1:93">
      <c r="A596" s="258">
        <v>989</v>
      </c>
      <c r="B596" s="235">
        <v>113</v>
      </c>
      <c r="C596" s="235" t="s">
        <v>7728</v>
      </c>
      <c r="D596" s="235" t="s">
        <v>7551</v>
      </c>
      <c r="E596" s="235" t="s">
        <v>7728</v>
      </c>
      <c r="F596" s="235" t="s">
        <v>8530</v>
      </c>
      <c r="G596" s="235" t="str">
        <f t="shared" si="304"/>
        <v>Rapsodyn</v>
      </c>
      <c r="H596" s="235" t="s">
        <v>267</v>
      </c>
      <c r="I596" s="235">
        <v>1</v>
      </c>
      <c r="J596" s="235">
        <v>9110</v>
      </c>
      <c r="K596" s="235">
        <v>34</v>
      </c>
      <c r="L596" s="235">
        <f t="shared" si="296"/>
        <v>106</v>
      </c>
      <c r="M596" s="235">
        <v>2</v>
      </c>
      <c r="N596" s="235">
        <v>5</v>
      </c>
      <c r="O596" s="248">
        <v>42048</v>
      </c>
      <c r="P596" s="136">
        <v>6.92</v>
      </c>
      <c r="Q596" s="264">
        <v>42204</v>
      </c>
      <c r="V596" s="219">
        <f t="shared" si="311"/>
        <v>20.53621370671328</v>
      </c>
      <c r="X596">
        <v>15.55</v>
      </c>
      <c r="AB596" s="220">
        <f t="shared" si="312"/>
        <v>7.2817695217264919</v>
      </c>
      <c r="AD596" s="221">
        <f t="shared" si="313"/>
        <v>101514.07734755171</v>
      </c>
      <c r="AF596" s="220">
        <f t="shared" si="314"/>
        <v>41.316229480453551</v>
      </c>
      <c r="AH596" s="220">
        <f t="shared" si="315"/>
        <v>46.329030590326923</v>
      </c>
      <c r="AJ596">
        <v>4.07</v>
      </c>
      <c r="AK596" s="285" t="s">
        <v>8401</v>
      </c>
      <c r="AL596" s="260">
        <v>165</v>
      </c>
      <c r="AN596" s="235">
        <v>70</v>
      </c>
      <c r="AO596" s="242">
        <v>42074</v>
      </c>
      <c r="AP596" s="235">
        <v>104</v>
      </c>
      <c r="AQ596" s="242">
        <v>42108</v>
      </c>
      <c r="AR596" s="136">
        <v>131</v>
      </c>
      <c r="AS596" s="297">
        <f t="shared" si="310"/>
        <v>131</v>
      </c>
      <c r="AT596" s="290">
        <v>42135</v>
      </c>
      <c r="AU596" s="298"/>
      <c r="BF596" s="282">
        <v>5.2359998226165771E-3</v>
      </c>
      <c r="BG596" s="283">
        <v>42234</v>
      </c>
      <c r="BL596" s="296">
        <v>62.600273132324219</v>
      </c>
      <c r="BM596" s="283">
        <v>42234</v>
      </c>
      <c r="BP596" s="282">
        <v>3.4294300079345703</v>
      </c>
      <c r="BQ596" s="283">
        <v>42234</v>
      </c>
      <c r="BR596" s="282">
        <v>49.7049560546875</v>
      </c>
      <c r="BS596" s="283">
        <v>42234</v>
      </c>
      <c r="BT596" s="282">
        <v>17.624477386474609</v>
      </c>
      <c r="BU596" s="283">
        <v>42234</v>
      </c>
      <c r="BV596" s="282">
        <v>16.319206237792969</v>
      </c>
      <c r="BW596" s="283">
        <v>42234</v>
      </c>
      <c r="BX596" s="282">
        <v>5.3991317749023438</v>
      </c>
      <c r="BY596" s="283">
        <v>42234</v>
      </c>
      <c r="CB596" s="267">
        <v>3.18</v>
      </c>
      <c r="CD596" s="282">
        <v>5.2631578947368389</v>
      </c>
      <c r="CE596" s="291" t="s">
        <v>8401</v>
      </c>
      <c r="CH596" s="136">
        <v>3</v>
      </c>
      <c r="CI596" s="136">
        <v>8</v>
      </c>
      <c r="CL596" s="136">
        <v>1</v>
      </c>
      <c r="CM596" s="259">
        <v>42161</v>
      </c>
      <c r="CO596" s="137" t="s">
        <v>8405</v>
      </c>
    </row>
    <row r="597" spans="1:93">
      <c r="A597" s="258">
        <v>993</v>
      </c>
      <c r="B597" s="235">
        <v>117</v>
      </c>
      <c r="C597" s="235" t="s">
        <v>7576</v>
      </c>
      <c r="D597" s="235"/>
      <c r="E597" s="235"/>
      <c r="F597" s="235"/>
      <c r="G597" s="235"/>
      <c r="H597" s="235" t="s">
        <v>267</v>
      </c>
      <c r="I597" s="235">
        <v>1</v>
      </c>
      <c r="K597" s="235">
        <v>30</v>
      </c>
      <c r="L597" s="235">
        <f t="shared" si="296"/>
        <v>102</v>
      </c>
      <c r="M597" s="235">
        <v>2</v>
      </c>
      <c r="O597" s="248">
        <v>42048</v>
      </c>
      <c r="V597" s="219"/>
      <c r="X597">
        <v>15.55</v>
      </c>
      <c r="AB597" s="220"/>
      <c r="AD597" s="221"/>
      <c r="AF597" s="220"/>
      <c r="AH597" s="220"/>
      <c r="AJ597" s="286"/>
      <c r="AK597" s="285"/>
      <c r="AL597" s="260"/>
      <c r="AN597" s="235">
        <v>70</v>
      </c>
      <c r="AO597" s="242">
        <v>42074</v>
      </c>
      <c r="AP597" s="235">
        <v>106</v>
      </c>
      <c r="AQ597" s="242">
        <v>42110</v>
      </c>
      <c r="AS597" s="297"/>
      <c r="AT597" s="290"/>
      <c r="AU597" s="298"/>
      <c r="BF597" s="282"/>
      <c r="BG597" s="235"/>
      <c r="BL597" s="296"/>
      <c r="BM597" s="235"/>
      <c r="BP597" s="282"/>
      <c r="BQ597" s="235"/>
      <c r="BR597" s="282"/>
      <c r="BS597" s="235"/>
      <c r="BT597" s="282"/>
      <c r="BU597" s="235"/>
      <c r="BV597" s="282"/>
      <c r="BW597" s="235"/>
      <c r="BX597" s="282"/>
      <c r="BY597" s="235"/>
      <c r="CB597" s="267"/>
      <c r="CD597" s="282"/>
      <c r="CE597" s="291"/>
      <c r="CL597" s="136">
        <v>3</v>
      </c>
      <c r="CM597" s="259">
        <v>42161</v>
      </c>
    </row>
    <row r="598" spans="1:93">
      <c r="A598" s="258">
        <v>994</v>
      </c>
      <c r="B598" s="235">
        <v>118</v>
      </c>
      <c r="C598" s="235" t="s">
        <v>7576</v>
      </c>
      <c r="D598" s="235"/>
      <c r="E598" s="235"/>
      <c r="F598" s="235"/>
      <c r="G598" s="235"/>
      <c r="H598" s="235" t="s">
        <v>267</v>
      </c>
      <c r="I598" s="235">
        <v>1</v>
      </c>
      <c r="K598" s="235">
        <v>29</v>
      </c>
      <c r="L598" s="235">
        <f t="shared" si="296"/>
        <v>101</v>
      </c>
      <c r="M598" s="235">
        <v>2</v>
      </c>
      <c r="O598" s="248">
        <v>42048</v>
      </c>
      <c r="V598" s="219"/>
      <c r="X598">
        <v>15.55</v>
      </c>
      <c r="AB598" s="220"/>
      <c r="AD598" s="221"/>
      <c r="AF598" s="220"/>
      <c r="AH598" s="220"/>
      <c r="AJ598" s="286"/>
      <c r="AK598" s="285"/>
      <c r="AL598" s="260"/>
      <c r="AN598" s="235">
        <v>70</v>
      </c>
      <c r="AO598" s="242">
        <v>42074</v>
      </c>
      <c r="AP598" s="235">
        <v>106</v>
      </c>
      <c r="AQ598" s="242">
        <v>42110</v>
      </c>
      <c r="AS598" s="297"/>
      <c r="AT598" s="290"/>
      <c r="AU598" s="298"/>
      <c r="BF598" s="282"/>
      <c r="BG598" s="235"/>
      <c r="BL598" s="296"/>
      <c r="BM598" s="235"/>
      <c r="BP598" s="282"/>
      <c r="BQ598" s="235"/>
      <c r="BR598" s="282"/>
      <c r="BS598" s="235"/>
      <c r="BT598" s="282"/>
      <c r="BU598" s="235"/>
      <c r="BV598" s="282"/>
      <c r="BW598" s="235"/>
      <c r="BX598" s="282"/>
      <c r="BY598" s="235"/>
      <c r="CB598" s="267"/>
      <c r="CD598" s="282"/>
      <c r="CE598" s="291"/>
      <c r="CL598" s="136">
        <v>3</v>
      </c>
      <c r="CM598" s="259">
        <v>42161</v>
      </c>
    </row>
    <row r="599" spans="1:93">
      <c r="A599" s="258">
        <v>995</v>
      </c>
      <c r="B599" s="235">
        <v>119</v>
      </c>
      <c r="C599" s="235" t="s">
        <v>7694</v>
      </c>
      <c r="D599" s="235" t="s">
        <v>7520</v>
      </c>
      <c r="E599" s="235" t="s">
        <v>7694</v>
      </c>
      <c r="F599" s="235" t="s">
        <v>8472</v>
      </c>
      <c r="G599" s="235" t="str">
        <f t="shared" ref="G599:G606" si="316">IF(MID(C599,1,3)="BGA","Complement","Rapsodyn")</f>
        <v>Rapsodyn</v>
      </c>
      <c r="H599" s="235" t="s">
        <v>267</v>
      </c>
      <c r="I599" s="235">
        <v>1</v>
      </c>
      <c r="J599" s="235">
        <v>9076</v>
      </c>
      <c r="K599" s="235">
        <v>28</v>
      </c>
      <c r="L599" s="235">
        <f t="shared" si="296"/>
        <v>100</v>
      </c>
      <c r="M599" s="235">
        <v>2</v>
      </c>
      <c r="N599" s="235">
        <v>5</v>
      </c>
      <c r="O599" s="248">
        <v>42048</v>
      </c>
      <c r="P599" s="136">
        <v>7.38</v>
      </c>
      <c r="Q599" s="264">
        <v>42204</v>
      </c>
      <c r="V599" s="219">
        <f t="shared" ref="V599:V606" si="317">+BR599*AF599/100</f>
        <v>21.075242479434372</v>
      </c>
      <c r="X599">
        <v>15.55</v>
      </c>
      <c r="AB599" s="220">
        <f t="shared" ref="AB599:AB606" si="318">+AF599*BT599/100</f>
        <v>7.7138033921278018</v>
      </c>
      <c r="AD599" s="221">
        <f t="shared" ref="AD599:AD606" si="319">+(AF599/AJ599)*10000</f>
        <v>96632.875590132986</v>
      </c>
      <c r="AF599" s="220">
        <f t="shared" ref="AF599:AF606" si="320">($P599/$X599)*(((100-$CD599)/100*(100-2)/100))*100</f>
        <v>43.774692642330244</v>
      </c>
      <c r="AH599" s="220">
        <f t="shared" ref="AH599:AH606" si="321">($P599/$X599)*(((100-$CD599)/(100-9)*(100-2)/(100-2))*100)</f>
        <v>49.085773315014855</v>
      </c>
      <c r="AJ599">
        <v>4.53</v>
      </c>
      <c r="AK599" s="285" t="s">
        <v>8402</v>
      </c>
      <c r="AL599" s="260">
        <v>180</v>
      </c>
      <c r="AN599" s="235">
        <v>70</v>
      </c>
      <c r="AO599" s="242">
        <v>42074</v>
      </c>
      <c r="AP599" s="235">
        <v>106</v>
      </c>
      <c r="AQ599" s="242">
        <v>42110</v>
      </c>
      <c r="AR599" s="136">
        <v>133</v>
      </c>
      <c r="AS599" s="297">
        <f t="shared" ref="AS599:AS606" si="322">IF(AR599=0,,AR599)</f>
        <v>133</v>
      </c>
      <c r="AT599" s="290">
        <v>42137</v>
      </c>
      <c r="AU599" s="298"/>
      <c r="BF599" s="282">
        <v>-0.82792997360229492</v>
      </c>
      <c r="BG599" s="283">
        <v>42235</v>
      </c>
      <c r="BL599" s="296">
        <v>64.198677062988281</v>
      </c>
      <c r="BM599" s="283">
        <v>42235</v>
      </c>
      <c r="BP599" s="282">
        <v>3.538794994354248</v>
      </c>
      <c r="BQ599" s="283">
        <v>42235</v>
      </c>
      <c r="BR599" s="282">
        <v>48.144809722900391</v>
      </c>
      <c r="BS599" s="283">
        <v>42235</v>
      </c>
      <c r="BT599" s="282">
        <v>17.621604919433594</v>
      </c>
      <c r="BU599" s="283">
        <v>42235</v>
      </c>
      <c r="BV599" s="282">
        <v>16.860904693603516</v>
      </c>
      <c r="BW599" s="283">
        <v>42235</v>
      </c>
      <c r="BX599" s="282">
        <v>5.5279769897460937</v>
      </c>
      <c r="BY599" s="283">
        <v>42235</v>
      </c>
      <c r="CB599" s="267">
        <v>3.97</v>
      </c>
      <c r="CD599" s="282">
        <v>5.8823529411764675</v>
      </c>
      <c r="CE599" s="291" t="s">
        <v>8402</v>
      </c>
      <c r="CH599" s="136">
        <v>2</v>
      </c>
      <c r="CI599" s="136">
        <v>5</v>
      </c>
      <c r="CL599" s="136">
        <v>1</v>
      </c>
      <c r="CM599" s="259">
        <v>42161</v>
      </c>
      <c r="CN599" s="137" t="s">
        <v>8406</v>
      </c>
    </row>
    <row r="600" spans="1:93">
      <c r="A600" s="258">
        <v>996</v>
      </c>
      <c r="B600" s="235">
        <v>120</v>
      </c>
      <c r="C600" s="235" t="s">
        <v>7782</v>
      </c>
      <c r="D600" s="235" t="s">
        <v>7580</v>
      </c>
      <c r="E600" s="235" t="s">
        <v>7782</v>
      </c>
      <c r="F600" s="235" t="s">
        <v>8606</v>
      </c>
      <c r="G600" s="235" t="str">
        <f t="shared" si="316"/>
        <v>Rapsodyn</v>
      </c>
      <c r="H600" s="235" t="s">
        <v>267</v>
      </c>
      <c r="I600" s="235">
        <v>1</v>
      </c>
      <c r="J600" s="235">
        <v>9153</v>
      </c>
      <c r="K600" s="235">
        <v>27</v>
      </c>
      <c r="L600" s="235">
        <f t="shared" si="296"/>
        <v>99</v>
      </c>
      <c r="M600" s="235">
        <v>2</v>
      </c>
      <c r="N600" s="235">
        <v>5</v>
      </c>
      <c r="O600" s="248">
        <v>42048</v>
      </c>
      <c r="P600" s="136">
        <v>7.66</v>
      </c>
      <c r="Q600" s="264">
        <v>42204</v>
      </c>
      <c r="V600" s="219">
        <f t="shared" si="317"/>
        <v>23.770283964738873</v>
      </c>
      <c r="X600">
        <v>15.55</v>
      </c>
      <c r="AB600" s="220">
        <f t="shared" si="318"/>
        <v>7.8186940564521255</v>
      </c>
      <c r="AD600" s="221">
        <f t="shared" si="319"/>
        <v>106350.16677343567</v>
      </c>
      <c r="AF600" s="220">
        <f t="shared" si="320"/>
        <v>46.581373046764824</v>
      </c>
      <c r="AH600" s="220">
        <f t="shared" si="321"/>
        <v>52.232981662665196</v>
      </c>
      <c r="AJ600">
        <v>4.38</v>
      </c>
      <c r="AK600" s="285" t="s">
        <v>8402</v>
      </c>
      <c r="AL600" s="260">
        <v>165</v>
      </c>
      <c r="AN600" s="235">
        <v>70</v>
      </c>
      <c r="AO600" s="242">
        <v>42074</v>
      </c>
      <c r="AP600" s="235">
        <v>104</v>
      </c>
      <c r="AQ600" s="242">
        <v>42108</v>
      </c>
      <c r="AR600" s="136">
        <v>125</v>
      </c>
      <c r="AS600" s="297">
        <f t="shared" si="322"/>
        <v>125</v>
      </c>
      <c r="AT600" s="290">
        <v>42129</v>
      </c>
      <c r="AU600" s="298"/>
      <c r="BF600" s="282">
        <v>-5.7737669944763184</v>
      </c>
      <c r="BG600" s="283">
        <v>42235</v>
      </c>
      <c r="BL600" s="296">
        <v>64.109184265136719</v>
      </c>
      <c r="BM600" s="283">
        <v>42235</v>
      </c>
      <c r="BP600" s="282">
        <v>3.3400590419769287</v>
      </c>
      <c r="BQ600" s="283">
        <v>42235</v>
      </c>
      <c r="BR600" s="282">
        <v>51.029590606689453</v>
      </c>
      <c r="BS600" s="283">
        <v>42235</v>
      </c>
      <c r="BT600" s="282">
        <v>16.785022735595703</v>
      </c>
      <c r="BU600" s="283">
        <v>42235</v>
      </c>
      <c r="BV600" s="282">
        <v>20.863533020019531</v>
      </c>
      <c r="BW600" s="283">
        <v>42235</v>
      </c>
      <c r="BX600" s="282">
        <v>5.2776107788085938</v>
      </c>
      <c r="BY600" s="283">
        <v>42235</v>
      </c>
      <c r="CB600" s="267">
        <v>4.08</v>
      </c>
      <c r="CD600" s="282">
        <v>3.5087719298245648</v>
      </c>
      <c r="CE600" s="291" t="s">
        <v>8402</v>
      </c>
      <c r="CH600" s="136">
        <v>4</v>
      </c>
      <c r="CI600" s="136">
        <v>3</v>
      </c>
      <c r="CL600" s="136">
        <v>2</v>
      </c>
      <c r="CM600" s="259">
        <v>42161</v>
      </c>
      <c r="CN600" s="137" t="s">
        <v>8406</v>
      </c>
    </row>
    <row r="601" spans="1:93">
      <c r="A601" s="258">
        <v>1000</v>
      </c>
      <c r="B601" s="235">
        <v>124</v>
      </c>
      <c r="C601" s="235" t="s">
        <v>7621</v>
      </c>
      <c r="D601" s="235" t="s">
        <v>7456</v>
      </c>
      <c r="E601" s="235" t="s">
        <v>7621</v>
      </c>
      <c r="F601" s="235" t="s">
        <v>8478</v>
      </c>
      <c r="G601" s="235" t="str">
        <f t="shared" si="316"/>
        <v>Rapsodyn</v>
      </c>
      <c r="H601" s="235" t="s">
        <v>267</v>
      </c>
      <c r="I601" s="235">
        <v>1</v>
      </c>
      <c r="J601" s="235">
        <v>9014</v>
      </c>
      <c r="K601" s="235">
        <v>23</v>
      </c>
      <c r="L601" s="235">
        <f t="shared" si="296"/>
        <v>95</v>
      </c>
      <c r="M601" s="235">
        <v>2</v>
      </c>
      <c r="N601" s="235">
        <v>7</v>
      </c>
      <c r="O601" s="248">
        <v>42048</v>
      </c>
      <c r="P601" s="136">
        <v>4.53</v>
      </c>
      <c r="Q601" s="264">
        <v>42204</v>
      </c>
      <c r="V601" s="219">
        <f t="shared" si="317"/>
        <v>13.485367160411712</v>
      </c>
      <c r="X601">
        <v>15.55</v>
      </c>
      <c r="AB601" s="220">
        <f t="shared" si="318"/>
        <v>5.0290739015742885</v>
      </c>
      <c r="AD601" s="221">
        <f t="shared" si="319"/>
        <v>64704.801126495076</v>
      </c>
      <c r="AF601" s="220">
        <f t="shared" si="320"/>
        <v>27.046606870874939</v>
      </c>
      <c r="AH601" s="220">
        <f t="shared" si="321"/>
        <v>30.328108175459679</v>
      </c>
      <c r="AJ601">
        <v>4.18</v>
      </c>
      <c r="AK601" s="285" t="s">
        <v>8398</v>
      </c>
      <c r="AL601" s="260">
        <v>160</v>
      </c>
      <c r="AN601" s="235">
        <v>70</v>
      </c>
      <c r="AO601" s="242">
        <v>42074</v>
      </c>
      <c r="AP601" s="235">
        <v>106</v>
      </c>
      <c r="AQ601" s="242">
        <v>42110</v>
      </c>
      <c r="AR601" s="136">
        <v>133</v>
      </c>
      <c r="AS601" s="297">
        <f t="shared" si="322"/>
        <v>133</v>
      </c>
      <c r="AT601" s="290">
        <v>42137</v>
      </c>
      <c r="AU601" s="298"/>
      <c r="BF601" s="282">
        <v>35.308486938476563</v>
      </c>
      <c r="BG601" s="283">
        <v>42235</v>
      </c>
      <c r="BL601" s="296">
        <v>61.655647277832031</v>
      </c>
      <c r="BM601" s="283">
        <v>42235</v>
      </c>
      <c r="BP601" s="282">
        <v>3.5742299556732178</v>
      </c>
      <c r="BQ601" s="283">
        <v>42235</v>
      </c>
      <c r="BR601" s="282">
        <v>49.859737396240234</v>
      </c>
      <c r="BS601" s="283">
        <v>42235</v>
      </c>
      <c r="BT601" s="282">
        <v>18.59410285949707</v>
      </c>
      <c r="BU601" s="283">
        <v>42235</v>
      </c>
      <c r="BV601" s="282">
        <v>52.43341064453125</v>
      </c>
      <c r="BW601" s="283">
        <v>42235</v>
      </c>
      <c r="BX601" s="282">
        <v>5.51904296875</v>
      </c>
      <c r="BY601" s="283">
        <v>42235</v>
      </c>
      <c r="CB601" s="267">
        <v>4.79</v>
      </c>
      <c r="CD601" s="282">
        <v>5.2631578947368389</v>
      </c>
      <c r="CE601" s="291" t="s">
        <v>8398</v>
      </c>
      <c r="CH601" s="136">
        <v>5</v>
      </c>
      <c r="CI601" s="136">
        <v>8</v>
      </c>
      <c r="CL601" s="136">
        <v>3</v>
      </c>
      <c r="CM601" s="259">
        <v>42161</v>
      </c>
      <c r="CO601" s="137" t="s">
        <v>8405</v>
      </c>
    </row>
    <row r="602" spans="1:93">
      <c r="A602" s="258">
        <v>1001</v>
      </c>
      <c r="B602" s="235">
        <v>125</v>
      </c>
      <c r="C602" s="235" t="s">
        <v>7677</v>
      </c>
      <c r="D602" s="235" t="s">
        <v>258</v>
      </c>
      <c r="E602" s="235" t="s">
        <v>7677</v>
      </c>
      <c r="F602" s="235" t="s">
        <v>8608</v>
      </c>
      <c r="G602" s="235" t="str">
        <f t="shared" si="316"/>
        <v>Rapsodyn</v>
      </c>
      <c r="H602" s="235" t="s">
        <v>267</v>
      </c>
      <c r="I602" s="235">
        <v>1</v>
      </c>
      <c r="J602" s="235">
        <v>9059</v>
      </c>
      <c r="K602" s="235">
        <v>22</v>
      </c>
      <c r="L602" s="235">
        <f t="shared" si="296"/>
        <v>94</v>
      </c>
      <c r="M602" s="235">
        <v>2</v>
      </c>
      <c r="N602" s="235">
        <v>5</v>
      </c>
      <c r="O602" s="248">
        <v>42048</v>
      </c>
      <c r="P602" s="136">
        <v>6.16</v>
      </c>
      <c r="Q602" s="264">
        <v>42204</v>
      </c>
      <c r="V602" s="219">
        <f t="shared" si="317"/>
        <v>17.359019286952371</v>
      </c>
      <c r="X602">
        <v>15.55</v>
      </c>
      <c r="AB602" s="220">
        <f t="shared" si="318"/>
        <v>7.1828356746759452</v>
      </c>
      <c r="AD602" s="221">
        <f t="shared" si="319"/>
        <v>75992.357518989695</v>
      </c>
      <c r="AF602" s="220">
        <f t="shared" si="320"/>
        <v>36.704308681672025</v>
      </c>
      <c r="AH602" s="220">
        <f t="shared" si="321"/>
        <v>41.157556270096471</v>
      </c>
      <c r="AJ602">
        <v>4.83</v>
      </c>
      <c r="AK602" s="285" t="s">
        <v>8398</v>
      </c>
      <c r="AL602" s="260">
        <v>160</v>
      </c>
      <c r="AN602" s="235">
        <v>70</v>
      </c>
      <c r="AO602" s="242">
        <v>42074</v>
      </c>
      <c r="AP602" s="235">
        <v>106</v>
      </c>
      <c r="AQ602" s="242">
        <v>42110</v>
      </c>
      <c r="AR602" s="136">
        <v>134</v>
      </c>
      <c r="AS602" s="297">
        <f t="shared" si="322"/>
        <v>134</v>
      </c>
      <c r="AT602" s="290">
        <v>42138</v>
      </c>
      <c r="AU602" s="298"/>
      <c r="BF602" s="282">
        <v>1.685992956161499</v>
      </c>
      <c r="BG602" s="283">
        <v>42235</v>
      </c>
      <c r="BL602" s="296">
        <v>62.041187286376953</v>
      </c>
      <c r="BM602" s="283">
        <v>42235</v>
      </c>
      <c r="BP602" s="282">
        <v>4.0462079048156738</v>
      </c>
      <c r="BQ602" s="283">
        <v>42235</v>
      </c>
      <c r="BR602" s="282">
        <v>47.294227600097656</v>
      </c>
      <c r="BS602" s="283">
        <v>42235</v>
      </c>
      <c r="BT602" s="282">
        <v>19.569461822509766</v>
      </c>
      <c r="BU602" s="283">
        <v>42235</v>
      </c>
      <c r="BV602" s="282">
        <v>18.907466888427734</v>
      </c>
      <c r="BW602" s="283">
        <v>42235</v>
      </c>
      <c r="BX602" s="282">
        <v>5.8038864135742187</v>
      </c>
      <c r="BY602" s="283">
        <v>42235</v>
      </c>
      <c r="CB602" s="267">
        <v>6.82</v>
      </c>
      <c r="CD602" s="282">
        <v>5.4545454545454515</v>
      </c>
      <c r="CE602" s="291" t="s">
        <v>8398</v>
      </c>
      <c r="CH602" s="136">
        <v>2</v>
      </c>
      <c r="CI602" s="136">
        <v>3</v>
      </c>
      <c r="CL602" s="136">
        <v>2</v>
      </c>
      <c r="CM602" s="259">
        <v>42161</v>
      </c>
      <c r="CN602" s="137" t="s">
        <v>8406</v>
      </c>
    </row>
    <row r="603" spans="1:93">
      <c r="A603" s="258">
        <v>1002</v>
      </c>
      <c r="B603" s="235">
        <v>126</v>
      </c>
      <c r="C603" s="235" t="s">
        <v>7723</v>
      </c>
      <c r="D603" s="235" t="s">
        <v>7547</v>
      </c>
      <c r="E603" s="235" t="s">
        <v>7723</v>
      </c>
      <c r="F603" s="235" t="s">
        <v>8446</v>
      </c>
      <c r="G603" s="235" t="str">
        <f t="shared" si="316"/>
        <v>Rapsodyn</v>
      </c>
      <c r="H603" s="235" t="s">
        <v>267</v>
      </c>
      <c r="I603" s="235">
        <v>1</v>
      </c>
      <c r="J603" s="235">
        <v>9105</v>
      </c>
      <c r="K603" s="235">
        <v>21</v>
      </c>
      <c r="L603" s="235">
        <f t="shared" si="296"/>
        <v>93</v>
      </c>
      <c r="M603" s="235">
        <v>2</v>
      </c>
      <c r="N603" s="235">
        <v>5</v>
      </c>
      <c r="O603" s="248">
        <v>42048</v>
      </c>
      <c r="P603" s="136">
        <v>5.95</v>
      </c>
      <c r="Q603" s="264">
        <v>42204</v>
      </c>
      <c r="V603" s="219">
        <f t="shared" si="317"/>
        <v>16.790300123767366</v>
      </c>
      <c r="X603">
        <v>15.55</v>
      </c>
      <c r="AB603" s="220">
        <f t="shared" si="318"/>
        <v>6.6979603021355247</v>
      </c>
      <c r="AD603" s="221">
        <f t="shared" si="319"/>
        <v>69852.36344622937</v>
      </c>
      <c r="AF603" s="220">
        <f t="shared" si="320"/>
        <v>35.415148267238294</v>
      </c>
      <c r="AH603" s="220">
        <f t="shared" si="321"/>
        <v>39.711985049605623</v>
      </c>
      <c r="AJ603">
        <v>5.07</v>
      </c>
      <c r="AK603" s="285" t="s">
        <v>8398</v>
      </c>
      <c r="AL603" s="260">
        <v>180</v>
      </c>
      <c r="AN603" s="235">
        <v>70</v>
      </c>
      <c r="AO603" s="242">
        <v>42074</v>
      </c>
      <c r="AP603" s="235">
        <v>106</v>
      </c>
      <c r="AQ603" s="242">
        <v>42110</v>
      </c>
      <c r="AR603" s="136">
        <v>127</v>
      </c>
      <c r="AS603" s="297">
        <f t="shared" si="322"/>
        <v>127</v>
      </c>
      <c r="AT603" s="290">
        <v>42131</v>
      </c>
      <c r="AU603" s="298"/>
      <c r="BF603" s="282">
        <v>-8.0784950256347656</v>
      </c>
      <c r="BG603" s="283">
        <v>42235</v>
      </c>
      <c r="BL603" s="296">
        <v>60.459388732910156</v>
      </c>
      <c r="BM603" s="283">
        <v>42235</v>
      </c>
      <c r="BP603" s="282">
        <v>3.3933730125427246</v>
      </c>
      <c r="BQ603" s="283">
        <v>42235</v>
      </c>
      <c r="BR603" s="282">
        <v>47.409938812255859</v>
      </c>
      <c r="BS603" s="283">
        <v>42235</v>
      </c>
      <c r="BT603" s="282">
        <v>18.912698745727539</v>
      </c>
      <c r="BU603" s="283">
        <v>42235</v>
      </c>
      <c r="BV603" s="282">
        <v>13.706783294677734</v>
      </c>
      <c r="BW603" s="283">
        <v>42235</v>
      </c>
      <c r="BX603" s="282">
        <v>5.4450225830078125</v>
      </c>
      <c r="BY603" s="283">
        <v>42235</v>
      </c>
      <c r="CB603" s="267">
        <v>5.27</v>
      </c>
      <c r="CD603" s="282">
        <v>5.5555555555555687</v>
      </c>
      <c r="CE603" s="291" t="s">
        <v>8398</v>
      </c>
      <c r="CH603" s="136">
        <v>1</v>
      </c>
      <c r="CI603" s="136">
        <v>8</v>
      </c>
      <c r="CL603" s="136">
        <v>1</v>
      </c>
      <c r="CM603" s="259">
        <v>42161</v>
      </c>
      <c r="CO603" s="137" t="s">
        <v>8405</v>
      </c>
    </row>
    <row r="604" spans="1:93">
      <c r="A604" s="258">
        <v>1004</v>
      </c>
      <c r="B604" s="235">
        <v>128</v>
      </c>
      <c r="C604" s="235" t="s">
        <v>7669</v>
      </c>
      <c r="D604" s="235" t="s">
        <v>7498</v>
      </c>
      <c r="E604" s="235" t="s">
        <v>7669</v>
      </c>
      <c r="F604" s="235" t="s">
        <v>8466</v>
      </c>
      <c r="G604" s="235" t="str">
        <f t="shared" si="316"/>
        <v>Rapsodyn</v>
      </c>
      <c r="H604" s="235" t="s">
        <v>267</v>
      </c>
      <c r="I604" s="235">
        <v>1</v>
      </c>
      <c r="J604" s="235">
        <v>9051</v>
      </c>
      <c r="K604" s="235">
        <v>19</v>
      </c>
      <c r="L604" s="235">
        <f t="shared" si="296"/>
        <v>91</v>
      </c>
      <c r="M604" s="235">
        <v>2</v>
      </c>
      <c r="N604" s="235">
        <v>7</v>
      </c>
      <c r="O604" s="248">
        <v>42048</v>
      </c>
      <c r="P604" s="136">
        <v>5.99</v>
      </c>
      <c r="Q604" s="264">
        <v>42204</v>
      </c>
      <c r="V604" s="219">
        <f t="shared" si="317"/>
        <v>18.252144982550234</v>
      </c>
      <c r="X604">
        <v>15.55</v>
      </c>
      <c r="AB604" s="220">
        <f t="shared" si="318"/>
        <v>6.9387554702948568</v>
      </c>
      <c r="AD604" s="221">
        <f t="shared" si="319"/>
        <v>79141.472358726503</v>
      </c>
      <c r="AF604" s="220">
        <f t="shared" si="320"/>
        <v>37.038209063884004</v>
      </c>
      <c r="AH604" s="220">
        <f t="shared" si="321"/>
        <v>41.531968001664055</v>
      </c>
      <c r="AJ604">
        <v>4.68</v>
      </c>
      <c r="AK604" s="285" t="s">
        <v>8398</v>
      </c>
      <c r="AL604" s="260">
        <v>175</v>
      </c>
      <c r="AN604" s="235">
        <v>70</v>
      </c>
      <c r="AO604" s="242">
        <v>42074</v>
      </c>
      <c r="AP604" s="235">
        <v>104</v>
      </c>
      <c r="AQ604" s="242">
        <v>42108</v>
      </c>
      <c r="AR604" s="136">
        <v>131</v>
      </c>
      <c r="AS604" s="297">
        <f t="shared" si="322"/>
        <v>131</v>
      </c>
      <c r="AT604" s="290">
        <v>42135</v>
      </c>
      <c r="AU604" s="298"/>
      <c r="BF604" s="282">
        <v>-1.7618499994277954</v>
      </c>
      <c r="BG604" s="283">
        <v>42235</v>
      </c>
      <c r="BL604" s="296">
        <v>64.567192077636719</v>
      </c>
      <c r="BM604" s="283">
        <v>42235</v>
      </c>
      <c r="BP604" s="282">
        <v>2.9484860897064209</v>
      </c>
      <c r="BQ604" s="283">
        <v>42235</v>
      </c>
      <c r="BR604" s="282">
        <v>49.279232025146484</v>
      </c>
      <c r="BS604" s="283">
        <v>42235</v>
      </c>
      <c r="BT604" s="282">
        <v>18.734046936035156</v>
      </c>
      <c r="BU604" s="283">
        <v>42235</v>
      </c>
      <c r="BV604" s="282">
        <v>13.017943382263184</v>
      </c>
      <c r="BW604" s="283">
        <v>42235</v>
      </c>
      <c r="BX604" s="282">
        <v>5.4475936889648437</v>
      </c>
      <c r="BY604" s="283">
        <v>42235</v>
      </c>
      <c r="CB604" s="267">
        <v>6.2</v>
      </c>
      <c r="CD604" s="282">
        <v>1.886792452830182</v>
      </c>
      <c r="CE604" s="291" t="s">
        <v>8398</v>
      </c>
      <c r="CH604" s="136">
        <v>2</v>
      </c>
      <c r="CI604" s="136">
        <v>2</v>
      </c>
      <c r="CL604" s="136">
        <v>1</v>
      </c>
      <c r="CM604" s="259">
        <v>42161</v>
      </c>
      <c r="CN604" s="137" t="s">
        <v>8406</v>
      </c>
    </row>
    <row r="605" spans="1:93">
      <c r="A605" s="258">
        <v>1009</v>
      </c>
      <c r="B605" s="236">
        <v>133</v>
      </c>
      <c r="C605" s="236" t="s">
        <v>7799</v>
      </c>
      <c r="D605" s="236" t="s">
        <v>7597</v>
      </c>
      <c r="E605" s="236" t="s">
        <v>7799</v>
      </c>
      <c r="F605" s="236" t="s">
        <v>8614</v>
      </c>
      <c r="G605" s="235" t="str">
        <f t="shared" si="316"/>
        <v>Rapsodyn</v>
      </c>
      <c r="H605" s="235" t="s">
        <v>267</v>
      </c>
      <c r="I605" s="235">
        <v>1</v>
      </c>
      <c r="J605" s="236">
        <v>9170</v>
      </c>
      <c r="K605" s="236">
        <v>14</v>
      </c>
      <c r="L605" s="235">
        <f t="shared" ref="L605:L643" si="323">72+K605</f>
        <v>86</v>
      </c>
      <c r="M605" s="236">
        <v>2</v>
      </c>
      <c r="N605" s="235">
        <v>7</v>
      </c>
      <c r="O605" s="248">
        <v>42048</v>
      </c>
      <c r="P605" s="136">
        <v>6.69</v>
      </c>
      <c r="Q605" s="264">
        <v>42204</v>
      </c>
      <c r="V605" s="219">
        <f t="shared" si="317"/>
        <v>20.527878290316089</v>
      </c>
      <c r="X605">
        <v>15.55</v>
      </c>
      <c r="AB605" s="220">
        <f t="shared" si="318"/>
        <v>7.0380971086508213</v>
      </c>
      <c r="AD605" s="221">
        <f t="shared" si="319"/>
        <v>79143.275202017991</v>
      </c>
      <c r="AF605" s="220">
        <f t="shared" si="320"/>
        <v>40.60050017863523</v>
      </c>
      <c r="AH605" s="220">
        <f t="shared" si="321"/>
        <v>45.526463532894397</v>
      </c>
      <c r="AJ605">
        <v>5.13</v>
      </c>
      <c r="AK605" s="285" t="s">
        <v>8398</v>
      </c>
      <c r="AL605" s="260">
        <v>175</v>
      </c>
      <c r="AN605" s="235">
        <v>63</v>
      </c>
      <c r="AO605" s="243">
        <v>42067</v>
      </c>
      <c r="AP605" s="235">
        <v>104</v>
      </c>
      <c r="AQ605" s="242">
        <v>42108</v>
      </c>
      <c r="AR605" s="136">
        <v>127</v>
      </c>
      <c r="AS605" s="297">
        <f t="shared" si="322"/>
        <v>127</v>
      </c>
      <c r="AT605" s="290">
        <v>42131</v>
      </c>
      <c r="AU605" s="298"/>
      <c r="BF605" s="282">
        <v>-2.869286060333252</v>
      </c>
      <c r="BG605" s="283">
        <v>42235</v>
      </c>
      <c r="BL605" s="296">
        <v>65.194671630859375</v>
      </c>
      <c r="BM605" s="283">
        <v>42235</v>
      </c>
      <c r="BP605" s="282">
        <v>3.2770969867706299</v>
      </c>
      <c r="BQ605" s="283">
        <v>42235</v>
      </c>
      <c r="BR605" s="282">
        <v>50.560653686523438</v>
      </c>
      <c r="BS605" s="283">
        <v>42235</v>
      </c>
      <c r="BT605" s="282">
        <v>17.335000991821289</v>
      </c>
      <c r="BU605" s="283">
        <v>42235</v>
      </c>
      <c r="BV605" s="282">
        <v>10.021740913391113</v>
      </c>
      <c r="BW605" s="283">
        <v>42235</v>
      </c>
      <c r="BX605" s="282">
        <v>5.3460769653320313</v>
      </c>
      <c r="BY605" s="283">
        <v>42235</v>
      </c>
      <c r="CB605" s="267">
        <v>6.26</v>
      </c>
      <c r="CD605" s="282">
        <v>3.7037037037037068</v>
      </c>
      <c r="CE605" s="291" t="s">
        <v>8398</v>
      </c>
      <c r="CH605" s="136">
        <v>3</v>
      </c>
      <c r="CI605" s="136">
        <v>6</v>
      </c>
      <c r="CL605" s="136">
        <v>1</v>
      </c>
      <c r="CM605" s="259">
        <v>42161</v>
      </c>
      <c r="CN605" s="137" t="s">
        <v>8406</v>
      </c>
    </row>
    <row r="606" spans="1:93">
      <c r="A606" s="258">
        <v>1013</v>
      </c>
      <c r="B606" s="235">
        <v>137</v>
      </c>
      <c r="C606" s="235" t="s">
        <v>7695</v>
      </c>
      <c r="D606" s="235" t="s">
        <v>7521</v>
      </c>
      <c r="E606" s="235" t="s">
        <v>7695</v>
      </c>
      <c r="F606" s="235" t="s">
        <v>8594</v>
      </c>
      <c r="G606" s="235" t="str">
        <f t="shared" si="316"/>
        <v>Rapsodyn</v>
      </c>
      <c r="H606" s="235" t="s">
        <v>267</v>
      </c>
      <c r="I606" s="235">
        <v>1</v>
      </c>
      <c r="J606" s="235">
        <v>9077</v>
      </c>
      <c r="K606" s="235">
        <v>10</v>
      </c>
      <c r="L606" s="235">
        <f t="shared" si="323"/>
        <v>82</v>
      </c>
      <c r="M606" s="235">
        <v>2</v>
      </c>
      <c r="N606" s="235">
        <v>7</v>
      </c>
      <c r="O606" s="248">
        <v>42048</v>
      </c>
      <c r="P606" s="136">
        <v>7.44</v>
      </c>
      <c r="Q606" s="264">
        <v>42204</v>
      </c>
      <c r="V606" s="219">
        <f t="shared" si="317"/>
        <v>22.233229009414913</v>
      </c>
      <c r="X606">
        <v>15.55</v>
      </c>
      <c r="AB606" s="220">
        <f t="shared" si="318"/>
        <v>7.6124926171079164</v>
      </c>
      <c r="AD606" s="221">
        <f t="shared" si="319"/>
        <v>113138.59037197976</v>
      </c>
      <c r="AF606" s="220">
        <f t="shared" si="320"/>
        <v>44.46346601618805</v>
      </c>
      <c r="AH606" s="220">
        <f t="shared" si="321"/>
        <v>49.858113945041545</v>
      </c>
      <c r="AJ606">
        <v>3.93</v>
      </c>
      <c r="AK606" s="285" t="s">
        <v>8401</v>
      </c>
      <c r="AL606" s="260">
        <v>185</v>
      </c>
      <c r="AN606" s="235">
        <v>75</v>
      </c>
      <c r="AO606" s="242">
        <v>42079</v>
      </c>
      <c r="AP606" s="235">
        <v>110</v>
      </c>
      <c r="AQ606" s="242">
        <v>42114</v>
      </c>
      <c r="AR606" s="136">
        <v>135</v>
      </c>
      <c r="AS606" s="297">
        <f t="shared" si="322"/>
        <v>135</v>
      </c>
      <c r="AT606" s="290">
        <v>42139</v>
      </c>
      <c r="AU606" s="298"/>
      <c r="BF606" s="282">
        <v>-2.7854900360107422</v>
      </c>
      <c r="BG606" s="283">
        <v>42234</v>
      </c>
      <c r="BL606" s="296">
        <v>64.060432434082031</v>
      </c>
      <c r="BM606" s="283">
        <v>42234</v>
      </c>
      <c r="BP606" s="282">
        <v>3.3910670280456543</v>
      </c>
      <c r="BQ606" s="283">
        <v>42234</v>
      </c>
      <c r="BR606" s="282">
        <v>50.003364562988281</v>
      </c>
      <c r="BS606" s="283">
        <v>42234</v>
      </c>
      <c r="BT606" s="282">
        <v>17.120780944824219</v>
      </c>
      <c r="BU606" s="283">
        <v>42234</v>
      </c>
      <c r="BV606" s="282">
        <v>10.789026260375977</v>
      </c>
      <c r="BW606" s="283">
        <v>42234</v>
      </c>
      <c r="BX606" s="282">
        <v>5.4077224731445313</v>
      </c>
      <c r="BY606" s="283">
        <v>42234</v>
      </c>
      <c r="CB606" s="267">
        <v>7.26</v>
      </c>
      <c r="CD606" s="282">
        <v>5.1724137931034457</v>
      </c>
      <c r="CE606" s="291" t="s">
        <v>8401</v>
      </c>
      <c r="CH606" s="136">
        <v>4</v>
      </c>
      <c r="CI606" s="136">
        <v>6</v>
      </c>
      <c r="CL606" s="136">
        <v>2</v>
      </c>
      <c r="CM606" s="259">
        <v>42161</v>
      </c>
      <c r="CN606" s="137" t="s">
        <v>8406</v>
      </c>
    </row>
    <row r="607" spans="1:93">
      <c r="A607" s="258">
        <v>1015</v>
      </c>
      <c r="B607" s="235">
        <v>139</v>
      </c>
      <c r="C607" s="235" t="s">
        <v>7576</v>
      </c>
      <c r="D607" s="235"/>
      <c r="E607" s="235"/>
      <c r="F607" s="235"/>
      <c r="G607" s="235"/>
      <c r="H607" s="235" t="s">
        <v>267</v>
      </c>
      <c r="I607" s="235">
        <v>1</v>
      </c>
      <c r="K607" s="235">
        <v>8</v>
      </c>
      <c r="L607" s="235">
        <f t="shared" si="323"/>
        <v>80</v>
      </c>
      <c r="M607" s="235">
        <v>2</v>
      </c>
      <c r="O607" s="248">
        <v>42048</v>
      </c>
      <c r="V607" s="219"/>
      <c r="X607">
        <v>15.55</v>
      </c>
      <c r="AB607" s="220"/>
      <c r="AD607" s="221"/>
      <c r="AF607" s="220"/>
      <c r="AH607" s="220"/>
      <c r="AJ607" s="286"/>
      <c r="AK607" s="285"/>
      <c r="AL607" s="260"/>
      <c r="AN607" s="235">
        <v>70</v>
      </c>
      <c r="AO607" s="242">
        <v>42074</v>
      </c>
      <c r="AP607" s="235">
        <v>106</v>
      </c>
      <c r="AQ607" s="242">
        <v>42110</v>
      </c>
      <c r="AS607" s="297"/>
      <c r="AT607" s="290"/>
      <c r="AU607" s="298"/>
      <c r="BF607" s="282"/>
      <c r="BG607" s="235"/>
      <c r="BL607" s="296"/>
      <c r="BM607" s="235"/>
      <c r="BP607" s="282"/>
      <c r="BQ607" s="235"/>
      <c r="BR607" s="282"/>
      <c r="BS607" s="235"/>
      <c r="BT607" s="282"/>
      <c r="BU607" s="235"/>
      <c r="BV607" s="282"/>
      <c r="BW607" s="235"/>
      <c r="BX607" s="282"/>
      <c r="BY607" s="235"/>
      <c r="CB607" s="267"/>
      <c r="CD607" s="282"/>
      <c r="CE607" s="291"/>
      <c r="CL607" s="136">
        <v>3</v>
      </c>
      <c r="CM607" s="259">
        <v>42161</v>
      </c>
    </row>
    <row r="608" spans="1:93">
      <c r="A608" s="258">
        <v>1016</v>
      </c>
      <c r="B608" s="235">
        <v>140</v>
      </c>
      <c r="C608" s="235" t="s">
        <v>7744</v>
      </c>
      <c r="D608" s="235" t="s">
        <v>7876</v>
      </c>
      <c r="E608" s="235" t="s">
        <v>7744</v>
      </c>
      <c r="F608" s="235" t="s">
        <v>8427</v>
      </c>
      <c r="G608" s="235" t="str">
        <f>IF(MID(C608,1,3)="BGA","Complement","Rapsodyn")</f>
        <v>Rapsodyn</v>
      </c>
      <c r="H608" s="235" t="s">
        <v>267</v>
      </c>
      <c r="I608" s="235">
        <v>1</v>
      </c>
      <c r="J608" s="235">
        <v>9377</v>
      </c>
      <c r="K608" s="235">
        <v>7</v>
      </c>
      <c r="L608" s="235">
        <f t="shared" si="323"/>
        <v>79</v>
      </c>
      <c r="M608" s="235">
        <v>2</v>
      </c>
      <c r="N608" s="235">
        <v>7</v>
      </c>
      <c r="O608" s="248">
        <v>42048</v>
      </c>
      <c r="P608" s="136">
        <v>3.75</v>
      </c>
      <c r="Q608" s="264">
        <v>42204</v>
      </c>
      <c r="V608" s="219">
        <f>+BR608*AF608/100</f>
        <v>10.978605493216396</v>
      </c>
      <c r="X608">
        <v>15.55</v>
      </c>
      <c r="AB608" s="220">
        <f>+AF608*BT608/100</f>
        <v>4.5151257952778368</v>
      </c>
      <c r="AD608" s="221">
        <f>+(AF608/AJ608)*10000</f>
        <v>60206.687573604329</v>
      </c>
      <c r="AF608" s="220">
        <f>($P608/$X608)*(((100-$CD608)/100*(100-2)/100))*100</f>
        <v>22.758127902822434</v>
      </c>
      <c r="AH608" s="220">
        <f>($P608/$X608)*(((100-$CD608)/(100-9)*(100-2)/(100-2))*100)</f>
        <v>25.519318123819726</v>
      </c>
      <c r="AJ608">
        <v>3.78</v>
      </c>
      <c r="AK608" s="285" t="s">
        <v>8400</v>
      </c>
      <c r="AL608" s="260">
        <v>175</v>
      </c>
      <c r="AN608" s="235">
        <v>70</v>
      </c>
      <c r="AO608" s="242">
        <v>42074</v>
      </c>
      <c r="AP608" s="235">
        <v>106</v>
      </c>
      <c r="AQ608" s="242">
        <v>42110</v>
      </c>
      <c r="AR608" s="136">
        <v>138</v>
      </c>
      <c r="AS608" s="297">
        <f>IF(AR608=0,,AR608)</f>
        <v>138</v>
      </c>
      <c r="AT608" s="290">
        <v>42142</v>
      </c>
      <c r="AU608" s="298"/>
      <c r="BF608" s="282">
        <v>37.387168884277344</v>
      </c>
      <c r="BG608" s="283">
        <v>42236</v>
      </c>
      <c r="BL608" s="296">
        <v>58.971534729003906</v>
      </c>
      <c r="BM608" s="283">
        <v>42236</v>
      </c>
      <c r="BP608" s="282">
        <v>2.9083108901977539</v>
      </c>
      <c r="BQ608" s="283">
        <v>42236</v>
      </c>
      <c r="BR608" s="282">
        <v>48.240371704101563</v>
      </c>
      <c r="BS608" s="283">
        <v>42236</v>
      </c>
      <c r="BT608" s="282">
        <v>19.839618682861328</v>
      </c>
      <c r="BU608" s="283">
        <v>42236</v>
      </c>
      <c r="BV608" s="282">
        <v>64.030876159667969</v>
      </c>
      <c r="BW608" s="283">
        <v>42236</v>
      </c>
      <c r="BX608" s="282">
        <v>5.8565750122070312</v>
      </c>
      <c r="BY608" s="283">
        <v>42236</v>
      </c>
      <c r="CB608" s="267">
        <v>6.29</v>
      </c>
      <c r="CD608" s="282">
        <v>3.7037037037037068</v>
      </c>
      <c r="CE608" s="291" t="s">
        <v>8400</v>
      </c>
      <c r="CH608" s="136">
        <v>5</v>
      </c>
      <c r="CI608" s="136">
        <v>6</v>
      </c>
      <c r="CL608" s="136">
        <v>8</v>
      </c>
      <c r="CM608" s="259">
        <v>42161</v>
      </c>
      <c r="CN608" s="137" t="s">
        <v>8391</v>
      </c>
    </row>
    <row r="609" spans="1:93">
      <c r="A609" s="258">
        <v>1017</v>
      </c>
      <c r="B609" s="235">
        <v>141</v>
      </c>
      <c r="C609" s="235" t="s">
        <v>7632</v>
      </c>
      <c r="D609" s="235" t="s">
        <v>7466</v>
      </c>
      <c r="E609" s="235" t="s">
        <v>7632</v>
      </c>
      <c r="F609" s="235" t="s">
        <v>8497</v>
      </c>
      <c r="G609" s="235" t="str">
        <f>IF(MID(C609,1,3)="BGA","Complement","Rapsodyn")</f>
        <v>Rapsodyn</v>
      </c>
      <c r="H609" s="235" t="s">
        <v>267</v>
      </c>
      <c r="I609" s="235">
        <v>1</v>
      </c>
      <c r="J609" s="235">
        <v>9366</v>
      </c>
      <c r="K609" s="235">
        <v>6</v>
      </c>
      <c r="L609" s="235">
        <f t="shared" si="323"/>
        <v>78</v>
      </c>
      <c r="M609" s="235">
        <v>2</v>
      </c>
      <c r="N609" s="236">
        <v>9</v>
      </c>
      <c r="O609" s="248">
        <v>42048</v>
      </c>
      <c r="P609" s="136">
        <v>3.6</v>
      </c>
      <c r="Q609" s="264">
        <v>42204</v>
      </c>
      <c r="V609" s="219">
        <f>+BR609*AF609/100</f>
        <v>9.568749028294798</v>
      </c>
      <c r="X609">
        <v>15.55</v>
      </c>
      <c r="AB609" s="220">
        <f>+AF609*BT609/100</f>
        <v>5.112346627704583</v>
      </c>
      <c r="AD609" s="221">
        <f>+(AF609/AJ609)*10000</f>
        <v>49024.358014359335</v>
      </c>
      <c r="AF609" s="220">
        <f>($P609/$X609)*(((100-$CD609)/100*(100-2)/100))*100</f>
        <v>21.472668810289388</v>
      </c>
      <c r="AH609" s="220">
        <f>($P609/$X609)*(((100-$CD609)/(100-9)*(100-2)/(100-2))*100)</f>
        <v>24.077897297924856</v>
      </c>
      <c r="AJ609">
        <v>4.38</v>
      </c>
      <c r="AK609" s="285" t="s">
        <v>8400</v>
      </c>
      <c r="AL609" s="260">
        <v>170</v>
      </c>
      <c r="AN609" s="235">
        <v>72</v>
      </c>
      <c r="AO609" s="242">
        <v>42076</v>
      </c>
      <c r="AP609" s="235">
        <v>106</v>
      </c>
      <c r="AQ609" s="242">
        <v>42110</v>
      </c>
      <c r="AR609" s="136">
        <v>131</v>
      </c>
      <c r="AS609" s="297">
        <f>IF(AR609=0,,AR609)</f>
        <v>131</v>
      </c>
      <c r="AT609" s="290">
        <v>42135</v>
      </c>
      <c r="AU609" s="298"/>
      <c r="BF609" s="282">
        <v>37.326713562011719</v>
      </c>
      <c r="BG609" s="283">
        <v>42236</v>
      </c>
      <c r="BL609" s="296">
        <v>58.868438720703125</v>
      </c>
      <c r="BM609" s="283">
        <v>42236</v>
      </c>
      <c r="BP609" s="282">
        <v>3.7873289585113525</v>
      </c>
      <c r="BQ609" s="283">
        <v>42236</v>
      </c>
      <c r="BR609" s="282">
        <v>44.562458038330078</v>
      </c>
      <c r="BS609" s="283">
        <v>42236</v>
      </c>
      <c r="BT609" s="282">
        <v>23.808622360229492</v>
      </c>
      <c r="BU609" s="283">
        <v>42236</v>
      </c>
      <c r="BV609" s="282">
        <v>90.684417724609375</v>
      </c>
      <c r="BW609" s="283">
        <v>42236</v>
      </c>
      <c r="BX609" s="282">
        <v>6.0425338745117187</v>
      </c>
      <c r="BY609" s="283">
        <v>42236</v>
      </c>
      <c r="CB609" s="267">
        <v>9.6300000000000008</v>
      </c>
      <c r="CD609" s="282">
        <v>5.3571428571428541</v>
      </c>
      <c r="CE609" s="291" t="s">
        <v>8400</v>
      </c>
      <c r="CH609" s="136">
        <v>2</v>
      </c>
      <c r="CI609" s="136">
        <v>3</v>
      </c>
      <c r="CL609" s="136">
        <v>7</v>
      </c>
      <c r="CM609" s="259">
        <v>42161</v>
      </c>
      <c r="CN609" s="137" t="s">
        <v>8406</v>
      </c>
    </row>
    <row r="610" spans="1:93">
      <c r="A610" s="258">
        <v>1018</v>
      </c>
      <c r="B610" s="235">
        <v>142</v>
      </c>
      <c r="C610" s="235" t="s">
        <v>7629</v>
      </c>
      <c r="D610" s="235" t="s">
        <v>7463</v>
      </c>
      <c r="E610" s="235" t="s">
        <v>7629</v>
      </c>
      <c r="F610" s="235" t="s">
        <v>8493</v>
      </c>
      <c r="G610" s="235" t="str">
        <f>IF(MID(C610,1,3)="BGA","Complement","Rapsodyn")</f>
        <v>Rapsodyn</v>
      </c>
      <c r="H610" s="235" t="s">
        <v>267</v>
      </c>
      <c r="I610" s="235">
        <v>1</v>
      </c>
      <c r="J610" s="235">
        <v>9365</v>
      </c>
      <c r="K610" s="235">
        <v>5</v>
      </c>
      <c r="L610" s="235">
        <f t="shared" si="323"/>
        <v>77</v>
      </c>
      <c r="M610" s="235">
        <v>2</v>
      </c>
      <c r="N610" s="235">
        <v>7</v>
      </c>
      <c r="O610" s="248">
        <v>42048</v>
      </c>
      <c r="P610" s="136">
        <v>2.4</v>
      </c>
      <c r="Q610" s="264">
        <v>42204</v>
      </c>
      <c r="V610" s="219">
        <f>+BR610*AF610/100</f>
        <v>6.895918867595709</v>
      </c>
      <c r="X610">
        <v>15.55</v>
      </c>
      <c r="AB610" s="220">
        <f>+AF610*BT610/100</f>
        <v>3.0950941981698445</v>
      </c>
      <c r="AD610" s="221">
        <f>+(AF610/AJ610)*10000</f>
        <v>31276.678927337565</v>
      </c>
      <c r="AF610" s="220">
        <f>($P610/$X610)*(((100-$CD610)/100*(100-2)/100))*100</f>
        <v>14.54365570121197</v>
      </c>
      <c r="AH610" s="220">
        <f>($P610/$X610)*(((100-$CD610)/(100-9)*(100-2)/(100-2))*100)</f>
        <v>16.308203298062313</v>
      </c>
      <c r="AJ610">
        <v>4.6500000000000004</v>
      </c>
      <c r="AK610" s="285" t="s">
        <v>8398</v>
      </c>
      <c r="AL610" s="260">
        <v>175</v>
      </c>
      <c r="AN610" s="235">
        <v>70</v>
      </c>
      <c r="AO610" s="242">
        <v>42074</v>
      </c>
      <c r="AP610" s="235">
        <v>104</v>
      </c>
      <c r="AQ610" s="242">
        <v>42108</v>
      </c>
      <c r="AR610" s="136">
        <v>131</v>
      </c>
      <c r="AS610" s="297">
        <f>IF(AR610=0,,AR610)</f>
        <v>131</v>
      </c>
      <c r="AT610" s="290">
        <v>42135</v>
      </c>
      <c r="AU610" s="298"/>
      <c r="BF610" s="282">
        <v>-2.2711350917816162</v>
      </c>
      <c r="BG610" s="283">
        <v>42236</v>
      </c>
      <c r="BL610" s="296">
        <v>61.262130737304688</v>
      </c>
      <c r="BM610" s="283">
        <v>42236</v>
      </c>
      <c r="BP610" s="282">
        <v>3.3244049549102783</v>
      </c>
      <c r="BQ610" s="283">
        <v>42236</v>
      </c>
      <c r="BR610" s="282">
        <v>47.415306091308594</v>
      </c>
      <c r="BS610" s="283">
        <v>42236</v>
      </c>
      <c r="BT610" s="282">
        <v>21.281404495239258</v>
      </c>
      <c r="BU610" s="283">
        <v>42236</v>
      </c>
      <c r="BV610" s="282">
        <v>67.669471740722656</v>
      </c>
      <c r="BW610" s="283">
        <v>42236</v>
      </c>
      <c r="BX610" s="282">
        <v>5.9048690795898437</v>
      </c>
      <c r="BY610" s="283">
        <v>42236</v>
      </c>
      <c r="CB610" s="267">
        <v>6.52</v>
      </c>
      <c r="CD610" s="282">
        <v>3.8461538461538494</v>
      </c>
      <c r="CE610" s="291" t="s">
        <v>8398</v>
      </c>
      <c r="CH610" s="136">
        <v>2</v>
      </c>
      <c r="CI610" s="136">
        <v>7</v>
      </c>
      <c r="CL610" s="136">
        <v>6</v>
      </c>
      <c r="CM610" s="259">
        <v>42161</v>
      </c>
      <c r="CO610" s="137" t="s">
        <v>8405</v>
      </c>
    </row>
    <row r="611" spans="1:93">
      <c r="A611" s="258">
        <v>1019</v>
      </c>
      <c r="B611" s="235">
        <v>143</v>
      </c>
      <c r="C611" s="235" t="s">
        <v>7747</v>
      </c>
      <c r="D611" s="235" t="s">
        <v>7874</v>
      </c>
      <c r="E611" s="235" t="s">
        <v>7747</v>
      </c>
      <c r="F611" s="235" t="s">
        <v>8496</v>
      </c>
      <c r="G611" s="235" t="str">
        <f>IF(MID(C611,1,3)="BGA","Complement","Rapsodyn")</f>
        <v>Rapsodyn</v>
      </c>
      <c r="H611" s="235" t="s">
        <v>267</v>
      </c>
      <c r="I611" s="235">
        <v>1</v>
      </c>
      <c r="J611" s="235">
        <v>9380</v>
      </c>
      <c r="K611" s="235">
        <v>4</v>
      </c>
      <c r="L611" s="235">
        <f t="shared" si="323"/>
        <v>76</v>
      </c>
      <c r="M611" s="235">
        <v>2</v>
      </c>
      <c r="N611" s="235">
        <v>7</v>
      </c>
      <c r="O611" s="248">
        <v>42048</v>
      </c>
      <c r="P611" s="136">
        <v>4.3</v>
      </c>
      <c r="Q611" s="264">
        <v>42204</v>
      </c>
      <c r="V611" s="219">
        <f>+BR611*AF611/100</f>
        <v>11.733870231426145</v>
      </c>
      <c r="X611">
        <v>15.55</v>
      </c>
      <c r="AB611" s="220">
        <f>+AF611*BT611/100</f>
        <v>5.4015143656902778</v>
      </c>
      <c r="AD611" s="221">
        <f>+(AF611/AJ611)*10000</f>
        <v>53535.084840065734</v>
      </c>
      <c r="AF611" s="220">
        <f>($P611/$X611)*(((100-$CD611)/100*(100-2)/100))*100</f>
        <v>25.05441970515076</v>
      </c>
      <c r="AH611" s="220">
        <f>($P611/$X611)*(((100-$CD611)/(100-9)*(100-2)/(100-2))*100)</f>
        <v>28.094213618693384</v>
      </c>
      <c r="AJ611">
        <v>4.68</v>
      </c>
      <c r="AK611" s="285" t="s">
        <v>8398</v>
      </c>
      <c r="AL611" s="260">
        <v>175</v>
      </c>
      <c r="AN611" s="235">
        <v>72</v>
      </c>
      <c r="AO611" s="242">
        <v>42076</v>
      </c>
      <c r="AP611" s="235">
        <v>110</v>
      </c>
      <c r="AQ611" s="242">
        <v>42114</v>
      </c>
      <c r="AR611" s="136">
        <v>136</v>
      </c>
      <c r="AS611" s="297">
        <f>IF(AR611=0,,AR611)</f>
        <v>136</v>
      </c>
      <c r="AT611" s="290">
        <v>42140</v>
      </c>
      <c r="AU611" s="298"/>
      <c r="BF611" s="282">
        <v>36.284217834472656</v>
      </c>
      <c r="BG611" s="283">
        <v>42236</v>
      </c>
      <c r="BL611" s="296">
        <v>56.847415924072266</v>
      </c>
      <c r="BM611" s="283">
        <v>42236</v>
      </c>
      <c r="BP611" s="282">
        <v>5.1098551750183105</v>
      </c>
      <c r="BQ611" s="283">
        <v>42236</v>
      </c>
      <c r="BR611" s="282">
        <v>46.833534240722656</v>
      </c>
      <c r="BS611" s="283">
        <v>42236</v>
      </c>
      <c r="BT611" s="282">
        <v>21.559127807617188</v>
      </c>
      <c r="BU611" s="283">
        <v>42236</v>
      </c>
      <c r="BV611" s="282">
        <v>85.4688720703125</v>
      </c>
      <c r="BW611" s="283">
        <v>42236</v>
      </c>
      <c r="BX611" s="282">
        <v>6.4278030395507813</v>
      </c>
      <c r="BY611" s="283">
        <v>42236</v>
      </c>
      <c r="CB611" s="267">
        <v>8.16</v>
      </c>
      <c r="CD611" s="282">
        <v>7.547169811320745</v>
      </c>
      <c r="CE611" s="291" t="s">
        <v>8398</v>
      </c>
      <c r="CH611" s="136">
        <v>3</v>
      </c>
      <c r="CI611" s="136">
        <v>3</v>
      </c>
      <c r="CL611" s="136">
        <v>5</v>
      </c>
      <c r="CM611" s="259">
        <v>42161</v>
      </c>
      <c r="CN611" s="137" t="s">
        <v>8406</v>
      </c>
    </row>
    <row r="612" spans="1:93">
      <c r="A612" s="258">
        <v>1020</v>
      </c>
      <c r="B612" s="235">
        <v>144</v>
      </c>
      <c r="C612" s="235" t="s">
        <v>7576</v>
      </c>
      <c r="D612" s="235"/>
      <c r="E612" s="235"/>
      <c r="F612" s="235"/>
      <c r="G612" s="235"/>
      <c r="H612" s="235" t="s">
        <v>267</v>
      </c>
      <c r="I612" s="235">
        <v>1</v>
      </c>
      <c r="K612" s="235">
        <v>3</v>
      </c>
      <c r="L612" s="235">
        <f t="shared" si="323"/>
        <v>75</v>
      </c>
      <c r="M612" s="235">
        <v>2</v>
      </c>
      <c r="O612" s="248">
        <v>42048</v>
      </c>
      <c r="V612" s="219"/>
      <c r="X612">
        <v>15.55</v>
      </c>
      <c r="AB612" s="220"/>
      <c r="AD612" s="221"/>
      <c r="AF612" s="220"/>
      <c r="AH612" s="220"/>
      <c r="AJ612" s="286"/>
      <c r="AK612" s="285"/>
      <c r="AL612" s="260"/>
      <c r="AN612" s="235">
        <v>70</v>
      </c>
      <c r="AO612" s="242">
        <v>42074</v>
      </c>
      <c r="AP612" s="235">
        <v>106</v>
      </c>
      <c r="AQ612" s="242">
        <v>42110</v>
      </c>
      <c r="AS612" s="297"/>
      <c r="AT612" s="290"/>
      <c r="AU612" s="298"/>
      <c r="BF612" s="282"/>
      <c r="BG612" s="235"/>
      <c r="BL612" s="296"/>
      <c r="BM612" s="235"/>
      <c r="BP612" s="282"/>
      <c r="BQ612" s="235"/>
      <c r="BR612" s="282"/>
      <c r="BS612" s="235"/>
      <c r="BT612" s="282"/>
      <c r="BU612" s="235"/>
      <c r="BV612" s="282"/>
      <c r="BW612" s="235"/>
      <c r="BX612" s="282"/>
      <c r="BY612" s="235"/>
      <c r="CB612" s="267"/>
      <c r="CD612" s="282"/>
      <c r="CE612" s="291"/>
      <c r="CL612" s="136">
        <v>2</v>
      </c>
      <c r="CM612" s="259">
        <v>42161</v>
      </c>
    </row>
    <row r="613" spans="1:93">
      <c r="A613" s="258">
        <v>1021</v>
      </c>
      <c r="B613" s="235">
        <v>145</v>
      </c>
      <c r="C613" s="235" t="s">
        <v>7576</v>
      </c>
      <c r="D613" s="235"/>
      <c r="E613" s="235"/>
      <c r="F613" s="235"/>
      <c r="G613" s="235"/>
      <c r="H613" s="235" t="s">
        <v>267</v>
      </c>
      <c r="I613" s="235">
        <v>1</v>
      </c>
      <c r="K613" s="235">
        <v>2</v>
      </c>
      <c r="L613" s="235">
        <f t="shared" si="323"/>
        <v>74</v>
      </c>
      <c r="M613" s="235">
        <v>2</v>
      </c>
      <c r="O613" s="248">
        <v>42048</v>
      </c>
      <c r="V613" s="219"/>
      <c r="X613">
        <v>15.55</v>
      </c>
      <c r="AB613" s="220"/>
      <c r="AD613" s="221"/>
      <c r="AF613" s="220"/>
      <c r="AH613" s="220"/>
      <c r="AJ613" s="286"/>
      <c r="AK613" s="285"/>
      <c r="AL613" s="260"/>
      <c r="AN613" s="235">
        <v>70</v>
      </c>
      <c r="AO613" s="242">
        <v>42074</v>
      </c>
      <c r="AP613" s="235">
        <v>106</v>
      </c>
      <c r="AQ613" s="242">
        <v>42110</v>
      </c>
      <c r="AS613" s="297"/>
      <c r="AT613" s="290"/>
      <c r="AU613" s="298"/>
      <c r="BF613" s="282"/>
      <c r="BG613" s="235"/>
      <c r="BL613" s="296"/>
      <c r="BM613" s="235"/>
      <c r="BP613" s="282"/>
      <c r="BQ613" s="235"/>
      <c r="BR613" s="282"/>
      <c r="BS613" s="235"/>
      <c r="BT613" s="282"/>
      <c r="BU613" s="235"/>
      <c r="BV613" s="282"/>
      <c r="BW613" s="235"/>
      <c r="BX613" s="282"/>
      <c r="BY613" s="235"/>
      <c r="CB613" s="267"/>
      <c r="CD613" s="282"/>
      <c r="CE613" s="291"/>
      <c r="CL613" s="136">
        <v>1</v>
      </c>
      <c r="CM613" s="259">
        <v>42161</v>
      </c>
    </row>
    <row r="614" spans="1:93">
      <c r="A614" s="258">
        <v>1022</v>
      </c>
      <c r="B614" s="235">
        <v>146</v>
      </c>
      <c r="C614" s="235" t="s">
        <v>7576</v>
      </c>
      <c r="D614" s="235"/>
      <c r="E614" s="235"/>
      <c r="F614" s="235"/>
      <c r="G614" s="235"/>
      <c r="H614" s="235" t="s">
        <v>267</v>
      </c>
      <c r="I614" s="235">
        <v>1</v>
      </c>
      <c r="K614" s="235">
        <v>1</v>
      </c>
      <c r="L614" s="235">
        <f t="shared" si="323"/>
        <v>73</v>
      </c>
      <c r="M614" s="235">
        <v>2</v>
      </c>
      <c r="O614" s="248">
        <v>42048</v>
      </c>
      <c r="V614" s="219"/>
      <c r="X614">
        <v>15.55</v>
      </c>
      <c r="AB614" s="220"/>
      <c r="AD614" s="221"/>
      <c r="AF614" s="220"/>
      <c r="AH614" s="220"/>
      <c r="AJ614" s="286"/>
      <c r="AK614" s="285"/>
      <c r="AL614" s="260"/>
      <c r="AN614" s="235">
        <v>70</v>
      </c>
      <c r="AO614" s="242">
        <v>42074</v>
      </c>
      <c r="AP614" s="235">
        <v>106</v>
      </c>
      <c r="AQ614" s="242">
        <v>42110</v>
      </c>
      <c r="AS614" s="297"/>
      <c r="AT614" s="290"/>
      <c r="AU614" s="298"/>
      <c r="BF614" s="282"/>
      <c r="BG614" s="235"/>
      <c r="BL614" s="296"/>
      <c r="BM614" s="235"/>
      <c r="BP614" s="282"/>
      <c r="BQ614" s="235"/>
      <c r="BR614" s="282"/>
      <c r="BS614" s="235"/>
      <c r="BT614" s="282"/>
      <c r="BU614" s="235"/>
      <c r="BV614" s="282"/>
      <c r="BW614" s="235"/>
      <c r="BX614" s="282"/>
      <c r="BY614" s="235"/>
      <c r="CB614" s="267"/>
      <c r="CD614" s="282"/>
      <c r="CE614" s="291"/>
      <c r="CL614" s="136">
        <v>1</v>
      </c>
      <c r="CM614" s="259">
        <v>42161</v>
      </c>
    </row>
    <row r="615" spans="1:93">
      <c r="A615" s="258">
        <v>1023</v>
      </c>
      <c r="B615" s="235">
        <v>147</v>
      </c>
      <c r="C615" s="235" t="s">
        <v>7576</v>
      </c>
      <c r="D615" s="235"/>
      <c r="E615" s="235"/>
      <c r="F615" s="235"/>
      <c r="G615" s="235"/>
      <c r="H615" s="235" t="s">
        <v>267</v>
      </c>
      <c r="I615" s="235">
        <v>1</v>
      </c>
      <c r="K615" s="235">
        <v>1</v>
      </c>
      <c r="L615" s="235">
        <f t="shared" si="323"/>
        <v>73</v>
      </c>
      <c r="M615" s="235">
        <v>3</v>
      </c>
      <c r="O615" s="248">
        <v>42048</v>
      </c>
      <c r="V615" s="219"/>
      <c r="X615">
        <v>15.55</v>
      </c>
      <c r="AB615" s="220"/>
      <c r="AD615" s="221"/>
      <c r="AF615" s="220"/>
      <c r="AH615" s="220"/>
      <c r="AJ615" s="286"/>
      <c r="AK615" s="285"/>
      <c r="AL615" s="260"/>
      <c r="AN615" s="235">
        <v>70</v>
      </c>
      <c r="AO615" s="242">
        <v>42074</v>
      </c>
      <c r="AP615" s="235">
        <v>106</v>
      </c>
      <c r="AQ615" s="242">
        <v>42110</v>
      </c>
      <c r="AS615" s="297"/>
      <c r="AT615" s="290"/>
      <c r="AU615" s="298"/>
      <c r="BF615" s="282"/>
      <c r="BG615" s="235"/>
      <c r="BL615" s="296"/>
      <c r="BM615" s="235"/>
      <c r="BP615" s="282"/>
      <c r="BQ615" s="235"/>
      <c r="BR615" s="282"/>
      <c r="BS615" s="235"/>
      <c r="BT615" s="282"/>
      <c r="BU615" s="235"/>
      <c r="BV615" s="282"/>
      <c r="BW615" s="235"/>
      <c r="BX615" s="282"/>
      <c r="BY615" s="235"/>
      <c r="CB615" s="267"/>
      <c r="CD615" s="282"/>
      <c r="CE615" s="291"/>
      <c r="CL615" s="136">
        <v>1</v>
      </c>
      <c r="CM615" s="259">
        <v>42161</v>
      </c>
    </row>
    <row r="616" spans="1:93">
      <c r="A616" s="258">
        <v>1024</v>
      </c>
      <c r="B616" s="235">
        <v>148</v>
      </c>
      <c r="C616" s="235" t="s">
        <v>7576</v>
      </c>
      <c r="D616" s="235"/>
      <c r="E616" s="235"/>
      <c r="F616" s="235"/>
      <c r="G616" s="235"/>
      <c r="H616" s="235" t="s">
        <v>267</v>
      </c>
      <c r="I616" s="235">
        <v>1</v>
      </c>
      <c r="K616" s="235">
        <v>2</v>
      </c>
      <c r="L616" s="235">
        <f t="shared" si="323"/>
        <v>74</v>
      </c>
      <c r="M616" s="235">
        <v>3</v>
      </c>
      <c r="O616" s="248">
        <v>42048</v>
      </c>
      <c r="V616" s="219"/>
      <c r="X616">
        <v>15.55</v>
      </c>
      <c r="AB616" s="220"/>
      <c r="AD616" s="221"/>
      <c r="AF616" s="220"/>
      <c r="AH616" s="220"/>
      <c r="AJ616" s="286"/>
      <c r="AK616" s="285"/>
      <c r="AL616" s="260"/>
      <c r="AN616" s="235">
        <v>70</v>
      </c>
      <c r="AO616" s="242">
        <v>42074</v>
      </c>
      <c r="AP616" s="235">
        <v>106</v>
      </c>
      <c r="AQ616" s="242">
        <v>42110</v>
      </c>
      <c r="AS616" s="297"/>
      <c r="AT616" s="290"/>
      <c r="AU616" s="298"/>
      <c r="BF616" s="282"/>
      <c r="BG616" s="235"/>
      <c r="BL616" s="296"/>
      <c r="BM616" s="235"/>
      <c r="BP616" s="282"/>
      <c r="BQ616" s="235"/>
      <c r="BR616" s="282"/>
      <c r="BS616" s="235"/>
      <c r="BT616" s="282"/>
      <c r="BU616" s="235"/>
      <c r="BV616" s="282"/>
      <c r="BW616" s="235"/>
      <c r="BX616" s="282"/>
      <c r="BY616" s="235"/>
      <c r="CB616" s="267"/>
      <c r="CD616" s="282"/>
      <c r="CE616" s="291"/>
      <c r="CL616" s="136">
        <v>2</v>
      </c>
      <c r="CM616" s="259">
        <v>42161</v>
      </c>
    </row>
    <row r="617" spans="1:93">
      <c r="A617" s="258">
        <v>1025</v>
      </c>
      <c r="B617" s="235">
        <v>149</v>
      </c>
      <c r="C617" s="235" t="s">
        <v>7576</v>
      </c>
      <c r="D617" s="235"/>
      <c r="E617" s="235"/>
      <c r="F617" s="235"/>
      <c r="G617" s="235"/>
      <c r="H617" s="235" t="s">
        <v>267</v>
      </c>
      <c r="I617" s="235">
        <v>1</v>
      </c>
      <c r="K617" s="235">
        <v>3</v>
      </c>
      <c r="L617" s="235">
        <f t="shared" si="323"/>
        <v>75</v>
      </c>
      <c r="M617" s="235">
        <v>3</v>
      </c>
      <c r="O617" s="248">
        <v>42048</v>
      </c>
      <c r="V617" s="219"/>
      <c r="X617">
        <v>15.55</v>
      </c>
      <c r="AB617" s="220"/>
      <c r="AD617" s="221"/>
      <c r="AF617" s="220"/>
      <c r="AH617" s="220"/>
      <c r="AJ617" s="288"/>
      <c r="AK617" s="285"/>
      <c r="AL617" s="260"/>
      <c r="AN617" s="235">
        <v>70</v>
      </c>
      <c r="AO617" s="242">
        <v>42074</v>
      </c>
      <c r="AP617" s="235">
        <v>106</v>
      </c>
      <c r="AQ617" s="242">
        <v>42110</v>
      </c>
      <c r="AS617" s="297"/>
      <c r="AT617" s="290"/>
      <c r="AU617" s="298"/>
      <c r="BF617" s="282"/>
      <c r="BG617" s="235"/>
      <c r="BL617" s="296"/>
      <c r="BM617" s="235"/>
      <c r="BP617" s="282"/>
      <c r="BQ617" s="235"/>
      <c r="BR617" s="282"/>
      <c r="BS617" s="235"/>
      <c r="BT617" s="282"/>
      <c r="BU617" s="235"/>
      <c r="BV617" s="282"/>
      <c r="BW617" s="235"/>
      <c r="BX617" s="282"/>
      <c r="BY617" s="235"/>
      <c r="CB617" s="267"/>
      <c r="CD617" s="282"/>
      <c r="CE617" s="291"/>
      <c r="CL617" s="136">
        <v>2</v>
      </c>
      <c r="CM617" s="259">
        <v>42161</v>
      </c>
    </row>
    <row r="618" spans="1:93">
      <c r="A618" s="258">
        <v>1026</v>
      </c>
      <c r="B618" s="235">
        <v>150</v>
      </c>
      <c r="C618" s="235" t="s">
        <v>7607</v>
      </c>
      <c r="D618" s="235" t="s">
        <v>257</v>
      </c>
      <c r="E618" s="235" t="s">
        <v>7607</v>
      </c>
      <c r="F618" s="235" t="s">
        <v>8494</v>
      </c>
      <c r="G618" s="235" t="str">
        <f>IF(MID(C618,1,3)="BGA","Complement","Rapsodyn")</f>
        <v>Rapsodyn</v>
      </c>
      <c r="H618" s="235" t="s">
        <v>267</v>
      </c>
      <c r="I618" s="235">
        <v>1</v>
      </c>
      <c r="J618" s="235">
        <v>9362</v>
      </c>
      <c r="K618" s="235">
        <v>4</v>
      </c>
      <c r="L618" s="235">
        <f t="shared" si="323"/>
        <v>76</v>
      </c>
      <c r="M618" s="235">
        <v>3</v>
      </c>
      <c r="N618" s="235">
        <v>7</v>
      </c>
      <c r="O618" s="248">
        <v>42048</v>
      </c>
      <c r="P618" s="136">
        <v>2.95</v>
      </c>
      <c r="Q618" s="264">
        <v>42204</v>
      </c>
      <c r="V618" s="219">
        <f>+BR618*AF618/100</f>
        <v>8.0585037622102895</v>
      </c>
      <c r="X618">
        <v>15.55</v>
      </c>
      <c r="AB618" s="220">
        <f>+AF618*BT618/100</f>
        <v>3.5963234287264969</v>
      </c>
      <c r="AD618" s="221">
        <f>+(AF618/AJ618)*10000</f>
        <v>40694.391873621324</v>
      </c>
      <c r="AF618" s="220">
        <f>($P618/$X618)*(((100-$CD618)/100*(100-2)/100))*100</f>
        <v>17.539282897530789</v>
      </c>
      <c r="AH618" s="220">
        <f>($P618/$X618)*(((100-$CD618)/(100-9)*(100-2)/(100-2))*100)</f>
        <v>19.667282908197791</v>
      </c>
      <c r="AJ618">
        <v>4.3099999999999996</v>
      </c>
      <c r="AK618" s="285" t="s">
        <v>8398</v>
      </c>
      <c r="AL618" s="260">
        <v>200</v>
      </c>
      <c r="AN618" s="235">
        <v>70</v>
      </c>
      <c r="AO618" s="242">
        <v>42074</v>
      </c>
      <c r="AP618" s="235">
        <v>104</v>
      </c>
      <c r="AQ618" s="249">
        <v>42108</v>
      </c>
      <c r="AR618" s="136">
        <v>133</v>
      </c>
      <c r="AS618" s="297">
        <f>IF(AR618=0,,AR618)</f>
        <v>133</v>
      </c>
      <c r="AT618" s="290">
        <v>42137</v>
      </c>
      <c r="AU618" s="298"/>
      <c r="BF618" s="282">
        <v>23.830314636230469</v>
      </c>
      <c r="BG618" s="283">
        <v>42236</v>
      </c>
      <c r="BL618" s="296">
        <v>62.547786712646484</v>
      </c>
      <c r="BM618" s="283">
        <v>42236</v>
      </c>
      <c r="BP618" s="282">
        <v>4.3081130981445313</v>
      </c>
      <c r="BQ618" s="283">
        <v>42236</v>
      </c>
      <c r="BR618" s="282">
        <v>45.945457458496094</v>
      </c>
      <c r="BS618" s="283">
        <v>42236</v>
      </c>
      <c r="BT618" s="282">
        <v>20.504392623901367</v>
      </c>
      <c r="BU618" s="283">
        <v>42236</v>
      </c>
      <c r="BV618" s="282">
        <v>65.525421142578125</v>
      </c>
      <c r="BW618" s="283">
        <v>42236</v>
      </c>
      <c r="BX618" s="282">
        <v>5.9026260375976562</v>
      </c>
      <c r="BY618" s="283">
        <v>42236</v>
      </c>
      <c r="CB618" s="267">
        <v>7.07</v>
      </c>
      <c r="CD618" s="282">
        <v>5.660377358490563</v>
      </c>
      <c r="CE618" s="291" t="s">
        <v>8398</v>
      </c>
      <c r="CH618" s="136">
        <v>4</v>
      </c>
      <c r="CI618" s="136">
        <v>6</v>
      </c>
      <c r="CL618" s="136">
        <v>7</v>
      </c>
      <c r="CM618" s="259">
        <v>42161</v>
      </c>
      <c r="CN618" s="137" t="s">
        <v>8406</v>
      </c>
    </row>
    <row r="619" spans="1:93">
      <c r="A619" s="258">
        <v>1027</v>
      </c>
      <c r="B619" s="235">
        <v>151</v>
      </c>
      <c r="C619" s="235" t="s">
        <v>7645</v>
      </c>
      <c r="D619" s="235" t="s">
        <v>7477</v>
      </c>
      <c r="E619" s="235" t="s">
        <v>7645</v>
      </c>
      <c r="F619" s="235" t="s">
        <v>8500</v>
      </c>
      <c r="G619" s="235" t="str">
        <f>IF(MID(C619,1,3)="BGA","Complement","Rapsodyn")</f>
        <v>Rapsodyn</v>
      </c>
      <c r="H619" s="235" t="s">
        <v>267</v>
      </c>
      <c r="I619" s="235">
        <v>1</v>
      </c>
      <c r="J619" s="235">
        <v>9368</v>
      </c>
      <c r="K619" s="235">
        <v>5</v>
      </c>
      <c r="L619" s="235">
        <f t="shared" si="323"/>
        <v>77</v>
      </c>
      <c r="M619" s="235">
        <v>3</v>
      </c>
      <c r="N619" s="235">
        <v>7</v>
      </c>
      <c r="O619" s="248">
        <v>42048</v>
      </c>
      <c r="P619" s="136">
        <v>3.2</v>
      </c>
      <c r="Q619" s="264">
        <v>42204</v>
      </c>
      <c r="V619" s="219">
        <f>+BR619*AF619/100</f>
        <v>8.7791748677908785</v>
      </c>
      <c r="X619">
        <v>15.55</v>
      </c>
      <c r="AB619" s="220">
        <f>+AF619*BT619/100</f>
        <v>4.1165859848728221</v>
      </c>
      <c r="AD619" s="221">
        <f>+(AF619/AJ619)*10000</f>
        <v>39673.716317850332</v>
      </c>
      <c r="AF619" s="220">
        <f>($P619/$X619)*(((100-$CD619)/100*(100-2)/100))*100</f>
        <v>19.003710116250311</v>
      </c>
      <c r="AH619" s="220">
        <f>($P619/$X619)*(((100-$CD619)/(100-9)*(100-2)/(100-2))*100)</f>
        <v>21.309385642801427</v>
      </c>
      <c r="AJ619">
        <v>4.79</v>
      </c>
      <c r="AK619" s="285" t="s">
        <v>8398</v>
      </c>
      <c r="AL619" s="260">
        <v>185</v>
      </c>
      <c r="AN619" s="235">
        <v>72</v>
      </c>
      <c r="AO619" s="242">
        <v>42076</v>
      </c>
      <c r="AP619" s="235">
        <v>110</v>
      </c>
      <c r="AQ619" s="242">
        <v>42114</v>
      </c>
      <c r="AR619" s="136">
        <v>135</v>
      </c>
      <c r="AS619" s="297">
        <f>IF(AR619=0,,AR619)</f>
        <v>135</v>
      </c>
      <c r="AT619" s="290">
        <v>42139</v>
      </c>
      <c r="AU619" s="298"/>
      <c r="BF619" s="282">
        <v>-3.3787169456481934</v>
      </c>
      <c r="BG619" s="283">
        <v>42236</v>
      </c>
      <c r="BL619" s="296">
        <v>56.322574615478516</v>
      </c>
      <c r="BM619" s="283">
        <v>42236</v>
      </c>
      <c r="BP619" s="282">
        <v>3.8659560680389404</v>
      </c>
      <c r="BQ619" s="283">
        <v>42236</v>
      </c>
      <c r="BR619" s="282">
        <v>46.197162628173828</v>
      </c>
      <c r="BS619" s="283">
        <v>42236</v>
      </c>
      <c r="BT619" s="282">
        <v>21.662012100219727</v>
      </c>
      <c r="BU619" s="283">
        <v>42236</v>
      </c>
      <c r="BV619" s="282">
        <v>70.358963012695312</v>
      </c>
      <c r="BW619" s="283">
        <v>42236</v>
      </c>
      <c r="BX619" s="282">
        <v>6.0755996704101563</v>
      </c>
      <c r="BY619" s="283">
        <v>42236</v>
      </c>
      <c r="CB619" s="267">
        <v>7.2</v>
      </c>
      <c r="CD619" s="282">
        <v>5.7692307692307656</v>
      </c>
      <c r="CE619" s="291" t="s">
        <v>8398</v>
      </c>
      <c r="CH619" s="136">
        <v>3</v>
      </c>
      <c r="CI619" s="136">
        <v>7</v>
      </c>
      <c r="CL619" s="136">
        <v>5</v>
      </c>
      <c r="CM619" s="259">
        <v>42161</v>
      </c>
      <c r="CO619" s="137" t="s">
        <v>8405</v>
      </c>
    </row>
    <row r="620" spans="1:93">
      <c r="A620" s="258">
        <v>1028</v>
      </c>
      <c r="B620" s="235">
        <v>152</v>
      </c>
      <c r="C620" s="235" t="s">
        <v>7740</v>
      </c>
      <c r="D620" s="235" t="s">
        <v>8415</v>
      </c>
      <c r="E620" s="235" t="s">
        <v>7740</v>
      </c>
      <c r="F620" s="235" t="s">
        <v>8498</v>
      </c>
      <c r="G620" s="235" t="str">
        <f>IF(MID(C620,1,3)="BGA","Complement","Rapsodyn")</f>
        <v>Rapsodyn</v>
      </c>
      <c r="H620" s="235" t="s">
        <v>267</v>
      </c>
      <c r="I620" s="235">
        <v>1</v>
      </c>
      <c r="J620" s="235">
        <v>9375</v>
      </c>
      <c r="K620" s="235">
        <v>6</v>
      </c>
      <c r="L620" s="235">
        <f t="shared" si="323"/>
        <v>78</v>
      </c>
      <c r="M620" s="235">
        <v>3</v>
      </c>
      <c r="N620" s="235">
        <v>7</v>
      </c>
      <c r="O620" s="248">
        <v>42048</v>
      </c>
      <c r="P620" s="136">
        <v>2.7</v>
      </c>
      <c r="Q620" s="264">
        <v>42204</v>
      </c>
      <c r="V620" s="219">
        <f>+BR620*AF620/100</f>
        <v>7.2032450872686642</v>
      </c>
      <c r="X620">
        <v>15.55</v>
      </c>
      <c r="AB620" s="220">
        <f>+AF620*BT620/100</f>
        <v>3.6625810482111003</v>
      </c>
      <c r="AD620" s="221">
        <f>+(AF620/AJ620)*10000</f>
        <v>27349.042792898603</v>
      </c>
      <c r="AF620" s="220">
        <f>($P620/$X620)*(((100-$CD620)/100*(100-2)/100))*100</f>
        <v>15.86244481988119</v>
      </c>
      <c r="AH620" s="220">
        <f>($P620/$X620)*(((100-$CD620)/(100-9)*(100-2)/(100-2))*100)</f>
        <v>17.786998003903559</v>
      </c>
      <c r="AJ620">
        <v>5.8</v>
      </c>
      <c r="AK620" s="285" t="s">
        <v>8400</v>
      </c>
      <c r="AL620" s="260">
        <v>185</v>
      </c>
      <c r="AN620" s="235">
        <v>72</v>
      </c>
      <c r="AO620" s="242">
        <v>42076</v>
      </c>
      <c r="AP620" s="235">
        <v>104</v>
      </c>
      <c r="AQ620" s="242">
        <v>42108</v>
      </c>
      <c r="AR620" s="136">
        <v>129</v>
      </c>
      <c r="AS620" s="297">
        <f>IF(AR620=0,,AR620)</f>
        <v>129</v>
      </c>
      <c r="AT620" s="290">
        <v>42133</v>
      </c>
      <c r="AU620" s="298"/>
      <c r="BF620" s="282">
        <v>32.546226501464844</v>
      </c>
      <c r="BG620" s="283">
        <v>42236</v>
      </c>
      <c r="BL620" s="296">
        <v>59.620063781738281</v>
      </c>
      <c r="BM620" s="283">
        <v>42236</v>
      </c>
      <c r="BP620" s="282">
        <v>3.9171879291534424</v>
      </c>
      <c r="BQ620" s="283">
        <v>42236</v>
      </c>
      <c r="BR620" s="282">
        <v>45.410686492919922</v>
      </c>
      <c r="BS620" s="283">
        <v>42236</v>
      </c>
      <c r="BT620" s="282">
        <v>23.089637756347656</v>
      </c>
      <c r="BU620" s="283">
        <v>42236</v>
      </c>
      <c r="BV620" s="282">
        <v>84.280433654785156</v>
      </c>
      <c r="BW620" s="283">
        <v>42236</v>
      </c>
      <c r="BX620" s="282">
        <v>6.1174545288085938</v>
      </c>
      <c r="BY620" s="283">
        <v>42236</v>
      </c>
      <c r="CB620" s="267">
        <v>7.74</v>
      </c>
      <c r="CD620" s="282">
        <v>6.7796610169491585</v>
      </c>
      <c r="CE620" s="291" t="s">
        <v>8400</v>
      </c>
      <c r="CH620" s="136">
        <v>2</v>
      </c>
      <c r="CI620" s="136">
        <v>5</v>
      </c>
      <c r="CL620" s="136">
        <v>8</v>
      </c>
      <c r="CM620" s="259">
        <v>42161</v>
      </c>
      <c r="CN620" s="137" t="s">
        <v>8391</v>
      </c>
    </row>
    <row r="621" spans="1:93">
      <c r="A621" s="258">
        <v>1029</v>
      </c>
      <c r="B621" s="235">
        <v>153</v>
      </c>
      <c r="C621" s="235" t="s">
        <v>7605</v>
      </c>
      <c r="D621" s="235" t="s">
        <v>7446</v>
      </c>
      <c r="E621" s="235" t="s">
        <v>7605</v>
      </c>
      <c r="F621" s="235" t="s">
        <v>8424</v>
      </c>
      <c r="G621" s="235" t="str">
        <f>IF(MID(C621,1,3)="BGA","Complement","Rapsodyn")</f>
        <v>Rapsodyn</v>
      </c>
      <c r="H621" s="235" t="s">
        <v>267</v>
      </c>
      <c r="I621" s="235">
        <v>1</v>
      </c>
      <c r="J621" s="235">
        <v>9361</v>
      </c>
      <c r="K621" s="235">
        <v>7</v>
      </c>
      <c r="L621" s="235">
        <f t="shared" si="323"/>
        <v>79</v>
      </c>
      <c r="M621" s="235">
        <v>3</v>
      </c>
      <c r="N621" s="235">
        <v>7</v>
      </c>
      <c r="O621" s="248">
        <v>42048</v>
      </c>
      <c r="P621" s="136">
        <v>2.95</v>
      </c>
      <c r="Q621" s="264">
        <v>42204</v>
      </c>
      <c r="V621" s="219">
        <f>+BR621*AF621/100</f>
        <v>8.3781899230259977</v>
      </c>
      <c r="X621">
        <v>15.55</v>
      </c>
      <c r="AB621" s="220">
        <f>+AF621*BT621/100</f>
        <v>3.8902345136999217</v>
      </c>
      <c r="AD621" s="221">
        <f>+(AF621/AJ621)*10000</f>
        <v>34980.165329982381</v>
      </c>
      <c r="AF621" s="220">
        <f>($P621/$X621)*(((100-$CD621)/100*(100-2)/100))*100</f>
        <v>17.630003326311119</v>
      </c>
      <c r="AH621" s="220">
        <f>($P621/$X621)*(((100-$CD621)/(100-9)*(100-2)/(100-2))*100)</f>
        <v>19.769010233585021</v>
      </c>
      <c r="AJ621">
        <v>5.04</v>
      </c>
      <c r="AK621" s="285" t="s">
        <v>8400</v>
      </c>
      <c r="AL621" s="260">
        <v>185</v>
      </c>
      <c r="AN621" s="235">
        <v>70</v>
      </c>
      <c r="AO621" s="242">
        <v>42074</v>
      </c>
      <c r="AP621" s="235">
        <v>106</v>
      </c>
      <c r="AQ621" s="242">
        <v>42110</v>
      </c>
      <c r="AR621" s="136">
        <v>146</v>
      </c>
      <c r="AS621" s="297">
        <f>IF(AR621=0,,AR621)</f>
        <v>146</v>
      </c>
      <c r="AT621" s="290">
        <v>42150</v>
      </c>
      <c r="AU621" s="298"/>
      <c r="BF621" s="282">
        <v>42.908599853515625</v>
      </c>
      <c r="BG621" s="283">
        <v>42236</v>
      </c>
      <c r="BL621" s="296">
        <v>61.324501037597656</v>
      </c>
      <c r="BM621" s="283">
        <v>42236</v>
      </c>
      <c r="BP621" s="282">
        <v>3.3900399208068848</v>
      </c>
      <c r="BQ621" s="283">
        <v>42236</v>
      </c>
      <c r="BR621" s="282">
        <v>47.5223388671875</v>
      </c>
      <c r="BS621" s="283">
        <v>42236</v>
      </c>
      <c r="BT621" s="282">
        <v>22.065988540649414</v>
      </c>
      <c r="BU621" s="283">
        <v>42236</v>
      </c>
      <c r="BV621" s="282">
        <v>83.609153747558594</v>
      </c>
      <c r="BW621" s="283">
        <v>42236</v>
      </c>
      <c r="BX621" s="282">
        <v>5.7180557250976562</v>
      </c>
      <c r="BY621" s="283">
        <v>42236</v>
      </c>
      <c r="CB621" s="267">
        <v>6.45</v>
      </c>
      <c r="CD621" s="282">
        <v>5.1724137931034457</v>
      </c>
      <c r="CE621" s="291" t="s">
        <v>8400</v>
      </c>
      <c r="CH621" s="136">
        <v>2</v>
      </c>
      <c r="CI621" s="136">
        <v>3</v>
      </c>
      <c r="CL621" s="136">
        <v>4</v>
      </c>
      <c r="CM621" s="259">
        <v>42161</v>
      </c>
      <c r="CN621" s="137" t="s">
        <v>8406</v>
      </c>
    </row>
    <row r="622" spans="1:93">
      <c r="A622" s="258">
        <v>1030</v>
      </c>
      <c r="B622" s="235">
        <v>154</v>
      </c>
      <c r="C622" s="235" t="s">
        <v>7576</v>
      </c>
      <c r="D622" s="235"/>
      <c r="E622" s="235"/>
      <c r="F622" s="235"/>
      <c r="G622" s="235"/>
      <c r="H622" s="235" t="s">
        <v>267</v>
      </c>
      <c r="I622" s="235">
        <v>1</v>
      </c>
      <c r="K622" s="235">
        <v>8</v>
      </c>
      <c r="L622" s="235">
        <f t="shared" si="323"/>
        <v>80</v>
      </c>
      <c r="M622" s="235">
        <v>3</v>
      </c>
      <c r="O622" s="248">
        <v>42048</v>
      </c>
      <c r="V622" s="219"/>
      <c r="X622">
        <v>15.55</v>
      </c>
      <c r="AB622" s="220"/>
      <c r="AD622" s="221"/>
      <c r="AF622" s="220"/>
      <c r="AH622" s="220"/>
      <c r="AJ622" s="286"/>
      <c r="AK622" s="285"/>
      <c r="AL622" s="260"/>
      <c r="AN622" s="235">
        <v>70</v>
      </c>
      <c r="AO622" s="242">
        <v>42074</v>
      </c>
      <c r="AP622" s="235">
        <v>106</v>
      </c>
      <c r="AQ622" s="242">
        <v>42110</v>
      </c>
      <c r="AS622" s="297"/>
      <c r="AT622" s="290"/>
      <c r="AU622" s="298"/>
      <c r="BF622" s="282"/>
      <c r="BG622" s="235"/>
      <c r="BL622" s="296"/>
      <c r="BM622" s="235"/>
      <c r="BP622" s="282"/>
      <c r="BQ622" s="235"/>
      <c r="BR622" s="282"/>
      <c r="BS622" s="235"/>
      <c r="BT622" s="282"/>
      <c r="BU622" s="235"/>
      <c r="BV622" s="282"/>
      <c r="BW622" s="235"/>
      <c r="BX622" s="282"/>
      <c r="BY622" s="235"/>
      <c r="CB622" s="267"/>
      <c r="CD622" s="282"/>
      <c r="CE622" s="291"/>
      <c r="CL622" s="136">
        <v>3</v>
      </c>
      <c r="CM622" s="259">
        <v>42161</v>
      </c>
    </row>
    <row r="623" spans="1:93">
      <c r="A623" s="258">
        <v>1032</v>
      </c>
      <c r="B623" s="235">
        <v>156</v>
      </c>
      <c r="C623" s="235" t="s">
        <v>7807</v>
      </c>
      <c r="D623" s="235" t="s">
        <v>7601</v>
      </c>
      <c r="E623" s="235" t="s">
        <v>7807</v>
      </c>
      <c r="F623" s="235" t="s">
        <v>8452</v>
      </c>
      <c r="G623" s="235" t="str">
        <f t="shared" ref="G623:G634" si="324">IF(MID(C623,1,3)="BGA","Complement","Rapsodyn")</f>
        <v>Rapsodyn</v>
      </c>
      <c r="H623" s="235" t="s">
        <v>267</v>
      </c>
      <c r="I623" s="235">
        <v>1</v>
      </c>
      <c r="J623" s="235">
        <v>9178</v>
      </c>
      <c r="K623" s="235">
        <v>10</v>
      </c>
      <c r="L623" s="235">
        <f t="shared" si="323"/>
        <v>82</v>
      </c>
      <c r="M623" s="235">
        <v>3</v>
      </c>
      <c r="N623" s="235">
        <v>7</v>
      </c>
      <c r="O623" s="248">
        <v>42048</v>
      </c>
      <c r="P623" s="136">
        <v>7.54</v>
      </c>
      <c r="Q623" s="264">
        <v>42204</v>
      </c>
      <c r="V623" s="219">
        <f t="shared" ref="V623:V633" si="325">+BR623*AF623/100</f>
        <v>22.616084480759774</v>
      </c>
      <c r="X623">
        <v>15.55</v>
      </c>
      <c r="AB623" s="220">
        <f t="shared" ref="AB623:AB633" si="326">+AF623*BT623/100</f>
        <v>7.6517888917407246</v>
      </c>
      <c r="AD623" s="221">
        <f t="shared" ref="AD623:AD633" si="327">+(AF623/AJ623)*10000</f>
        <v>103365.70762314559</v>
      </c>
      <c r="AF623" s="220">
        <f t="shared" ref="AF623:AF633" si="328">($P623/$X623)*(((100-$CD623)/100*(100-2)/100))*100</f>
        <v>45.791008477053488</v>
      </c>
      <c r="AH623" s="220">
        <f t="shared" ref="AH623:AH633" si="329">($P623/$X623)*(((100-$CD623)/(100-9)*(100-2)/(100-2))*100)</f>
        <v>51.346724015534292</v>
      </c>
      <c r="AJ623">
        <v>4.43</v>
      </c>
      <c r="AK623" s="285" t="s">
        <v>8401</v>
      </c>
      <c r="AL623" s="260">
        <v>180</v>
      </c>
      <c r="AN623" s="235">
        <v>70</v>
      </c>
      <c r="AO623" s="242">
        <v>42074</v>
      </c>
      <c r="AP623" s="235">
        <v>106</v>
      </c>
      <c r="AQ623" s="242">
        <v>42110</v>
      </c>
      <c r="AR623" s="136">
        <v>138</v>
      </c>
      <c r="AS623" s="297">
        <f t="shared" ref="AS623:AS634" si="330">IF(AR623=0,,AR623)</f>
        <v>138</v>
      </c>
      <c r="AT623" s="290">
        <v>42142</v>
      </c>
      <c r="AU623" s="298"/>
      <c r="BF623" s="282">
        <v>-3.0107479095458984</v>
      </c>
      <c r="BG623" s="283">
        <v>42234</v>
      </c>
      <c r="BL623" s="296">
        <v>63.874980926513672</v>
      </c>
      <c r="BM623" s="283">
        <v>42234</v>
      </c>
      <c r="BP623" s="282">
        <v>3.8979620933532715</v>
      </c>
      <c r="BQ623" s="283">
        <v>42234</v>
      </c>
      <c r="BR623" s="282">
        <v>49.389793395996094</v>
      </c>
      <c r="BS623" s="283">
        <v>42234</v>
      </c>
      <c r="BT623" s="282">
        <v>16.710243225097656</v>
      </c>
      <c r="BU623" s="283">
        <v>42234</v>
      </c>
      <c r="BV623" s="282">
        <v>10.286062240600586</v>
      </c>
      <c r="BW623" s="283">
        <v>42234</v>
      </c>
      <c r="BX623" s="282">
        <v>5.5306930541992187</v>
      </c>
      <c r="BY623" s="283">
        <v>42234</v>
      </c>
      <c r="CB623" s="267">
        <v>7.72</v>
      </c>
      <c r="CD623" s="282">
        <v>3.6363636363636398</v>
      </c>
      <c r="CE623" s="291" t="s">
        <v>8401</v>
      </c>
      <c r="CH623" s="136">
        <v>1</v>
      </c>
      <c r="CI623" s="136">
        <v>4</v>
      </c>
      <c r="CL623" s="136">
        <v>3</v>
      </c>
      <c r="CM623" s="259">
        <v>42161</v>
      </c>
      <c r="CN623" s="137" t="s">
        <v>8406</v>
      </c>
    </row>
    <row r="624" spans="1:93">
      <c r="A624" s="258">
        <v>1033</v>
      </c>
      <c r="B624" s="235">
        <v>157</v>
      </c>
      <c r="C624" s="235" t="s">
        <v>7748</v>
      </c>
      <c r="D624" s="235" t="s">
        <v>7873</v>
      </c>
      <c r="E624" s="235" t="s">
        <v>7748</v>
      </c>
      <c r="F624" s="235" t="s">
        <v>8473</v>
      </c>
      <c r="G624" s="235" t="str">
        <f t="shared" si="324"/>
        <v>Rapsodyn</v>
      </c>
      <c r="H624" s="235" t="s">
        <v>267</v>
      </c>
      <c r="I624" s="235">
        <v>1</v>
      </c>
      <c r="J624" s="235">
        <v>9122</v>
      </c>
      <c r="K624" s="235">
        <v>11</v>
      </c>
      <c r="L624" s="235">
        <f t="shared" si="323"/>
        <v>83</v>
      </c>
      <c r="M624" s="235">
        <v>3</v>
      </c>
      <c r="N624" s="235">
        <v>7</v>
      </c>
      <c r="O624" s="248">
        <v>42048</v>
      </c>
      <c r="P624" s="136">
        <v>4.59</v>
      </c>
      <c r="Q624" s="264">
        <v>42204</v>
      </c>
      <c r="V624" s="219">
        <f t="shared" si="325"/>
        <v>13.025292204046794</v>
      </c>
      <c r="X624">
        <v>15.55</v>
      </c>
      <c r="AB624" s="220">
        <f t="shared" si="326"/>
        <v>5.2451317453854935</v>
      </c>
      <c r="AD624" s="221">
        <f t="shared" si="327"/>
        <v>86533.406691726501</v>
      </c>
      <c r="AF624" s="220">
        <f t="shared" si="328"/>
        <v>27.431089921277302</v>
      </c>
      <c r="AH624" s="220">
        <f t="shared" si="329"/>
        <v>30.759239651578053</v>
      </c>
      <c r="AJ624">
        <v>3.17</v>
      </c>
      <c r="AK624" s="285" t="s">
        <v>8401</v>
      </c>
      <c r="AL624" s="260">
        <v>190</v>
      </c>
      <c r="AN624" s="235">
        <v>63</v>
      </c>
      <c r="AO624" s="242">
        <v>42067</v>
      </c>
      <c r="AP624" s="235">
        <v>113</v>
      </c>
      <c r="AQ624" s="242">
        <v>42117</v>
      </c>
      <c r="AR624" s="136">
        <v>140</v>
      </c>
      <c r="AS624" s="297">
        <f t="shared" si="330"/>
        <v>140</v>
      </c>
      <c r="AT624" s="290">
        <v>42144</v>
      </c>
      <c r="AU624" s="298"/>
      <c r="BF624" s="282">
        <v>37.294273376464844</v>
      </c>
      <c r="BG624" s="283">
        <v>42234</v>
      </c>
      <c r="BL624" s="296">
        <v>59.857147216796875</v>
      </c>
      <c r="BM624" s="283">
        <v>42234</v>
      </c>
      <c r="BP624" s="282">
        <v>2.5307860374450684</v>
      </c>
      <c r="BQ624" s="283">
        <v>42234</v>
      </c>
      <c r="BR624" s="282">
        <v>47.483684539794922</v>
      </c>
      <c r="BS624" s="283">
        <v>42234</v>
      </c>
      <c r="BT624" s="282">
        <v>19.121120452880859</v>
      </c>
      <c r="BU624" s="283">
        <v>42234</v>
      </c>
      <c r="BV624" s="282">
        <v>67.0628662109375</v>
      </c>
      <c r="BW624" s="283">
        <v>42234</v>
      </c>
      <c r="BX624" s="282">
        <v>5.75360107421875</v>
      </c>
      <c r="BY624" s="283">
        <v>42234</v>
      </c>
      <c r="CB624" s="267">
        <v>5.79</v>
      </c>
      <c r="CD624" s="282">
        <v>5.1724137931034457</v>
      </c>
      <c r="CE624" s="291" t="s">
        <v>8401</v>
      </c>
      <c r="CH624" s="136">
        <v>3</v>
      </c>
      <c r="CI624" s="136">
        <v>5</v>
      </c>
      <c r="CL624" s="136">
        <v>4</v>
      </c>
      <c r="CM624" s="259">
        <v>42161</v>
      </c>
      <c r="CN624" s="137" t="s">
        <v>8406</v>
      </c>
    </row>
    <row r="625" spans="1:94">
      <c r="A625" s="258">
        <v>1034</v>
      </c>
      <c r="B625" s="235">
        <v>158</v>
      </c>
      <c r="C625" s="235" t="s">
        <v>7664</v>
      </c>
      <c r="D625" s="235" t="s">
        <v>7494</v>
      </c>
      <c r="E625" s="235" t="s">
        <v>7664</v>
      </c>
      <c r="F625" s="235" t="s">
        <v>8456</v>
      </c>
      <c r="G625" s="235" t="str">
        <f t="shared" si="324"/>
        <v>Rapsodyn</v>
      </c>
      <c r="H625" s="235" t="s">
        <v>267</v>
      </c>
      <c r="I625" s="235">
        <v>1</v>
      </c>
      <c r="J625" s="235">
        <v>9047</v>
      </c>
      <c r="K625" s="235">
        <v>12</v>
      </c>
      <c r="L625" s="235">
        <f t="shared" si="323"/>
        <v>84</v>
      </c>
      <c r="M625" s="235">
        <v>3</v>
      </c>
      <c r="N625" s="235">
        <v>7</v>
      </c>
      <c r="O625" s="248">
        <v>42048</v>
      </c>
      <c r="P625" s="136">
        <v>7.01</v>
      </c>
      <c r="Q625" s="264">
        <v>42204</v>
      </c>
      <c r="V625" s="219">
        <f t="shared" si="325"/>
        <v>20.761540223079979</v>
      </c>
      <c r="X625">
        <v>15.55</v>
      </c>
      <c r="AB625" s="220">
        <f t="shared" si="326"/>
        <v>7.3842614653276906</v>
      </c>
      <c r="AD625" s="221">
        <f t="shared" si="327"/>
        <v>100678.0302180276</v>
      </c>
      <c r="AF625" s="220">
        <f t="shared" si="328"/>
        <v>41.580026480045397</v>
      </c>
      <c r="AH625" s="220">
        <f t="shared" si="329"/>
        <v>46.624833460468039</v>
      </c>
      <c r="AJ625">
        <v>4.13</v>
      </c>
      <c r="AK625" s="285" t="s">
        <v>8401</v>
      </c>
      <c r="AL625" s="260">
        <v>165</v>
      </c>
      <c r="AN625" s="235">
        <v>72</v>
      </c>
      <c r="AO625" s="242">
        <v>42076</v>
      </c>
      <c r="AP625" s="235">
        <v>104</v>
      </c>
      <c r="AQ625" s="242">
        <v>42108</v>
      </c>
      <c r="AR625" s="136">
        <v>135</v>
      </c>
      <c r="AS625" s="297">
        <f t="shared" si="330"/>
        <v>135</v>
      </c>
      <c r="AT625" s="290">
        <v>42139</v>
      </c>
      <c r="AU625" s="298"/>
      <c r="BF625" s="282">
        <v>-3.1502189636230469</v>
      </c>
      <c r="BG625" s="283">
        <v>42234</v>
      </c>
      <c r="BL625" s="296">
        <v>64.509536743164062</v>
      </c>
      <c r="BM625" s="283">
        <v>42234</v>
      </c>
      <c r="BP625" s="282">
        <v>3.7911980152130127</v>
      </c>
      <c r="BQ625" s="283">
        <v>42234</v>
      </c>
      <c r="BR625" s="282">
        <v>49.931522369384766</v>
      </c>
      <c r="BS625" s="283">
        <v>42234</v>
      </c>
      <c r="BT625" s="282">
        <v>17.7591552734375</v>
      </c>
      <c r="BU625" s="283">
        <v>42234</v>
      </c>
      <c r="BV625" s="282">
        <v>19.375102996826172</v>
      </c>
      <c r="BW625" s="283">
        <v>42234</v>
      </c>
      <c r="BX625" s="282">
        <v>5.5214080810546875</v>
      </c>
      <c r="BY625" s="283">
        <v>42234</v>
      </c>
      <c r="CB625" s="267">
        <v>7.15</v>
      </c>
      <c r="CD625" s="282">
        <v>5.8823529411764675</v>
      </c>
      <c r="CE625" s="291" t="s">
        <v>8401</v>
      </c>
      <c r="CH625" s="136">
        <v>2</v>
      </c>
      <c r="CI625" s="136">
        <v>3</v>
      </c>
      <c r="CL625" s="136">
        <v>2</v>
      </c>
      <c r="CM625" s="259">
        <v>42161</v>
      </c>
      <c r="CN625" s="137" t="s">
        <v>8406</v>
      </c>
    </row>
    <row r="626" spans="1:94">
      <c r="A626" s="258">
        <v>1035</v>
      </c>
      <c r="B626" s="235">
        <v>159</v>
      </c>
      <c r="C626" s="235" t="s">
        <v>7793</v>
      </c>
      <c r="D626" s="235" t="s">
        <v>7591</v>
      </c>
      <c r="E626" s="235" t="s">
        <v>7793</v>
      </c>
      <c r="F626" s="235" t="s">
        <v>8450</v>
      </c>
      <c r="G626" s="235" t="str">
        <f t="shared" si="324"/>
        <v>Rapsodyn</v>
      </c>
      <c r="H626" s="235" t="s">
        <v>267</v>
      </c>
      <c r="I626" s="235">
        <v>1</v>
      </c>
      <c r="J626" s="235">
        <v>9164</v>
      </c>
      <c r="K626" s="235">
        <v>13</v>
      </c>
      <c r="L626" s="235">
        <f t="shared" si="323"/>
        <v>85</v>
      </c>
      <c r="M626" s="235">
        <v>3</v>
      </c>
      <c r="N626" s="235">
        <v>7</v>
      </c>
      <c r="O626" s="248">
        <v>42048</v>
      </c>
      <c r="P626" s="136">
        <v>8.18</v>
      </c>
      <c r="Q626" s="264">
        <v>42204</v>
      </c>
      <c r="V626" s="219">
        <f t="shared" si="325"/>
        <v>24.539654174927346</v>
      </c>
      <c r="X626">
        <v>15.55</v>
      </c>
      <c r="AB626" s="220">
        <f t="shared" si="326"/>
        <v>8.7160775452150787</v>
      </c>
      <c r="AD626" s="221">
        <f t="shared" si="327"/>
        <v>119211.64033403501</v>
      </c>
      <c r="AF626" s="220">
        <f t="shared" si="328"/>
        <v>49.711254019292603</v>
      </c>
      <c r="AH626" s="220">
        <f t="shared" si="329"/>
        <v>55.742603744441134</v>
      </c>
      <c r="AJ626">
        <v>4.17</v>
      </c>
      <c r="AK626" s="285" t="s">
        <v>8398</v>
      </c>
      <c r="AL626" s="260">
        <v>175</v>
      </c>
      <c r="AN626" s="235">
        <v>70</v>
      </c>
      <c r="AO626" s="242">
        <v>42074</v>
      </c>
      <c r="AP626" s="235">
        <v>104</v>
      </c>
      <c r="AQ626" s="242">
        <v>42108</v>
      </c>
      <c r="AR626" s="136">
        <v>135</v>
      </c>
      <c r="AS626" s="297">
        <f t="shared" si="330"/>
        <v>135</v>
      </c>
      <c r="AT626" s="290">
        <v>42139</v>
      </c>
      <c r="AU626" s="298"/>
      <c r="BF626" s="282">
        <v>-1.7887059450149536</v>
      </c>
      <c r="BG626" s="283">
        <v>42235</v>
      </c>
      <c r="BL626" s="296">
        <v>61.688819885253906</v>
      </c>
      <c r="BM626" s="283">
        <v>42235</v>
      </c>
      <c r="BP626" s="282">
        <v>3.2616369724273682</v>
      </c>
      <c r="BQ626" s="283">
        <v>42235</v>
      </c>
      <c r="BR626" s="282">
        <v>49.364383697509766</v>
      </c>
      <c r="BS626" s="283">
        <v>42235</v>
      </c>
      <c r="BT626" s="282">
        <v>17.533409118652344</v>
      </c>
      <c r="BU626" s="283">
        <v>42235</v>
      </c>
      <c r="BV626" s="282">
        <v>13.371227264404297</v>
      </c>
      <c r="BW626" s="283">
        <v>42235</v>
      </c>
      <c r="BX626" s="282">
        <v>5.4210281372070313</v>
      </c>
      <c r="BY626" s="283">
        <v>42235</v>
      </c>
      <c r="CB626" s="267">
        <v>6.64</v>
      </c>
      <c r="CD626" s="282">
        <v>3.5714285714285587</v>
      </c>
      <c r="CE626" s="291" t="s">
        <v>8398</v>
      </c>
      <c r="CH626" s="136">
        <v>2</v>
      </c>
      <c r="CI626" s="136">
        <v>4</v>
      </c>
      <c r="CL626" s="136">
        <v>2</v>
      </c>
      <c r="CM626" s="259">
        <v>42161</v>
      </c>
      <c r="CN626" s="137" t="s">
        <v>8406</v>
      </c>
    </row>
    <row r="627" spans="1:94">
      <c r="A627" s="258">
        <v>1036</v>
      </c>
      <c r="B627" s="235">
        <v>160</v>
      </c>
      <c r="C627" s="235" t="s">
        <v>7804</v>
      </c>
      <c r="D627" s="235" t="s">
        <v>8421</v>
      </c>
      <c r="E627" s="235" t="s">
        <v>7804</v>
      </c>
      <c r="F627" s="235" t="s">
        <v>8589</v>
      </c>
      <c r="G627" s="235" t="str">
        <f t="shared" si="324"/>
        <v>Rapsodyn</v>
      </c>
      <c r="H627" s="235" t="s">
        <v>267</v>
      </c>
      <c r="I627" s="235">
        <v>1</v>
      </c>
      <c r="J627" s="235">
        <v>9175</v>
      </c>
      <c r="K627" s="235">
        <v>14</v>
      </c>
      <c r="L627" s="235">
        <f t="shared" si="323"/>
        <v>86</v>
      </c>
      <c r="M627" s="235">
        <v>3</v>
      </c>
      <c r="N627" s="235">
        <v>7</v>
      </c>
      <c r="O627" s="248">
        <v>42048</v>
      </c>
      <c r="P627" s="136">
        <v>8.33</v>
      </c>
      <c r="Q627" s="264">
        <v>42204</v>
      </c>
      <c r="V627" s="219">
        <f t="shared" si="325"/>
        <v>24.827510743843394</v>
      </c>
      <c r="X627">
        <v>15.55</v>
      </c>
      <c r="AB627" s="220">
        <f t="shared" si="326"/>
        <v>8.3682085188224757</v>
      </c>
      <c r="AD627" s="221">
        <f t="shared" si="327"/>
        <v>108246.99297368106</v>
      </c>
      <c r="AF627" s="220">
        <f t="shared" si="328"/>
        <v>49.685369774919607</v>
      </c>
      <c r="AH627" s="220">
        <f t="shared" si="329"/>
        <v>55.713579025476122</v>
      </c>
      <c r="AJ627">
        <v>4.59</v>
      </c>
      <c r="AK627" s="285" t="s">
        <v>8398</v>
      </c>
      <c r="AL627" s="260">
        <v>175</v>
      </c>
      <c r="AN627" s="235">
        <v>65</v>
      </c>
      <c r="AO627" s="242">
        <v>42069</v>
      </c>
      <c r="AP627" s="235">
        <v>104</v>
      </c>
      <c r="AQ627" s="242">
        <v>42108</v>
      </c>
      <c r="AR627" s="136">
        <v>132</v>
      </c>
      <c r="AS627" s="297">
        <f t="shared" si="330"/>
        <v>132</v>
      </c>
      <c r="AT627" s="290">
        <v>42136</v>
      </c>
      <c r="AU627" s="298"/>
      <c r="BF627" s="282">
        <v>0.86388599872589111</v>
      </c>
      <c r="BG627" s="283">
        <v>42235</v>
      </c>
      <c r="BL627" s="296">
        <v>60.377529144287109</v>
      </c>
      <c r="BM627" s="283">
        <v>42235</v>
      </c>
      <c r="BP627" s="282">
        <v>3.1387720108032227</v>
      </c>
      <c r="BQ627" s="283">
        <v>42235</v>
      </c>
      <c r="BR627" s="282">
        <v>49.969459533691406</v>
      </c>
      <c r="BS627" s="283">
        <v>42235</v>
      </c>
      <c r="BT627" s="282">
        <v>16.842399597167969</v>
      </c>
      <c r="BU627" s="283">
        <v>42235</v>
      </c>
      <c r="BV627" s="282">
        <v>15.274135589599609</v>
      </c>
      <c r="BW627" s="283">
        <v>42235</v>
      </c>
      <c r="BX627" s="282">
        <v>5.5782089233398437</v>
      </c>
      <c r="BY627" s="283">
        <v>42235</v>
      </c>
      <c r="CB627" s="267">
        <v>6.68</v>
      </c>
      <c r="CD627" s="282">
        <v>5.3571428571428541</v>
      </c>
      <c r="CE627" s="291" t="s">
        <v>8398</v>
      </c>
      <c r="CH627" s="136">
        <v>1</v>
      </c>
      <c r="CI627" s="136">
        <v>2</v>
      </c>
      <c r="CL627" s="136">
        <v>1</v>
      </c>
      <c r="CM627" s="259">
        <v>42161</v>
      </c>
      <c r="CN627" s="137" t="s">
        <v>8406</v>
      </c>
    </row>
    <row r="628" spans="1:94">
      <c r="A628" s="258">
        <v>1037</v>
      </c>
      <c r="B628" s="235">
        <v>161</v>
      </c>
      <c r="C628" s="235" t="s">
        <v>7642</v>
      </c>
      <c r="D628" s="235" t="s">
        <v>7474</v>
      </c>
      <c r="E628" s="235" t="s">
        <v>7642</v>
      </c>
      <c r="F628" s="235" t="s">
        <v>8476</v>
      </c>
      <c r="G628" s="235" t="str">
        <f t="shared" si="324"/>
        <v>Rapsodyn</v>
      </c>
      <c r="H628" s="235" t="s">
        <v>267</v>
      </c>
      <c r="I628" s="235">
        <v>1</v>
      </c>
      <c r="J628" s="235">
        <v>9030</v>
      </c>
      <c r="K628" s="235">
        <v>15</v>
      </c>
      <c r="L628" s="235">
        <f t="shared" si="323"/>
        <v>87</v>
      </c>
      <c r="M628" s="235">
        <v>3</v>
      </c>
      <c r="N628" s="235">
        <v>7</v>
      </c>
      <c r="O628" s="248">
        <v>42048</v>
      </c>
      <c r="P628" s="136">
        <v>5.69</v>
      </c>
      <c r="Q628" s="264">
        <v>42204</v>
      </c>
      <c r="V628" s="219">
        <f t="shared" si="325"/>
        <v>15.396344227224471</v>
      </c>
      <c r="X628">
        <v>15.55</v>
      </c>
      <c r="AB628" s="220">
        <f t="shared" si="326"/>
        <v>7.1771821347772553</v>
      </c>
      <c r="AD628" s="221">
        <f t="shared" si="327"/>
        <v>71205.914337333495</v>
      </c>
      <c r="AF628" s="220">
        <f t="shared" si="328"/>
        <v>34.036427053245411</v>
      </c>
      <c r="AH628" s="220">
        <f t="shared" si="329"/>
        <v>38.165986828039252</v>
      </c>
      <c r="AJ628">
        <v>4.78</v>
      </c>
      <c r="AK628" s="285" t="s">
        <v>8398</v>
      </c>
      <c r="AL628" s="260">
        <v>185</v>
      </c>
      <c r="AN628" s="235">
        <v>72</v>
      </c>
      <c r="AO628" s="242">
        <v>42076</v>
      </c>
      <c r="AP628" s="235">
        <v>106</v>
      </c>
      <c r="AQ628" s="242">
        <v>42110</v>
      </c>
      <c r="AR628" s="136">
        <v>143</v>
      </c>
      <c r="AS628" s="297">
        <f t="shared" si="330"/>
        <v>143</v>
      </c>
      <c r="AT628" s="290">
        <v>42147</v>
      </c>
      <c r="AU628" s="298"/>
      <c r="BF628" s="282">
        <v>-0.29278400540351868</v>
      </c>
      <c r="BG628" s="283">
        <v>42235</v>
      </c>
      <c r="BL628" s="296">
        <v>59.512939453125</v>
      </c>
      <c r="BM628" s="283">
        <v>42235</v>
      </c>
      <c r="BP628" s="282">
        <v>2.8919429779052734</v>
      </c>
      <c r="BQ628" s="283">
        <v>42235</v>
      </c>
      <c r="BR628" s="282">
        <v>45.234901428222656</v>
      </c>
      <c r="BS628" s="283">
        <v>42235</v>
      </c>
      <c r="BT628" s="282">
        <v>21.086767196655273</v>
      </c>
      <c r="BU628" s="283">
        <v>42235</v>
      </c>
      <c r="BV628" s="282">
        <v>54.63311767578125</v>
      </c>
      <c r="BW628" s="283">
        <v>42235</v>
      </c>
      <c r="BX628" s="282">
        <v>5.914093017578125</v>
      </c>
      <c r="BY628" s="283">
        <v>42235</v>
      </c>
      <c r="CB628" s="267">
        <v>6.88</v>
      </c>
      <c r="CD628" s="282">
        <v>5.0847457627118757</v>
      </c>
      <c r="CE628" s="291" t="s">
        <v>8398</v>
      </c>
      <c r="CH628" s="136">
        <v>2</v>
      </c>
      <c r="CI628" s="136">
        <v>2</v>
      </c>
      <c r="CL628" s="136">
        <v>4</v>
      </c>
      <c r="CM628" s="259">
        <v>42161</v>
      </c>
      <c r="CN628" s="137" t="s">
        <v>8406</v>
      </c>
    </row>
    <row r="629" spans="1:94">
      <c r="A629" s="258">
        <v>1040</v>
      </c>
      <c r="B629" s="235">
        <v>164</v>
      </c>
      <c r="C629" s="235" t="s">
        <v>7714</v>
      </c>
      <c r="D629" s="235" t="s">
        <v>7538</v>
      </c>
      <c r="E629" s="235" t="s">
        <v>7714</v>
      </c>
      <c r="F629" s="235" t="s">
        <v>8522</v>
      </c>
      <c r="G629" s="235" t="str">
        <f t="shared" si="324"/>
        <v>Rapsodyn</v>
      </c>
      <c r="H629" s="235" t="s">
        <v>267</v>
      </c>
      <c r="I629" s="235">
        <v>1</v>
      </c>
      <c r="J629" s="235">
        <v>9096</v>
      </c>
      <c r="K629" s="235">
        <v>18</v>
      </c>
      <c r="L629" s="235">
        <f t="shared" si="323"/>
        <v>90</v>
      </c>
      <c r="M629" s="235">
        <v>3</v>
      </c>
      <c r="N629" s="235">
        <v>7</v>
      </c>
      <c r="O629" s="248">
        <v>42048</v>
      </c>
      <c r="P629" s="136">
        <v>6.76</v>
      </c>
      <c r="Q629" s="264">
        <v>42204</v>
      </c>
      <c r="V629" s="219">
        <f t="shared" si="325"/>
        <v>20.069179958397889</v>
      </c>
      <c r="X629">
        <v>15.55</v>
      </c>
      <c r="AB629" s="220">
        <f t="shared" si="326"/>
        <v>7.3659166178116324</v>
      </c>
      <c r="AD629" s="221">
        <f t="shared" si="327"/>
        <v>99023.060210475945</v>
      </c>
      <c r="AF629" s="220">
        <f t="shared" si="328"/>
        <v>40.995546927137042</v>
      </c>
      <c r="AH629" s="220">
        <f t="shared" si="329"/>
        <v>45.969440375798435</v>
      </c>
      <c r="AJ629">
        <v>4.1399999999999997</v>
      </c>
      <c r="AK629" s="285" t="s">
        <v>8398</v>
      </c>
      <c r="AL629" s="260">
        <v>170</v>
      </c>
      <c r="AN629" s="235">
        <v>70</v>
      </c>
      <c r="AO629" s="242">
        <v>42074</v>
      </c>
      <c r="AP629" s="235">
        <v>106</v>
      </c>
      <c r="AQ629" s="242">
        <v>42110</v>
      </c>
      <c r="AR629" s="136">
        <v>138</v>
      </c>
      <c r="AS629" s="297">
        <f t="shared" si="330"/>
        <v>138</v>
      </c>
      <c r="AT629" s="290">
        <v>42142</v>
      </c>
      <c r="AU629" s="298"/>
      <c r="BF629" s="282">
        <v>-6.3231678009033203</v>
      </c>
      <c r="BG629" s="283">
        <v>42235</v>
      </c>
      <c r="BL629" s="296">
        <v>65.901611328125</v>
      </c>
      <c r="BM629" s="283">
        <v>42235</v>
      </c>
      <c r="BP629" s="282">
        <v>3.0139880180358887</v>
      </c>
      <c r="BQ629" s="283">
        <v>42235</v>
      </c>
      <c r="BR629" s="282">
        <v>48.954536437988281</v>
      </c>
      <c r="BS629" s="283">
        <v>42235</v>
      </c>
      <c r="BT629" s="282">
        <v>17.967601776123047</v>
      </c>
      <c r="BU629" s="283">
        <v>42235</v>
      </c>
      <c r="BV629" s="282">
        <v>15.692720413208008</v>
      </c>
      <c r="BW629" s="283">
        <v>42235</v>
      </c>
      <c r="BX629" s="282">
        <v>5.5842056274414062</v>
      </c>
      <c r="BY629" s="283">
        <v>42235</v>
      </c>
      <c r="CB629" s="267">
        <v>5.91</v>
      </c>
      <c r="CD629" s="282">
        <v>3.7735849056603805</v>
      </c>
      <c r="CE629" s="291" t="s">
        <v>8398</v>
      </c>
      <c r="CH629" s="136">
        <v>3</v>
      </c>
      <c r="CI629" s="136">
        <v>7</v>
      </c>
      <c r="CL629" s="136">
        <v>2</v>
      </c>
      <c r="CM629" s="259">
        <v>42161</v>
      </c>
      <c r="CO629" s="137" t="s">
        <v>8405</v>
      </c>
    </row>
    <row r="630" spans="1:94">
      <c r="A630" s="258">
        <v>1041</v>
      </c>
      <c r="B630" s="235">
        <v>165</v>
      </c>
      <c r="C630" s="235" t="s">
        <v>7790</v>
      </c>
      <c r="D630" s="235" t="s">
        <v>7588</v>
      </c>
      <c r="E630" s="235" t="s">
        <v>7790</v>
      </c>
      <c r="F630" s="235" t="s">
        <v>8536</v>
      </c>
      <c r="G630" s="235" t="str">
        <f t="shared" si="324"/>
        <v>Rapsodyn</v>
      </c>
      <c r="H630" s="235" t="s">
        <v>267</v>
      </c>
      <c r="I630" s="235">
        <v>1</v>
      </c>
      <c r="J630" s="235">
        <v>9161</v>
      </c>
      <c r="K630" s="235">
        <v>19</v>
      </c>
      <c r="L630" s="235">
        <f t="shared" si="323"/>
        <v>91</v>
      </c>
      <c r="M630" s="235">
        <v>3</v>
      </c>
      <c r="N630" s="235">
        <v>7</v>
      </c>
      <c r="O630" s="248">
        <v>42048</v>
      </c>
      <c r="P630" s="136">
        <v>7.28</v>
      </c>
      <c r="Q630" s="264">
        <v>42204</v>
      </c>
      <c r="V630" s="219">
        <f t="shared" si="325"/>
        <v>21.514386454885798</v>
      </c>
      <c r="X630">
        <v>15.55</v>
      </c>
      <c r="AB630" s="220">
        <f t="shared" si="326"/>
        <v>8.4829826738167426</v>
      </c>
      <c r="AD630" s="221">
        <f t="shared" si="327"/>
        <v>92944.959334216022</v>
      </c>
      <c r="AF630" s="220">
        <f t="shared" si="328"/>
        <v>44.241800643086826</v>
      </c>
      <c r="AH630" s="220">
        <f t="shared" si="329"/>
        <v>49.609554432705565</v>
      </c>
      <c r="AJ630">
        <v>4.76</v>
      </c>
      <c r="AK630" s="285" t="s">
        <v>8398</v>
      </c>
      <c r="AL630" s="260">
        <v>180</v>
      </c>
      <c r="AN630" s="235">
        <v>70</v>
      </c>
      <c r="AO630" s="242">
        <v>42074</v>
      </c>
      <c r="AP630" s="235">
        <v>106</v>
      </c>
      <c r="AQ630" s="242">
        <v>42110</v>
      </c>
      <c r="AR630" s="136">
        <v>131</v>
      </c>
      <c r="AS630" s="297">
        <f t="shared" si="330"/>
        <v>131</v>
      </c>
      <c r="AT630" s="290">
        <v>42135</v>
      </c>
      <c r="AU630" s="298"/>
      <c r="BF630" s="282">
        <v>-0.64023798704147339</v>
      </c>
      <c r="BG630" s="283">
        <v>42235</v>
      </c>
      <c r="BL630" s="296">
        <v>63.476978302001953</v>
      </c>
      <c r="BM630" s="283">
        <v>42235</v>
      </c>
      <c r="BP630" s="282">
        <v>3.2615549564361572</v>
      </c>
      <c r="BQ630" s="283">
        <v>42235</v>
      </c>
      <c r="BR630" s="282">
        <v>48.629093170166016</v>
      </c>
      <c r="BS630" s="283">
        <v>42235</v>
      </c>
      <c r="BT630" s="282">
        <v>19.174135208129883</v>
      </c>
      <c r="BU630" s="283">
        <v>42235</v>
      </c>
      <c r="BV630" s="282">
        <v>14.523503303527832</v>
      </c>
      <c r="BW630" s="283">
        <v>42235</v>
      </c>
      <c r="BX630" s="282">
        <v>5.541412353515625</v>
      </c>
      <c r="BY630" s="283">
        <v>42235</v>
      </c>
      <c r="CB630" s="267">
        <v>6.08</v>
      </c>
      <c r="CD630" s="282">
        <v>3.5714285714285587</v>
      </c>
      <c r="CE630" s="291" t="s">
        <v>8398</v>
      </c>
      <c r="CH630" s="136">
        <v>2</v>
      </c>
      <c r="CI630" s="136">
        <v>4</v>
      </c>
      <c r="CL630" s="136">
        <v>3</v>
      </c>
      <c r="CM630" s="259">
        <v>42161</v>
      </c>
      <c r="CN630" s="137" t="s">
        <v>8406</v>
      </c>
    </row>
    <row r="631" spans="1:94">
      <c r="A631" s="258">
        <v>1044</v>
      </c>
      <c r="B631" s="235">
        <v>168</v>
      </c>
      <c r="C631" s="235" t="s">
        <v>7693</v>
      </c>
      <c r="D631" s="235" t="s">
        <v>7519</v>
      </c>
      <c r="E631" s="235" t="s">
        <v>7693</v>
      </c>
      <c r="F631" s="235" t="s">
        <v>8526</v>
      </c>
      <c r="G631" s="235" t="str">
        <f t="shared" si="324"/>
        <v>Rapsodyn</v>
      </c>
      <c r="H631" s="235" t="s">
        <v>267</v>
      </c>
      <c r="I631" s="235">
        <v>1</v>
      </c>
      <c r="J631" s="235">
        <v>9075</v>
      </c>
      <c r="K631" s="235">
        <v>22</v>
      </c>
      <c r="L631" s="235">
        <f t="shared" si="323"/>
        <v>94</v>
      </c>
      <c r="M631" s="235">
        <v>3</v>
      </c>
      <c r="N631" s="235">
        <v>5</v>
      </c>
      <c r="O631" s="248">
        <v>42048</v>
      </c>
      <c r="P631" s="136">
        <v>6.48</v>
      </c>
      <c r="Q631" s="264">
        <v>42204</v>
      </c>
      <c r="V631" s="219">
        <f t="shared" si="325"/>
        <v>18.879131435330379</v>
      </c>
      <c r="X631">
        <v>15.55</v>
      </c>
      <c r="AB631" s="220">
        <f t="shared" si="326"/>
        <v>7.3710069108447547</v>
      </c>
      <c r="AD631" s="221">
        <f t="shared" si="327"/>
        <v>89351.46879324883</v>
      </c>
      <c r="AF631" s="220">
        <f t="shared" si="328"/>
        <v>38.689185987476741</v>
      </c>
      <c r="AH631" s="220">
        <f t="shared" si="329"/>
        <v>43.383254078803247</v>
      </c>
      <c r="AJ631">
        <v>4.33</v>
      </c>
      <c r="AK631" s="285" t="s">
        <v>8398</v>
      </c>
      <c r="AL631" s="260">
        <v>150</v>
      </c>
      <c r="AN631" s="235">
        <v>79</v>
      </c>
      <c r="AO631" s="242">
        <v>42083</v>
      </c>
      <c r="AP631" s="235">
        <v>104</v>
      </c>
      <c r="AQ631" s="242">
        <v>42108</v>
      </c>
      <c r="AR631" s="136">
        <v>134</v>
      </c>
      <c r="AS631" s="297">
        <f t="shared" si="330"/>
        <v>134</v>
      </c>
      <c r="AT631" s="290">
        <v>42138</v>
      </c>
      <c r="AU631" s="298"/>
      <c r="BF631" s="282">
        <v>-5.5301299095153809</v>
      </c>
      <c r="BG631" s="283">
        <v>42235</v>
      </c>
      <c r="BL631" s="296">
        <v>61.363315582275391</v>
      </c>
      <c r="BM631" s="283">
        <v>42235</v>
      </c>
      <c r="BP631" s="282">
        <v>3.5123999118804932</v>
      </c>
      <c r="BQ631" s="283">
        <v>42235</v>
      </c>
      <c r="BR631" s="282">
        <v>48.796920776367188</v>
      </c>
      <c r="BS631" s="283">
        <v>42235</v>
      </c>
      <c r="BT631" s="282">
        <v>19.051853179931641</v>
      </c>
      <c r="BU631" s="283">
        <v>42235</v>
      </c>
      <c r="BV631" s="282">
        <v>15.275753021240234</v>
      </c>
      <c r="BW631" s="283">
        <v>42235</v>
      </c>
      <c r="BX631" s="282">
        <v>5.6052093505859375</v>
      </c>
      <c r="BY631" s="283">
        <v>42235</v>
      </c>
      <c r="CB631" s="267">
        <v>6.27</v>
      </c>
      <c r="CD631" s="282">
        <v>5.2631578947368389</v>
      </c>
      <c r="CE631" s="291" t="s">
        <v>8398</v>
      </c>
      <c r="CH631" s="136">
        <v>1</v>
      </c>
      <c r="CI631" s="136">
        <v>2</v>
      </c>
      <c r="CL631" s="136">
        <v>2</v>
      </c>
      <c r="CM631" s="259">
        <v>42161</v>
      </c>
      <c r="CN631" s="137" t="s">
        <v>8406</v>
      </c>
    </row>
    <row r="632" spans="1:94">
      <c r="A632" s="258">
        <v>1045</v>
      </c>
      <c r="B632" s="235">
        <v>169</v>
      </c>
      <c r="C632" s="235" t="s">
        <v>7802</v>
      </c>
      <c r="D632" s="235" t="s">
        <v>7847</v>
      </c>
      <c r="E632" s="235" t="s">
        <v>7802</v>
      </c>
      <c r="F632" s="235" t="s">
        <v>8531</v>
      </c>
      <c r="G632" s="235" t="str">
        <f t="shared" si="324"/>
        <v>Rapsodyn</v>
      </c>
      <c r="H632" s="235" t="s">
        <v>267</v>
      </c>
      <c r="I632" s="235">
        <v>1</v>
      </c>
      <c r="J632" s="235">
        <v>9173</v>
      </c>
      <c r="K632" s="235">
        <v>23</v>
      </c>
      <c r="L632" s="235">
        <f t="shared" si="323"/>
        <v>95</v>
      </c>
      <c r="M632" s="235">
        <v>3</v>
      </c>
      <c r="N632" s="235">
        <v>7</v>
      </c>
      <c r="O632" s="248">
        <v>42048</v>
      </c>
      <c r="P632" s="136">
        <v>7.53</v>
      </c>
      <c r="Q632" s="264">
        <v>42204</v>
      </c>
      <c r="V632" s="219">
        <f t="shared" si="325"/>
        <v>21.776952333590106</v>
      </c>
      <c r="X632">
        <v>15.55</v>
      </c>
      <c r="AB632" s="220">
        <f t="shared" si="326"/>
        <v>7.7880813420210382</v>
      </c>
      <c r="AD632" s="221">
        <f t="shared" si="327"/>
        <v>85626.210300218911</v>
      </c>
      <c r="AF632" s="220">
        <f t="shared" si="328"/>
        <v>44.183124514912961</v>
      </c>
      <c r="AH632" s="220">
        <f t="shared" si="329"/>
        <v>49.543759267675448</v>
      </c>
      <c r="AJ632">
        <v>5.16</v>
      </c>
      <c r="AK632" s="285" t="s">
        <v>8398</v>
      </c>
      <c r="AL632" s="260">
        <v>170</v>
      </c>
      <c r="AN632" s="235">
        <v>72</v>
      </c>
      <c r="AO632" s="242">
        <v>42076</v>
      </c>
      <c r="AP632" s="235">
        <v>106</v>
      </c>
      <c r="AQ632" s="242">
        <v>42110</v>
      </c>
      <c r="AR632" s="136">
        <v>132</v>
      </c>
      <c r="AS632" s="297">
        <f t="shared" si="330"/>
        <v>132</v>
      </c>
      <c r="AT632" s="290">
        <v>42136</v>
      </c>
      <c r="AU632" s="298"/>
      <c r="BF632" s="282">
        <v>-3.4471321105957031</v>
      </c>
      <c r="BG632" s="283">
        <v>42235</v>
      </c>
      <c r="BL632" s="296">
        <v>63.009727478027344</v>
      </c>
      <c r="BM632" s="283">
        <v>42235</v>
      </c>
      <c r="BP632" s="282">
        <v>3.4994630813598633</v>
      </c>
      <c r="BQ632" s="283">
        <v>42235</v>
      </c>
      <c r="BR632" s="282">
        <v>49.287940979003906</v>
      </c>
      <c r="BS632" s="283">
        <v>42235</v>
      </c>
      <c r="BT632" s="282">
        <v>17.626823425292969</v>
      </c>
      <c r="BU632" s="283">
        <v>42235</v>
      </c>
      <c r="BV632" s="282">
        <v>15.598442077636719</v>
      </c>
      <c r="BW632" s="283">
        <v>42235</v>
      </c>
      <c r="BX632" s="282">
        <v>5.7374343872070313</v>
      </c>
      <c r="BY632" s="283">
        <v>42235</v>
      </c>
      <c r="CB632" s="267">
        <v>5.87</v>
      </c>
      <c r="CD632" s="282">
        <v>6.8965517241379226</v>
      </c>
      <c r="CE632" s="291" t="s">
        <v>8398</v>
      </c>
      <c r="CH632" s="136">
        <v>1</v>
      </c>
      <c r="CI632" s="136">
        <v>3</v>
      </c>
      <c r="CL632" s="136">
        <v>1</v>
      </c>
      <c r="CM632" s="259">
        <v>42161</v>
      </c>
      <c r="CN632" s="137" t="s">
        <v>8406</v>
      </c>
    </row>
    <row r="633" spans="1:94">
      <c r="A633" s="258">
        <v>1047</v>
      </c>
      <c r="B633" s="235">
        <v>171</v>
      </c>
      <c r="C633" s="235" t="s">
        <v>7783</v>
      </c>
      <c r="D633" s="235" t="s">
        <v>7581</v>
      </c>
      <c r="E633" s="235" t="s">
        <v>7783</v>
      </c>
      <c r="F633" s="235" t="s">
        <v>8524</v>
      </c>
      <c r="G633" s="235" t="str">
        <f t="shared" si="324"/>
        <v>Rapsodyn</v>
      </c>
      <c r="H633" s="235" t="s">
        <v>267</v>
      </c>
      <c r="I633" s="235">
        <v>1</v>
      </c>
      <c r="J633" s="235">
        <v>9154</v>
      </c>
      <c r="K633" s="235">
        <v>25</v>
      </c>
      <c r="L633" s="235">
        <f t="shared" si="323"/>
        <v>97</v>
      </c>
      <c r="M633" s="235">
        <v>3</v>
      </c>
      <c r="N633" s="235">
        <v>7</v>
      </c>
      <c r="O633" s="248">
        <v>42048</v>
      </c>
      <c r="P633" s="136">
        <v>7.52</v>
      </c>
      <c r="Q633" s="264">
        <v>42204</v>
      </c>
      <c r="V633" s="219">
        <f t="shared" si="325"/>
        <v>22.412467474443734</v>
      </c>
      <c r="X633">
        <v>15.55</v>
      </c>
      <c r="AB633" s="220">
        <f t="shared" si="326"/>
        <v>7.080010106715358</v>
      </c>
      <c r="AD633" s="221">
        <f t="shared" si="327"/>
        <v>85927.240024146551</v>
      </c>
      <c r="AF633" s="220">
        <f t="shared" si="328"/>
        <v>44.854019292604498</v>
      </c>
      <c r="AH633" s="220">
        <f t="shared" si="329"/>
        <v>50.296052133443034</v>
      </c>
      <c r="AJ633">
        <v>5.22</v>
      </c>
      <c r="AK633" s="285" t="s">
        <v>8399</v>
      </c>
      <c r="AL633" s="260">
        <v>180</v>
      </c>
      <c r="AN633" s="235">
        <v>75</v>
      </c>
      <c r="AO633" s="242">
        <v>42079</v>
      </c>
      <c r="AP633" s="235">
        <v>106</v>
      </c>
      <c r="AQ633" s="242">
        <v>42110</v>
      </c>
      <c r="AR633" s="136">
        <v>131</v>
      </c>
      <c r="AS633" s="297">
        <f t="shared" si="330"/>
        <v>131</v>
      </c>
      <c r="AT633" s="290">
        <v>42135</v>
      </c>
      <c r="AU633" s="298"/>
      <c r="BF633" s="282">
        <v>-1.5888819694519043</v>
      </c>
      <c r="BG633" s="283">
        <v>42235</v>
      </c>
      <c r="BL633" s="296">
        <v>61.709430694580078</v>
      </c>
      <c r="BM633" s="283">
        <v>42235</v>
      </c>
      <c r="BP633" s="282">
        <v>4.1720471382141113</v>
      </c>
      <c r="BQ633" s="283">
        <v>42235</v>
      </c>
      <c r="BR633" s="282">
        <v>49.967578887939453</v>
      </c>
      <c r="BS633" s="283">
        <v>42235</v>
      </c>
      <c r="BT633" s="282">
        <v>15.784561157226563</v>
      </c>
      <c r="BU633" s="283">
        <v>42235</v>
      </c>
      <c r="BV633" s="282">
        <v>15.447298049926758</v>
      </c>
      <c r="BW633" s="283">
        <v>42235</v>
      </c>
      <c r="BX633" s="282">
        <v>5.6990966796875</v>
      </c>
      <c r="BY633" s="283">
        <v>42235</v>
      </c>
      <c r="CB633" s="267">
        <v>5.56</v>
      </c>
      <c r="CD633" s="282">
        <v>5.3571428571428541</v>
      </c>
      <c r="CE633" s="291" t="s">
        <v>8399</v>
      </c>
      <c r="CH633" s="136">
        <v>2</v>
      </c>
      <c r="CI633" s="136">
        <v>2</v>
      </c>
      <c r="CL633" s="136">
        <v>1</v>
      </c>
      <c r="CM633" s="259">
        <v>42161</v>
      </c>
      <c r="CN633" s="137" t="s">
        <v>8406</v>
      </c>
    </row>
    <row r="634" spans="1:94">
      <c r="A634" s="258">
        <v>1048</v>
      </c>
      <c r="B634" s="235">
        <v>172</v>
      </c>
      <c r="C634" s="346" t="s">
        <v>8238</v>
      </c>
      <c r="D634" s="235" t="s">
        <v>7562</v>
      </c>
      <c r="E634" s="235" t="s">
        <v>8461</v>
      </c>
      <c r="F634" s="235" t="s">
        <v>8469</v>
      </c>
      <c r="G634" s="235" t="str">
        <f t="shared" si="324"/>
        <v>Rapsodyn</v>
      </c>
      <c r="H634" s="235" t="s">
        <v>267</v>
      </c>
      <c r="I634" s="235">
        <v>1</v>
      </c>
      <c r="J634" s="235">
        <v>9359</v>
      </c>
      <c r="K634" s="235">
        <v>26</v>
      </c>
      <c r="L634" s="235">
        <f t="shared" si="323"/>
        <v>98</v>
      </c>
      <c r="M634" s="235">
        <v>3</v>
      </c>
      <c r="N634" s="235">
        <v>5</v>
      </c>
      <c r="O634" s="248">
        <v>42048</v>
      </c>
      <c r="P634" t="s">
        <v>8379</v>
      </c>
      <c r="Q634" s="264">
        <v>42204</v>
      </c>
      <c r="R634" s="278">
        <v>12.922810060711191</v>
      </c>
      <c r="S634" s="190">
        <v>42185</v>
      </c>
      <c r="T634" s="277">
        <v>28.359680059700104</v>
      </c>
      <c r="U634" s="190">
        <v>42185</v>
      </c>
      <c r="V634" t="s">
        <v>8379</v>
      </c>
      <c r="X634">
        <v>15.55</v>
      </c>
      <c r="AB634" t="s">
        <v>8379</v>
      </c>
      <c r="AD634" t="s">
        <v>8379</v>
      </c>
      <c r="AF634" t="s">
        <v>8379</v>
      </c>
      <c r="AH634" t="s">
        <v>8379</v>
      </c>
      <c r="AJ634">
        <v>4.4400000000000004</v>
      </c>
      <c r="AK634" s="285" t="s">
        <v>8399</v>
      </c>
      <c r="AL634" s="260">
        <v>170</v>
      </c>
      <c r="AN634" s="235">
        <v>72</v>
      </c>
      <c r="AO634" s="242">
        <v>42076</v>
      </c>
      <c r="AP634" s="235">
        <v>106</v>
      </c>
      <c r="AQ634" s="242">
        <v>42110</v>
      </c>
      <c r="AR634" s="136">
        <v>138</v>
      </c>
      <c r="AS634" s="297">
        <f t="shared" si="330"/>
        <v>138</v>
      </c>
      <c r="AT634" s="290">
        <v>42142</v>
      </c>
      <c r="AU634" s="298"/>
      <c r="BF634" s="282">
        <v>-2.1571180820465088</v>
      </c>
      <c r="BG634" s="283">
        <v>42235</v>
      </c>
      <c r="BL634" s="296">
        <v>61.503582000732422</v>
      </c>
      <c r="BM634" s="283">
        <v>42235</v>
      </c>
      <c r="BP634" s="282">
        <v>3.8497641086578369</v>
      </c>
      <c r="BQ634" s="283">
        <v>42235</v>
      </c>
      <c r="BR634" s="282">
        <v>48.531852722167969</v>
      </c>
      <c r="BS634" s="283">
        <v>42235</v>
      </c>
      <c r="BT634" s="282">
        <v>17.891078948974609</v>
      </c>
      <c r="BU634" s="283">
        <v>42235</v>
      </c>
      <c r="BV634" s="282">
        <v>13.126049041748047</v>
      </c>
      <c r="BW634" s="283">
        <v>42235</v>
      </c>
      <c r="BX634" s="282">
        <v>5.2726669311523437</v>
      </c>
      <c r="BY634" s="283">
        <v>42235</v>
      </c>
      <c r="CB634" s="267">
        <v>5.45</v>
      </c>
      <c r="CD634" s="282">
        <v>7.1428571428571344</v>
      </c>
      <c r="CE634" s="291" t="s">
        <v>8399</v>
      </c>
      <c r="CH634" s="136">
        <v>3</v>
      </c>
      <c r="CI634" s="136">
        <v>3</v>
      </c>
      <c r="CL634" s="136">
        <v>1</v>
      </c>
      <c r="CM634" s="259">
        <v>42161</v>
      </c>
      <c r="CP634" s="345" t="s">
        <v>8412</v>
      </c>
    </row>
    <row r="635" spans="1:94">
      <c r="A635" s="258">
        <v>1051</v>
      </c>
      <c r="B635" s="235">
        <v>175</v>
      </c>
      <c r="C635" s="235" t="s">
        <v>7576</v>
      </c>
      <c r="D635" s="235"/>
      <c r="E635" s="235"/>
      <c r="F635" s="235"/>
      <c r="G635" s="235"/>
      <c r="H635" s="235" t="s">
        <v>267</v>
      </c>
      <c r="I635" s="235">
        <v>1</v>
      </c>
      <c r="K635" s="235">
        <v>29</v>
      </c>
      <c r="L635" s="235">
        <f t="shared" si="323"/>
        <v>101</v>
      </c>
      <c r="M635" s="235">
        <v>3</v>
      </c>
      <c r="O635" s="248">
        <v>42048</v>
      </c>
      <c r="V635" s="219"/>
      <c r="X635">
        <v>15.55</v>
      </c>
      <c r="AB635" s="220"/>
      <c r="AD635" s="221"/>
      <c r="AF635" s="220"/>
      <c r="AH635" s="220"/>
      <c r="AJ635" s="286"/>
      <c r="AK635" s="285"/>
      <c r="AL635" s="260"/>
      <c r="AN635" s="235">
        <v>70</v>
      </c>
      <c r="AO635" s="242">
        <v>42074</v>
      </c>
      <c r="AP635" s="235">
        <v>106</v>
      </c>
      <c r="AQ635" s="242">
        <v>42110</v>
      </c>
      <c r="AS635" s="297"/>
      <c r="AT635" s="290"/>
      <c r="AU635" s="298"/>
      <c r="BF635" s="282"/>
      <c r="BG635" s="235"/>
      <c r="BL635" s="296"/>
      <c r="BM635" s="235"/>
      <c r="BP635" s="282"/>
      <c r="BQ635" s="235"/>
      <c r="BR635" s="282"/>
      <c r="BS635" s="235"/>
      <c r="BT635" s="282"/>
      <c r="BU635" s="235"/>
      <c r="BV635" s="282"/>
      <c r="BW635" s="235"/>
      <c r="BX635" s="282"/>
      <c r="BY635" s="235"/>
      <c r="CB635" s="267"/>
      <c r="CD635" s="282"/>
      <c r="CE635" s="291"/>
      <c r="CL635" s="136">
        <v>2</v>
      </c>
      <c r="CM635" s="259">
        <v>42161</v>
      </c>
    </row>
    <row r="636" spans="1:94">
      <c r="A636" s="258">
        <v>1052</v>
      </c>
      <c r="B636" s="235">
        <v>176</v>
      </c>
      <c r="C636" s="235" t="s">
        <v>7576</v>
      </c>
      <c r="D636" s="235"/>
      <c r="E636" s="235"/>
      <c r="F636" s="235"/>
      <c r="G636" s="235"/>
      <c r="H636" s="235" t="s">
        <v>267</v>
      </c>
      <c r="I636" s="235">
        <v>1</v>
      </c>
      <c r="K636" s="235">
        <v>30</v>
      </c>
      <c r="L636" s="235">
        <f t="shared" si="323"/>
        <v>102</v>
      </c>
      <c r="M636" s="235">
        <v>3</v>
      </c>
      <c r="O636" s="248">
        <v>42048</v>
      </c>
      <c r="V636" s="219"/>
      <c r="X636">
        <v>15.55</v>
      </c>
      <c r="AB636" s="220"/>
      <c r="AD636" s="221"/>
      <c r="AF636" s="220"/>
      <c r="AH636" s="220"/>
      <c r="AJ636" s="286"/>
      <c r="AK636" s="285"/>
      <c r="AL636" s="260"/>
      <c r="AN636" s="235">
        <v>70</v>
      </c>
      <c r="AO636" s="242">
        <v>42074</v>
      </c>
      <c r="AP636" s="235">
        <v>106</v>
      </c>
      <c r="AQ636" s="242">
        <v>42110</v>
      </c>
      <c r="AS636" s="297"/>
      <c r="AT636" s="290"/>
      <c r="AU636" s="298"/>
      <c r="BF636" s="282"/>
      <c r="BG636" s="235"/>
      <c r="BL636" s="296"/>
      <c r="BM636" s="235"/>
      <c r="BP636" s="282"/>
      <c r="BQ636" s="235"/>
      <c r="BR636" s="282"/>
      <c r="BS636" s="235"/>
      <c r="BT636" s="282"/>
      <c r="BU636" s="235"/>
      <c r="BV636" s="282"/>
      <c r="BW636" s="235"/>
      <c r="BX636" s="282"/>
      <c r="BY636" s="235"/>
      <c r="CB636" s="267"/>
      <c r="CD636" s="282"/>
      <c r="CE636" s="291"/>
      <c r="CL636" s="136">
        <v>2</v>
      </c>
      <c r="CM636" s="259">
        <v>42161</v>
      </c>
    </row>
    <row r="637" spans="1:94">
      <c r="A637" s="258">
        <v>1059</v>
      </c>
      <c r="B637" s="235">
        <v>183</v>
      </c>
      <c r="C637" s="235" t="s">
        <v>7721</v>
      </c>
      <c r="D637" s="235" t="s">
        <v>7545</v>
      </c>
      <c r="E637" s="235" t="s">
        <v>7721</v>
      </c>
      <c r="F637" s="235" t="s">
        <v>8475</v>
      </c>
      <c r="G637" s="235" t="str">
        <f t="shared" ref="G637:G646" si="331">IF(MID(C637,1,3)="BGA","Complement","Rapsodyn")</f>
        <v>Rapsodyn</v>
      </c>
      <c r="H637" s="235" t="s">
        <v>267</v>
      </c>
      <c r="I637" s="235">
        <v>1</v>
      </c>
      <c r="J637" s="235">
        <v>9103</v>
      </c>
      <c r="K637" s="235">
        <v>37</v>
      </c>
      <c r="L637" s="235">
        <f t="shared" si="323"/>
        <v>109</v>
      </c>
      <c r="M637" s="235">
        <v>3</v>
      </c>
      <c r="N637" s="235">
        <v>7</v>
      </c>
      <c r="O637" s="248">
        <v>42048</v>
      </c>
      <c r="P637" s="136">
        <v>7.21</v>
      </c>
      <c r="Q637" s="264">
        <v>42204</v>
      </c>
      <c r="V637" s="219">
        <f t="shared" ref="V637:V641" si="332">+BR637*AF637/100</f>
        <v>21.883728454517694</v>
      </c>
      <c r="X637">
        <v>15.55</v>
      </c>
      <c r="AB637" s="220">
        <f t="shared" ref="AB637:AB641" si="333">+AF637*BT637/100</f>
        <v>7.2909156160556048</v>
      </c>
      <c r="AD637" s="221">
        <f t="shared" ref="AD637:AD641" si="334">+(AF637/AJ637)*10000</f>
        <v>93085.922759947192</v>
      </c>
      <c r="AF637" s="220">
        <f t="shared" ref="AF637:AF641" si="335">($P637/$X637)*(((100-$CD637)/100*(100-2)/100))*100</f>
        <v>43.657297774415241</v>
      </c>
      <c r="AH637" s="220">
        <f t="shared" ref="AH637:AH641" si="336">($P637/$X637)*(((100-$CD637)/(100-9)*(100-2)/(100-2))*100)</f>
        <v>48.954135203425928</v>
      </c>
      <c r="AJ637">
        <v>4.6900000000000004</v>
      </c>
      <c r="AK637" s="285" t="s">
        <v>8400</v>
      </c>
      <c r="AL637" s="260">
        <v>185</v>
      </c>
      <c r="AN637" s="235">
        <v>70</v>
      </c>
      <c r="AO637" s="242">
        <v>42074</v>
      </c>
      <c r="AP637" s="235">
        <v>104</v>
      </c>
      <c r="AQ637" s="242">
        <v>42108</v>
      </c>
      <c r="AR637" s="136">
        <v>137</v>
      </c>
      <c r="AS637" s="297">
        <f t="shared" ref="AS637:AS646" si="337">IF(AR637=0,,AR637)</f>
        <v>137</v>
      </c>
      <c r="AT637" s="290">
        <v>42141</v>
      </c>
      <c r="AU637" s="298"/>
      <c r="BF637" s="282">
        <v>-3.789680004119873</v>
      </c>
      <c r="BG637" s="283">
        <v>42235</v>
      </c>
      <c r="BL637" s="296">
        <v>64.608901977539062</v>
      </c>
      <c r="BM637" s="283">
        <v>42235</v>
      </c>
      <c r="BP637" s="282">
        <v>4.2189068794250488</v>
      </c>
      <c r="BQ637" s="283">
        <v>42235</v>
      </c>
      <c r="BR637" s="282">
        <v>50.126163482666016</v>
      </c>
      <c r="BS637" s="283">
        <v>42235</v>
      </c>
      <c r="BT637" s="282">
        <v>16.700336456298828</v>
      </c>
      <c r="BU637" s="283">
        <v>42235</v>
      </c>
      <c r="BV637" s="282">
        <v>9.6793222427368164</v>
      </c>
      <c r="BW637" s="283">
        <v>42235</v>
      </c>
      <c r="BX637" s="282">
        <v>5.2368621826171875</v>
      </c>
      <c r="BY637" s="283">
        <v>42235</v>
      </c>
      <c r="CB637" s="267">
        <v>4.12</v>
      </c>
      <c r="CD637" s="282">
        <v>3.9215686274509665</v>
      </c>
      <c r="CE637" s="291" t="s">
        <v>8400</v>
      </c>
      <c r="CH637" s="136">
        <v>1</v>
      </c>
      <c r="CI637" s="136">
        <v>7</v>
      </c>
      <c r="CL637" s="136">
        <v>3</v>
      </c>
      <c r="CM637" s="259">
        <v>42161</v>
      </c>
      <c r="CO637" s="137" t="s">
        <v>8405</v>
      </c>
    </row>
    <row r="638" spans="1:94">
      <c r="A638" s="258">
        <v>1060</v>
      </c>
      <c r="B638" s="235">
        <v>184</v>
      </c>
      <c r="C638" s="235" t="s">
        <v>7785</v>
      </c>
      <c r="D638" s="235" t="s">
        <v>7583</v>
      </c>
      <c r="E638" s="235" t="s">
        <v>7785</v>
      </c>
      <c r="F638" s="235" t="s">
        <v>8595</v>
      </c>
      <c r="G638" s="235" t="str">
        <f t="shared" si="331"/>
        <v>Rapsodyn</v>
      </c>
      <c r="H638" s="235" t="s">
        <v>267</v>
      </c>
      <c r="I638" s="235">
        <v>1</v>
      </c>
      <c r="J638" s="235">
        <v>9156</v>
      </c>
      <c r="K638" s="235">
        <v>38</v>
      </c>
      <c r="L638" s="235">
        <f t="shared" si="323"/>
        <v>110</v>
      </c>
      <c r="M638" s="235">
        <v>3</v>
      </c>
      <c r="N638" s="235">
        <v>7</v>
      </c>
      <c r="O638" s="248">
        <v>42048</v>
      </c>
      <c r="P638" s="136">
        <v>5.99</v>
      </c>
      <c r="Q638" s="264">
        <v>42204</v>
      </c>
      <c r="V638" s="219">
        <f t="shared" si="332"/>
        <v>17.530995506876295</v>
      </c>
      <c r="X638">
        <v>15.55</v>
      </c>
      <c r="AB638" s="220">
        <f t="shared" si="333"/>
        <v>7.1407879819862048</v>
      </c>
      <c r="AD638" s="221">
        <f t="shared" si="334"/>
        <v>65381.863855110983</v>
      </c>
      <c r="AF638" s="220">
        <f t="shared" si="335"/>
        <v>36.352316303441704</v>
      </c>
      <c r="AH638" s="220">
        <f t="shared" si="336"/>
        <v>40.762857483114708</v>
      </c>
      <c r="AJ638">
        <v>5.56</v>
      </c>
      <c r="AK638" s="285" t="s">
        <v>8400</v>
      </c>
      <c r="AL638" s="260">
        <v>175</v>
      </c>
      <c r="AN638" s="235">
        <v>65</v>
      </c>
      <c r="AO638" s="242">
        <v>42069</v>
      </c>
      <c r="AP638" s="235">
        <v>106</v>
      </c>
      <c r="AQ638" s="242">
        <v>42110</v>
      </c>
      <c r="AR638" s="136">
        <v>129</v>
      </c>
      <c r="AS638" s="297">
        <f t="shared" si="337"/>
        <v>129</v>
      </c>
      <c r="AT638" s="290">
        <v>42133</v>
      </c>
      <c r="AU638" s="298"/>
      <c r="BF638" s="282">
        <v>-3.2410159111022949</v>
      </c>
      <c r="BG638" s="283">
        <v>42235</v>
      </c>
      <c r="BL638" s="296">
        <v>61.887393951416016</v>
      </c>
      <c r="BM638" s="283">
        <v>42235</v>
      </c>
      <c r="BP638" s="282">
        <v>3.25177001953125</v>
      </c>
      <c r="BQ638" s="283">
        <v>42235</v>
      </c>
      <c r="BR638" s="282">
        <v>48.225250244140625</v>
      </c>
      <c r="BS638" s="283">
        <v>42235</v>
      </c>
      <c r="BT638" s="282">
        <v>19.643281936645508</v>
      </c>
      <c r="BU638" s="283">
        <v>42235</v>
      </c>
      <c r="BV638" s="282">
        <v>17.113334655761719</v>
      </c>
      <c r="BW638" s="283">
        <v>42235</v>
      </c>
      <c r="BX638" s="282">
        <v>5.3575668334960938</v>
      </c>
      <c r="BY638" s="283">
        <v>42235</v>
      </c>
      <c r="CB638" s="267">
        <v>5.38</v>
      </c>
      <c r="CD638" s="282">
        <v>3.7037037037037068</v>
      </c>
      <c r="CE638" s="291" t="s">
        <v>8400</v>
      </c>
      <c r="CH638" s="136">
        <v>1</v>
      </c>
      <c r="CI638" s="136">
        <v>2</v>
      </c>
      <c r="CL638" s="136">
        <v>1</v>
      </c>
      <c r="CM638" s="259">
        <v>42161</v>
      </c>
      <c r="CN638" s="137" t="s">
        <v>8406</v>
      </c>
    </row>
    <row r="639" spans="1:94">
      <c r="A639" s="258">
        <v>1062</v>
      </c>
      <c r="B639" s="235">
        <v>186</v>
      </c>
      <c r="C639" s="235" t="s">
        <v>7733</v>
      </c>
      <c r="D639" s="235" t="s">
        <v>7556</v>
      </c>
      <c r="E639" s="235" t="s">
        <v>7733</v>
      </c>
      <c r="F639" s="235" t="s">
        <v>8598</v>
      </c>
      <c r="G639" s="235" t="str">
        <f t="shared" si="331"/>
        <v>Rapsodyn</v>
      </c>
      <c r="H639" s="235" t="s">
        <v>267</v>
      </c>
      <c r="I639" s="235">
        <v>1</v>
      </c>
      <c r="J639" s="235">
        <v>9114</v>
      </c>
      <c r="K639" s="235">
        <v>40</v>
      </c>
      <c r="L639" s="235">
        <f t="shared" si="323"/>
        <v>112</v>
      </c>
      <c r="M639" s="235">
        <v>3</v>
      </c>
      <c r="N639" s="235">
        <v>9</v>
      </c>
      <c r="O639" s="248">
        <v>42048</v>
      </c>
      <c r="P639" s="136">
        <v>5.96</v>
      </c>
      <c r="Q639" s="264">
        <v>42204</v>
      </c>
      <c r="V639" s="219">
        <f t="shared" si="332"/>
        <v>16.471085607851645</v>
      </c>
      <c r="X639">
        <v>15.55</v>
      </c>
      <c r="AB639" s="220">
        <f t="shared" si="333"/>
        <v>6.082639586465505</v>
      </c>
      <c r="AD639" s="221">
        <f t="shared" si="334"/>
        <v>80994.964508887919</v>
      </c>
      <c r="AF639" s="220">
        <f t="shared" si="335"/>
        <v>34.017885093732929</v>
      </c>
      <c r="AH639" s="220">
        <f t="shared" si="336"/>
        <v>38.145195216116768</v>
      </c>
      <c r="AJ639">
        <v>4.2</v>
      </c>
      <c r="AK639" s="285" t="s">
        <v>8400</v>
      </c>
      <c r="AL639" s="260">
        <v>180</v>
      </c>
      <c r="AN639" s="235">
        <v>70</v>
      </c>
      <c r="AO639" s="242">
        <v>42074</v>
      </c>
      <c r="AP639" s="235">
        <v>106</v>
      </c>
      <c r="AQ639" s="242">
        <v>42110</v>
      </c>
      <c r="AR639" s="136">
        <v>133</v>
      </c>
      <c r="AS639" s="297">
        <f t="shared" si="337"/>
        <v>133</v>
      </c>
      <c r="AT639" s="290">
        <v>42137</v>
      </c>
      <c r="AU639" s="298"/>
      <c r="BF639" s="282">
        <v>-0.75098598003387451</v>
      </c>
      <c r="BG639" s="283">
        <v>42235</v>
      </c>
      <c r="BL639" s="296">
        <v>59.549613952636719</v>
      </c>
      <c r="BM639" s="283">
        <v>42235</v>
      </c>
      <c r="BP639" s="282">
        <v>3.248878002166748</v>
      </c>
      <c r="BQ639" s="283">
        <v>42235</v>
      </c>
      <c r="BR639" s="282">
        <v>48.418899536132813</v>
      </c>
      <c r="BS639" s="283">
        <v>42235</v>
      </c>
      <c r="BT639" s="282">
        <v>17.880710601806641</v>
      </c>
      <c r="BU639" s="283">
        <v>42235</v>
      </c>
      <c r="BV639" s="282">
        <v>14.470712661743164</v>
      </c>
      <c r="BW639" s="283">
        <v>42235</v>
      </c>
      <c r="BX639" s="282">
        <v>5.5031356811523437</v>
      </c>
      <c r="BY639" s="283">
        <v>42235</v>
      </c>
      <c r="CB639" s="267">
        <v>3.1</v>
      </c>
      <c r="CD639" s="282">
        <v>9.433962264150944</v>
      </c>
      <c r="CE639" s="291" t="s">
        <v>8400</v>
      </c>
      <c r="CH639" s="136">
        <v>3</v>
      </c>
      <c r="CI639" s="136">
        <v>8</v>
      </c>
      <c r="CL639" s="136">
        <v>3</v>
      </c>
      <c r="CM639" s="259">
        <v>42161</v>
      </c>
      <c r="CO639" s="137" t="s">
        <v>8405</v>
      </c>
    </row>
    <row r="640" spans="1:94">
      <c r="A640" s="258">
        <v>1063</v>
      </c>
      <c r="B640" s="235">
        <v>187</v>
      </c>
      <c r="C640" s="235" t="s">
        <v>7653</v>
      </c>
      <c r="D640" s="235" t="s">
        <v>7484</v>
      </c>
      <c r="E640" s="235" t="s">
        <v>7653</v>
      </c>
      <c r="F640" s="235" t="s">
        <v>8431</v>
      </c>
      <c r="G640" s="235" t="str">
        <f t="shared" si="331"/>
        <v>Rapsodyn</v>
      </c>
      <c r="H640" s="235" t="s">
        <v>267</v>
      </c>
      <c r="I640" s="235">
        <v>1</v>
      </c>
      <c r="J640" s="235">
        <v>9037</v>
      </c>
      <c r="K640" s="235">
        <v>41</v>
      </c>
      <c r="L640" s="235">
        <f t="shared" si="323"/>
        <v>113</v>
      </c>
      <c r="M640" s="235">
        <v>3</v>
      </c>
      <c r="N640" s="235">
        <v>7</v>
      </c>
      <c r="O640" s="248">
        <v>42048</v>
      </c>
      <c r="P640" s="136">
        <v>4.53</v>
      </c>
      <c r="Q640" s="264">
        <v>42204</v>
      </c>
      <c r="V640" s="219">
        <f t="shared" si="332"/>
        <v>12.56629598393129</v>
      </c>
      <c r="X640">
        <v>15.55</v>
      </c>
      <c r="AB640" s="220">
        <f t="shared" si="333"/>
        <v>5.7423889936026873</v>
      </c>
      <c r="AD640" s="221">
        <f t="shared" si="334"/>
        <v>48302.214082686158</v>
      </c>
      <c r="AF640" s="220">
        <f t="shared" si="335"/>
        <v>27.097542100386939</v>
      </c>
      <c r="AH640" s="220">
        <f t="shared" si="336"/>
        <v>30.385223256769386</v>
      </c>
      <c r="AJ640">
        <v>5.61</v>
      </c>
      <c r="AK640" s="285" t="s">
        <v>8399</v>
      </c>
      <c r="AL640" s="260">
        <v>190</v>
      </c>
      <c r="AN640" s="235">
        <v>70</v>
      </c>
      <c r="AO640" s="242">
        <v>42074</v>
      </c>
      <c r="AP640" s="235">
        <v>106</v>
      </c>
      <c r="AQ640" s="242">
        <v>42110</v>
      </c>
      <c r="AR640" s="136">
        <v>131</v>
      </c>
      <c r="AS640" s="297">
        <f t="shared" si="337"/>
        <v>131</v>
      </c>
      <c r="AT640" s="290">
        <v>42135</v>
      </c>
      <c r="AU640" s="298"/>
      <c r="BF640" s="282">
        <v>-3.1450750827789307</v>
      </c>
      <c r="BG640" s="283">
        <v>42235</v>
      </c>
      <c r="BL640" s="296">
        <v>56.451515197753906</v>
      </c>
      <c r="BM640" s="283">
        <v>42235</v>
      </c>
      <c r="BP640" s="282">
        <v>3.2596530914306641</v>
      </c>
      <c r="BQ640" s="283">
        <v>42235</v>
      </c>
      <c r="BR640" s="282">
        <v>46.374301910400391</v>
      </c>
      <c r="BS640" s="283">
        <v>42235</v>
      </c>
      <c r="BT640" s="282">
        <v>21.191549301147461</v>
      </c>
      <c r="BU640" s="283">
        <v>42235</v>
      </c>
      <c r="BV640" s="282">
        <v>23.526327133178711</v>
      </c>
      <c r="BW640" s="283">
        <v>42235</v>
      </c>
      <c r="BX640" s="282">
        <v>5.223388671875</v>
      </c>
      <c r="BY640" s="283">
        <v>42235</v>
      </c>
      <c r="CB640" s="267">
        <v>3.5</v>
      </c>
      <c r="CD640" s="282">
        <v>5.0847457627118757</v>
      </c>
      <c r="CE640" s="291" t="s">
        <v>8399</v>
      </c>
      <c r="CH640" s="136">
        <v>3</v>
      </c>
      <c r="CI640" s="136">
        <v>7</v>
      </c>
      <c r="CL640" s="136">
        <v>3</v>
      </c>
      <c r="CM640" s="259">
        <v>42161</v>
      </c>
      <c r="CO640" s="137" t="s">
        <v>8405</v>
      </c>
    </row>
    <row r="641" spans="1:93">
      <c r="A641" s="258">
        <v>1064</v>
      </c>
      <c r="B641" s="235">
        <v>188</v>
      </c>
      <c r="C641" s="235" t="s">
        <v>7720</v>
      </c>
      <c r="D641" s="235" t="s">
        <v>7544</v>
      </c>
      <c r="E641" s="235" t="s">
        <v>7720</v>
      </c>
      <c r="F641" s="235" t="s">
        <v>8625</v>
      </c>
      <c r="G641" s="235" t="str">
        <f t="shared" si="331"/>
        <v>Rapsodyn</v>
      </c>
      <c r="H641" s="235" t="s">
        <v>267</v>
      </c>
      <c r="I641" s="235">
        <v>1</v>
      </c>
      <c r="J641" s="235">
        <v>9102</v>
      </c>
      <c r="K641" s="235">
        <v>42</v>
      </c>
      <c r="L641" s="235">
        <f t="shared" si="323"/>
        <v>114</v>
      </c>
      <c r="M641" s="235">
        <v>3</v>
      </c>
      <c r="N641" s="235">
        <v>7</v>
      </c>
      <c r="O641" s="248">
        <v>42048</v>
      </c>
      <c r="P641" s="136">
        <v>6.21</v>
      </c>
      <c r="Q641" s="264">
        <v>42204</v>
      </c>
      <c r="V641" s="219">
        <f t="shared" si="332"/>
        <v>18.883585502158404</v>
      </c>
      <c r="X641">
        <v>15.55</v>
      </c>
      <c r="AB641" s="220">
        <f t="shared" si="333"/>
        <v>6.0405894735158441</v>
      </c>
      <c r="AD641" s="221">
        <f t="shared" si="334"/>
        <v>81957.208347295382</v>
      </c>
      <c r="AF641" s="220">
        <f t="shared" si="335"/>
        <v>36.962700964630216</v>
      </c>
      <c r="AH641" s="220">
        <f t="shared" si="336"/>
        <v>41.447298682025362</v>
      </c>
      <c r="AJ641">
        <v>4.51</v>
      </c>
      <c r="AK641" s="285" t="s">
        <v>8400</v>
      </c>
      <c r="AL641" s="260">
        <v>180</v>
      </c>
      <c r="AN641" s="235">
        <v>70</v>
      </c>
      <c r="AO641" s="242">
        <v>42074</v>
      </c>
      <c r="AP641" s="235">
        <v>106</v>
      </c>
      <c r="AQ641" s="242">
        <v>42110</v>
      </c>
      <c r="AR641" s="136">
        <v>133</v>
      </c>
      <c r="AS641" s="297">
        <f t="shared" si="337"/>
        <v>133</v>
      </c>
      <c r="AT641" s="290">
        <v>42137</v>
      </c>
      <c r="AU641" s="298"/>
      <c r="BF641" s="282">
        <v>-1.4994640350341797</v>
      </c>
      <c r="BG641" s="283">
        <v>42235</v>
      </c>
      <c r="BL641" s="296">
        <v>65.008476257324219</v>
      </c>
      <c r="BM641" s="283">
        <v>42235</v>
      </c>
      <c r="BP641" s="282">
        <v>2.8855481147766113</v>
      </c>
      <c r="BQ641" s="283">
        <v>42235</v>
      </c>
      <c r="BR641" s="282">
        <v>51.088218688964844</v>
      </c>
      <c r="BS641" s="283">
        <v>42235</v>
      </c>
      <c r="BT641" s="282">
        <v>16.342391967773438</v>
      </c>
      <c r="BU641" s="283">
        <v>42235</v>
      </c>
      <c r="BV641" s="282">
        <v>14.926835060119629</v>
      </c>
      <c r="BW641" s="283">
        <v>42235</v>
      </c>
      <c r="BX641" s="282">
        <v>5.2274703979492188</v>
      </c>
      <c r="BY641" s="283">
        <v>42235</v>
      </c>
      <c r="CB641" s="267">
        <v>3.19</v>
      </c>
      <c r="CD641" s="282">
        <v>5.5555555555555687</v>
      </c>
      <c r="CE641" s="291" t="s">
        <v>8400</v>
      </c>
      <c r="CH641" s="136">
        <v>2</v>
      </c>
      <c r="CI641" s="136">
        <v>7</v>
      </c>
      <c r="CL641" s="136">
        <v>3</v>
      </c>
      <c r="CM641" s="259">
        <v>42161</v>
      </c>
      <c r="CO641" s="137" t="s">
        <v>8405</v>
      </c>
    </row>
    <row r="642" spans="1:93">
      <c r="A642" s="258">
        <v>1065</v>
      </c>
      <c r="B642" s="235">
        <v>189</v>
      </c>
      <c r="C642" s="235" t="s">
        <v>7671</v>
      </c>
      <c r="D642" s="235" t="s">
        <v>7500</v>
      </c>
      <c r="E642" s="235" t="s">
        <v>7671</v>
      </c>
      <c r="F642" s="235" t="s">
        <v>8544</v>
      </c>
      <c r="G642" s="235" t="str">
        <f t="shared" si="331"/>
        <v>Rapsodyn</v>
      </c>
      <c r="H642" s="235" t="s">
        <v>267</v>
      </c>
      <c r="I642" s="235">
        <v>1</v>
      </c>
      <c r="J642" s="235">
        <v>9053</v>
      </c>
      <c r="K642" s="235">
        <v>43</v>
      </c>
      <c r="L642" s="235">
        <f t="shared" si="323"/>
        <v>115</v>
      </c>
      <c r="M642" s="235">
        <v>3</v>
      </c>
      <c r="N642" s="235">
        <v>7</v>
      </c>
      <c r="O642" s="248">
        <v>42048</v>
      </c>
      <c r="P642" s="136">
        <v>6.3</v>
      </c>
      <c r="Q642" s="264">
        <v>42204</v>
      </c>
      <c r="V642" s="219" t="s">
        <v>8379</v>
      </c>
      <c r="X642">
        <v>15.55</v>
      </c>
      <c r="AB642" s="219" t="s">
        <v>8379</v>
      </c>
      <c r="AC642" s="219" t="s">
        <v>8379</v>
      </c>
      <c r="AD642" s="219" t="s">
        <v>8379</v>
      </c>
      <c r="AE642" s="219" t="s">
        <v>8379</v>
      </c>
      <c r="AF642" s="219" t="s">
        <v>8379</v>
      </c>
      <c r="AG642" s="219" t="s">
        <v>8379</v>
      </c>
      <c r="AH642" s="219" t="s">
        <v>8379</v>
      </c>
      <c r="AI642" s="219" t="s">
        <v>8379</v>
      </c>
      <c r="AJ642" t="s">
        <v>8379</v>
      </c>
      <c r="AK642" t="s">
        <v>8379</v>
      </c>
      <c r="AL642" s="260">
        <v>160</v>
      </c>
      <c r="AN642" s="235">
        <v>72</v>
      </c>
      <c r="AO642" s="242">
        <v>42076</v>
      </c>
      <c r="AP642" s="235">
        <v>110</v>
      </c>
      <c r="AQ642" s="242">
        <v>42114</v>
      </c>
      <c r="AR642" s="136">
        <v>146</v>
      </c>
      <c r="AS642" s="297">
        <f t="shared" si="337"/>
        <v>146</v>
      </c>
      <c r="AT642" s="290">
        <v>42150</v>
      </c>
      <c r="AU642" s="298"/>
      <c r="BF642" s="219" t="s">
        <v>8379</v>
      </c>
      <c r="BG642" s="219" t="s">
        <v>8379</v>
      </c>
      <c r="BH642" s="219" t="s">
        <v>8379</v>
      </c>
      <c r="BI642" s="219" t="s">
        <v>8379</v>
      </c>
      <c r="BJ642" s="219" t="s">
        <v>8379</v>
      </c>
      <c r="BK642" s="219" t="s">
        <v>8379</v>
      </c>
      <c r="BL642" s="219" t="s">
        <v>8379</v>
      </c>
      <c r="BM642" s="219" t="s">
        <v>8379</v>
      </c>
      <c r="BP642" s="219" t="s">
        <v>8379</v>
      </c>
      <c r="BQ642" s="219" t="s">
        <v>8379</v>
      </c>
      <c r="BR642" s="219" t="s">
        <v>8379</v>
      </c>
      <c r="BS642" s="219" t="s">
        <v>8379</v>
      </c>
      <c r="BT642" s="219" t="s">
        <v>8379</v>
      </c>
      <c r="BU642" s="219" t="s">
        <v>8379</v>
      </c>
      <c r="BV642" s="219" t="s">
        <v>8379</v>
      </c>
      <c r="BW642" s="219" t="s">
        <v>8379</v>
      </c>
      <c r="BX642" s="219" t="s">
        <v>8379</v>
      </c>
      <c r="BY642" s="219" t="s">
        <v>8379</v>
      </c>
      <c r="CB642" s="267">
        <v>3.58</v>
      </c>
      <c r="CD642" s="277" t="s">
        <v>8379</v>
      </c>
      <c r="CE642" t="s">
        <v>8379</v>
      </c>
      <c r="CF642" s="219" t="s">
        <v>8379</v>
      </c>
      <c r="CG642" s="219" t="s">
        <v>8379</v>
      </c>
      <c r="CH642" s="136">
        <v>2</v>
      </c>
      <c r="CI642" s="136">
        <v>6</v>
      </c>
      <c r="CL642" s="136">
        <v>1</v>
      </c>
      <c r="CM642" s="259">
        <v>42161</v>
      </c>
      <c r="CN642" s="137" t="s">
        <v>8406</v>
      </c>
    </row>
    <row r="643" spans="1:93">
      <c r="A643" s="258">
        <v>1067</v>
      </c>
      <c r="B643" s="235">
        <v>191</v>
      </c>
      <c r="C643" s="235" t="s">
        <v>7776</v>
      </c>
      <c r="D643" s="235" t="s">
        <v>7574</v>
      </c>
      <c r="E643" s="235" t="s">
        <v>7776</v>
      </c>
      <c r="F643" s="235" t="s">
        <v>8577</v>
      </c>
      <c r="G643" s="235" t="str">
        <f t="shared" si="331"/>
        <v>Rapsodyn</v>
      </c>
      <c r="H643" s="235" t="s">
        <v>267</v>
      </c>
      <c r="I643" s="235">
        <v>1</v>
      </c>
      <c r="J643" s="235">
        <v>9147</v>
      </c>
      <c r="K643" s="235">
        <v>45</v>
      </c>
      <c r="L643" s="235">
        <f t="shared" si="323"/>
        <v>117</v>
      </c>
      <c r="M643" s="235">
        <v>3</v>
      </c>
      <c r="N643" s="235">
        <v>7</v>
      </c>
      <c r="O643" s="248">
        <v>42048</v>
      </c>
      <c r="P643" s="136">
        <v>7.21</v>
      </c>
      <c r="Q643" s="264">
        <v>42204</v>
      </c>
      <c r="V643" s="219">
        <f t="shared" ref="V643:V646" si="338">+BR643*AF643/100</f>
        <v>21.161208875097611</v>
      </c>
      <c r="X643">
        <v>15.55</v>
      </c>
      <c r="AB643" s="220">
        <f t="shared" ref="AB643:AB646" si="339">+AF643*BT643/100</f>
        <v>7.437341410853354</v>
      </c>
      <c r="AD643" s="221">
        <f t="shared" ref="AD643:AD646" si="340">+(AF643/AJ643)*10000</f>
        <v>101147.70747410138</v>
      </c>
      <c r="AF643" s="220">
        <f t="shared" ref="AF643:AF646" si="341">($P643/$X643)*(((100-$CD643)/100*(100-2)/100))*100</f>
        <v>43.088923383967185</v>
      </c>
      <c r="AH643" s="220">
        <f t="shared" ref="AH643:AH646" si="342">($P643/$X643)*(((100-$CD643)/(100-9)*(100-2)/(100-2))*100)</f>
        <v>48.316801282762036</v>
      </c>
      <c r="AJ643">
        <v>4.26</v>
      </c>
      <c r="AK643" s="285" t="s">
        <v>8399</v>
      </c>
      <c r="AL643" s="260">
        <v>180</v>
      </c>
      <c r="AN643" s="235">
        <v>70</v>
      </c>
      <c r="AO643" s="242">
        <v>42074</v>
      </c>
      <c r="AP643" s="235">
        <v>106</v>
      </c>
      <c r="AQ643" s="242">
        <v>42110</v>
      </c>
      <c r="AR643" s="136">
        <v>134</v>
      </c>
      <c r="AS643" s="297">
        <f t="shared" si="337"/>
        <v>134</v>
      </c>
      <c r="AT643" s="290">
        <v>42138</v>
      </c>
      <c r="AU643" s="298"/>
      <c r="BF643" s="282">
        <v>-4.0574989318847656</v>
      </c>
      <c r="BG643" s="283">
        <v>42234</v>
      </c>
      <c r="BL643" s="296">
        <v>65.259017944335937</v>
      </c>
      <c r="BM643" s="283">
        <v>42234</v>
      </c>
      <c r="BP643" s="282">
        <v>3.1545720100402832</v>
      </c>
      <c r="BQ643" s="283">
        <v>42234</v>
      </c>
      <c r="BR643" s="282">
        <v>49.110553741455078</v>
      </c>
      <c r="BS643" s="283">
        <v>42234</v>
      </c>
      <c r="BT643" s="282">
        <v>17.260448455810547</v>
      </c>
      <c r="BU643" s="283">
        <v>42234</v>
      </c>
      <c r="BV643" s="282">
        <v>12.416150093078613</v>
      </c>
      <c r="BW643" s="283">
        <v>42234</v>
      </c>
      <c r="BX643" s="282">
        <v>5.6571044921875</v>
      </c>
      <c r="BY643" s="283">
        <v>42234</v>
      </c>
      <c r="CB643" s="267">
        <v>3.25</v>
      </c>
      <c r="CD643" s="282">
        <v>5.1724137931034457</v>
      </c>
      <c r="CE643" s="291" t="s">
        <v>8399</v>
      </c>
      <c r="CH643" s="136">
        <v>2</v>
      </c>
      <c r="CI643" s="136">
        <v>2</v>
      </c>
      <c r="CL643" s="136">
        <v>2</v>
      </c>
      <c r="CM643" s="259">
        <v>42161</v>
      </c>
      <c r="CN643" s="137" t="s">
        <v>8406</v>
      </c>
    </row>
    <row r="644" spans="1:93">
      <c r="A644" s="258">
        <v>1070</v>
      </c>
      <c r="B644" s="235">
        <v>194</v>
      </c>
      <c r="C644" s="235" t="s">
        <v>7690</v>
      </c>
      <c r="D644" s="235" t="s">
        <v>7516</v>
      </c>
      <c r="E644" s="235" t="s">
        <v>7690</v>
      </c>
      <c r="F644" s="235" t="s">
        <v>8491</v>
      </c>
      <c r="G644" s="235" t="str">
        <f t="shared" si="331"/>
        <v>Rapsodyn</v>
      </c>
      <c r="H644" s="235" t="s">
        <v>267</v>
      </c>
      <c r="I644" s="235">
        <v>1</v>
      </c>
      <c r="J644" s="235">
        <v>9072</v>
      </c>
      <c r="K644" s="235">
        <v>48</v>
      </c>
      <c r="L644" s="235">
        <f t="shared" ref="L644:L684" si="343">72+K644</f>
        <v>120</v>
      </c>
      <c r="M644" s="235">
        <v>3</v>
      </c>
      <c r="N644" s="235">
        <v>7</v>
      </c>
      <c r="O644" s="248">
        <v>42048</v>
      </c>
      <c r="P644" s="136">
        <v>4.99</v>
      </c>
      <c r="Q644" s="264">
        <v>42204</v>
      </c>
      <c r="V644" s="219">
        <f t="shared" si="338"/>
        <v>14.496788628594464</v>
      </c>
      <c r="X644">
        <v>15.55</v>
      </c>
      <c r="AB644" s="220">
        <f t="shared" si="339"/>
        <v>5.6524075142584209</v>
      </c>
      <c r="AD644" s="221">
        <f t="shared" si="340"/>
        <v>77373.134366913393</v>
      </c>
      <c r="AF644" s="220">
        <f t="shared" si="341"/>
        <v>29.63391046252783</v>
      </c>
      <c r="AH644" s="220">
        <f t="shared" si="342"/>
        <v>33.229323236743475</v>
      </c>
      <c r="AJ644">
        <v>3.83</v>
      </c>
      <c r="AK644" s="285" t="s">
        <v>8399</v>
      </c>
      <c r="AL644" s="260">
        <v>155</v>
      </c>
      <c r="AN644" s="235">
        <v>75</v>
      </c>
      <c r="AO644" s="242">
        <v>42079</v>
      </c>
      <c r="AP644" s="235">
        <v>106</v>
      </c>
      <c r="AQ644" s="242">
        <v>42110</v>
      </c>
      <c r="AR644" s="136">
        <v>138</v>
      </c>
      <c r="AS644" s="297">
        <f t="shared" si="337"/>
        <v>138</v>
      </c>
      <c r="AT644" s="290">
        <v>42142</v>
      </c>
      <c r="AU644" s="298"/>
      <c r="BF644" s="282">
        <v>-5.5840630531311035</v>
      </c>
      <c r="BG644" s="283">
        <v>42234</v>
      </c>
      <c r="BL644" s="296">
        <v>63.073451995849609</v>
      </c>
      <c r="BM644" s="283">
        <v>42234</v>
      </c>
      <c r="BP644" s="282">
        <v>3.5936369895935059</v>
      </c>
      <c r="BQ644" s="283">
        <v>42234</v>
      </c>
      <c r="BR644" s="282">
        <v>48.919593811035156</v>
      </c>
      <c r="BS644" s="283">
        <v>42234</v>
      </c>
      <c r="BT644" s="282">
        <v>19.074119567871094</v>
      </c>
      <c r="BU644" s="283">
        <v>42234</v>
      </c>
      <c r="BV644" s="282">
        <v>14.332756996154785</v>
      </c>
      <c r="BW644" s="283">
        <v>42234</v>
      </c>
      <c r="BX644" s="282">
        <v>5.3114166259765625</v>
      </c>
      <c r="BY644" s="283">
        <v>42234</v>
      </c>
      <c r="CB644" s="267">
        <v>4.21</v>
      </c>
      <c r="CD644" s="282">
        <v>5.7692307692307656</v>
      </c>
      <c r="CE644" s="291" t="s">
        <v>8399</v>
      </c>
      <c r="CH644" s="136">
        <v>1</v>
      </c>
      <c r="CI644" s="136">
        <v>3</v>
      </c>
      <c r="CL644" s="136">
        <v>1</v>
      </c>
      <c r="CM644" s="259">
        <v>42161</v>
      </c>
      <c r="CN644" s="137" t="s">
        <v>8406</v>
      </c>
    </row>
    <row r="645" spans="1:93">
      <c r="A645" s="258">
        <v>1071</v>
      </c>
      <c r="B645" s="235">
        <v>195</v>
      </c>
      <c r="C645" s="235" t="s">
        <v>7781</v>
      </c>
      <c r="D645" s="235" t="s">
        <v>7579</v>
      </c>
      <c r="E645" s="235" t="s">
        <v>7781</v>
      </c>
      <c r="F645" s="235" t="s">
        <v>8569</v>
      </c>
      <c r="G645" s="235" t="str">
        <f t="shared" si="331"/>
        <v>Rapsodyn</v>
      </c>
      <c r="H645" s="235" t="s">
        <v>267</v>
      </c>
      <c r="I645" s="235">
        <v>1</v>
      </c>
      <c r="J645" s="235">
        <v>9152</v>
      </c>
      <c r="K645" s="235">
        <v>49</v>
      </c>
      <c r="L645" s="235">
        <f t="shared" si="343"/>
        <v>121</v>
      </c>
      <c r="M645" s="235">
        <v>3</v>
      </c>
      <c r="N645" s="235">
        <v>7</v>
      </c>
      <c r="O645" s="248">
        <v>42048</v>
      </c>
      <c r="P645" s="136">
        <v>7.36</v>
      </c>
      <c r="Q645" s="264">
        <v>42204</v>
      </c>
      <c r="V645" s="219">
        <f t="shared" si="338"/>
        <v>21.416665859924809</v>
      </c>
      <c r="X645">
        <v>15.55</v>
      </c>
      <c r="AB645" s="220">
        <f t="shared" si="339"/>
        <v>7.9971234708143903</v>
      </c>
      <c r="AD645" s="221">
        <f t="shared" si="340"/>
        <v>82408.708944317812</v>
      </c>
      <c r="AF645" s="220">
        <f t="shared" si="341"/>
        <v>43.759024449432751</v>
      </c>
      <c r="AH645" s="220">
        <f t="shared" si="342"/>
        <v>49.068204137062963</v>
      </c>
      <c r="AJ645">
        <v>5.31</v>
      </c>
      <c r="AK645" s="285" t="s">
        <v>8400</v>
      </c>
      <c r="AL645" s="260">
        <v>180</v>
      </c>
      <c r="AN645" s="235">
        <v>70</v>
      </c>
      <c r="AO645" s="242">
        <v>42074</v>
      </c>
      <c r="AP645" s="235">
        <v>106</v>
      </c>
      <c r="AQ645" s="242">
        <v>42110</v>
      </c>
      <c r="AR645" s="136">
        <v>131</v>
      </c>
      <c r="AS645" s="297">
        <f t="shared" si="337"/>
        <v>131</v>
      </c>
      <c r="AT645" s="290">
        <v>42135</v>
      </c>
      <c r="AU645" s="298"/>
      <c r="BF645" s="282">
        <v>-4.372826099395752</v>
      </c>
      <c r="BG645" s="283">
        <v>42234</v>
      </c>
      <c r="BL645" s="296">
        <v>62.320522308349609</v>
      </c>
      <c r="BM645" s="283">
        <v>42234</v>
      </c>
      <c r="BP645" s="282">
        <v>3.3939480781555176</v>
      </c>
      <c r="BQ645" s="283">
        <v>42234</v>
      </c>
      <c r="BR645" s="282">
        <v>48.942283630371094</v>
      </c>
      <c r="BS645" s="283">
        <v>42234</v>
      </c>
      <c r="BT645" s="282">
        <v>18.275369644165039</v>
      </c>
      <c r="BU645" s="283">
        <v>42234</v>
      </c>
      <c r="BV645" s="282">
        <v>7.1857399940490723</v>
      </c>
      <c r="BW645" s="283">
        <v>42234</v>
      </c>
      <c r="BX645" s="282">
        <v>5.4873733520507812</v>
      </c>
      <c r="BY645" s="283">
        <v>42234</v>
      </c>
      <c r="CB645" s="267">
        <v>4.5999999999999996</v>
      </c>
      <c r="CD645" s="282">
        <v>5.660377358490563</v>
      </c>
      <c r="CE645" s="291" t="s">
        <v>8400</v>
      </c>
      <c r="CH645" s="136">
        <v>3</v>
      </c>
      <c r="CI645" s="136">
        <v>3</v>
      </c>
      <c r="CL645" s="136">
        <v>2</v>
      </c>
      <c r="CM645" s="259">
        <v>42161</v>
      </c>
      <c r="CN645" s="137" t="s">
        <v>8406</v>
      </c>
    </row>
    <row r="646" spans="1:93">
      <c r="A646" s="258">
        <v>1072</v>
      </c>
      <c r="B646" s="235">
        <v>196</v>
      </c>
      <c r="C646" s="235" t="s">
        <v>7665</v>
      </c>
      <c r="D646" s="235" t="s">
        <v>7819</v>
      </c>
      <c r="E646" s="235" t="s">
        <v>7665</v>
      </c>
      <c r="F646" s="235" t="s">
        <v>8581</v>
      </c>
      <c r="G646" s="235" t="str">
        <f t="shared" si="331"/>
        <v>Rapsodyn</v>
      </c>
      <c r="H646" s="235" t="s">
        <v>267</v>
      </c>
      <c r="I646" s="235">
        <v>1</v>
      </c>
      <c r="J646" s="235">
        <v>9048</v>
      </c>
      <c r="K646" s="235">
        <v>50</v>
      </c>
      <c r="L646" s="235">
        <f t="shared" si="343"/>
        <v>122</v>
      </c>
      <c r="M646" s="235">
        <v>3</v>
      </c>
      <c r="N646" s="235">
        <v>7</v>
      </c>
      <c r="O646" s="248">
        <v>42048</v>
      </c>
      <c r="P646" s="136">
        <v>5.25</v>
      </c>
      <c r="Q646" s="264">
        <v>42204</v>
      </c>
      <c r="V646" s="219">
        <f t="shared" si="338"/>
        <v>14.201276886624155</v>
      </c>
      <c r="X646">
        <v>15.55</v>
      </c>
      <c r="AB646" s="220">
        <f t="shared" si="339"/>
        <v>6.0674880006305649</v>
      </c>
      <c r="AD646" s="221">
        <f t="shared" si="340"/>
        <v>73172.767746722719</v>
      </c>
      <c r="AF646" s="220">
        <f t="shared" si="341"/>
        <v>30.439871382636653</v>
      </c>
      <c r="AH646" s="220">
        <f t="shared" si="342"/>
        <v>34.133069502844414</v>
      </c>
      <c r="AJ646">
        <v>4.16</v>
      </c>
      <c r="AK646" s="285" t="s">
        <v>8400</v>
      </c>
      <c r="AL646" s="260">
        <v>165</v>
      </c>
      <c r="AN646" s="235">
        <v>79</v>
      </c>
      <c r="AO646" s="242">
        <v>42083</v>
      </c>
      <c r="AP646" s="235">
        <v>110</v>
      </c>
      <c r="AQ646" s="242">
        <v>42114</v>
      </c>
      <c r="AR646" s="136">
        <v>136</v>
      </c>
      <c r="AS646" s="297">
        <f t="shared" si="337"/>
        <v>136</v>
      </c>
      <c r="AT646" s="290">
        <v>42140</v>
      </c>
      <c r="AU646" s="298"/>
      <c r="BF646" s="282">
        <v>-3.4588239192962646</v>
      </c>
      <c r="BG646" s="283">
        <v>42234</v>
      </c>
      <c r="BL646" s="296">
        <v>60.877159118652344</v>
      </c>
      <c r="BM646" s="283">
        <v>42234</v>
      </c>
      <c r="BP646" s="282">
        <v>3.5792839527130127</v>
      </c>
      <c r="BQ646" s="283">
        <v>42234</v>
      </c>
      <c r="BR646" s="282">
        <v>46.653537750244141</v>
      </c>
      <c r="BS646" s="283">
        <v>42234</v>
      </c>
      <c r="BT646" s="282">
        <v>19.932699203491211</v>
      </c>
      <c r="BU646" s="283">
        <v>42234</v>
      </c>
      <c r="BV646" s="282">
        <v>18.392911911010742</v>
      </c>
      <c r="BW646" s="283">
        <v>42234</v>
      </c>
      <c r="BX646" s="282">
        <v>5.5444183349609375</v>
      </c>
      <c r="BY646" s="283">
        <v>42234</v>
      </c>
      <c r="CB646" s="267">
        <v>4.49</v>
      </c>
      <c r="CD646" s="282">
        <v>8.0000000000000071</v>
      </c>
      <c r="CE646" s="291" t="s">
        <v>8400</v>
      </c>
      <c r="CH646" s="136">
        <v>5</v>
      </c>
      <c r="CI646" s="136">
        <v>4</v>
      </c>
      <c r="CL646" s="136">
        <v>1</v>
      </c>
      <c r="CM646" s="259">
        <v>42161</v>
      </c>
      <c r="CN646" s="137" t="s">
        <v>8406</v>
      </c>
    </row>
    <row r="647" spans="1:93">
      <c r="A647" s="258">
        <v>1073</v>
      </c>
      <c r="B647" s="235">
        <v>197</v>
      </c>
      <c r="C647" s="235" t="s">
        <v>7576</v>
      </c>
      <c r="D647" s="235"/>
      <c r="E647" s="235"/>
      <c r="F647" s="235"/>
      <c r="G647" s="235"/>
      <c r="H647" s="235" t="s">
        <v>267</v>
      </c>
      <c r="I647" s="235">
        <v>1</v>
      </c>
      <c r="K647" s="235">
        <v>51</v>
      </c>
      <c r="L647" s="235">
        <f t="shared" si="343"/>
        <v>123</v>
      </c>
      <c r="M647" s="235">
        <v>3</v>
      </c>
      <c r="O647" s="248">
        <v>42048</v>
      </c>
      <c r="V647" s="219"/>
      <c r="X647">
        <v>15.55</v>
      </c>
      <c r="AB647" s="220"/>
      <c r="AD647" s="221"/>
      <c r="AF647" s="220"/>
      <c r="AH647" s="220"/>
      <c r="AJ647" s="286"/>
      <c r="AK647" s="285"/>
      <c r="AL647" s="260"/>
      <c r="AN647" s="235">
        <v>70</v>
      </c>
      <c r="AO647" s="242">
        <v>42074</v>
      </c>
      <c r="AP647" s="235">
        <v>106</v>
      </c>
      <c r="AQ647" s="242">
        <v>42110</v>
      </c>
      <c r="AS647" s="297"/>
      <c r="AT647" s="290"/>
      <c r="AU647" s="298"/>
      <c r="BF647" s="282"/>
      <c r="BG647" s="235"/>
      <c r="BL647" s="296"/>
      <c r="BM647" s="235"/>
      <c r="BP647" s="282"/>
      <c r="BQ647" s="235"/>
      <c r="BR647" s="282"/>
      <c r="BS647" s="235"/>
      <c r="BT647" s="282"/>
      <c r="BU647" s="235"/>
      <c r="BV647" s="282"/>
      <c r="BW647" s="235"/>
      <c r="BX647" s="282"/>
      <c r="BY647" s="235"/>
      <c r="CB647" s="267"/>
      <c r="CD647" s="282"/>
      <c r="CE647" s="291"/>
      <c r="CL647" s="136">
        <v>2</v>
      </c>
      <c r="CM647" s="259">
        <v>42161</v>
      </c>
    </row>
    <row r="648" spans="1:93">
      <c r="A648" s="258">
        <v>1074</v>
      </c>
      <c r="B648" s="235">
        <v>198</v>
      </c>
      <c r="C648" s="235" t="s">
        <v>7576</v>
      </c>
      <c r="D648" s="235"/>
      <c r="E648" s="235"/>
      <c r="F648" s="235"/>
      <c r="G648" s="235"/>
      <c r="H648" s="235" t="s">
        <v>267</v>
      </c>
      <c r="I648" s="235">
        <v>1</v>
      </c>
      <c r="K648" s="235">
        <v>52</v>
      </c>
      <c r="L648" s="235">
        <f t="shared" si="343"/>
        <v>124</v>
      </c>
      <c r="M648" s="235">
        <v>3</v>
      </c>
      <c r="O648" s="248">
        <v>42048</v>
      </c>
      <c r="V648" s="219"/>
      <c r="X648">
        <v>15.55</v>
      </c>
      <c r="AB648" s="220"/>
      <c r="AD648" s="221"/>
      <c r="AF648" s="220"/>
      <c r="AH648" s="220"/>
      <c r="AJ648" s="286"/>
      <c r="AK648" s="285"/>
      <c r="AL648" s="260"/>
      <c r="AN648" s="235">
        <v>70</v>
      </c>
      <c r="AO648" s="242">
        <v>42074</v>
      </c>
      <c r="AP648" s="235">
        <v>106</v>
      </c>
      <c r="AQ648" s="242">
        <v>42110</v>
      </c>
      <c r="AS648" s="297"/>
      <c r="AT648" s="290"/>
      <c r="AU648" s="298"/>
      <c r="BF648" s="282"/>
      <c r="BG648" s="235"/>
      <c r="BL648" s="296"/>
      <c r="BM648" s="235"/>
      <c r="BP648" s="282"/>
      <c r="BQ648" s="235"/>
      <c r="BR648" s="282"/>
      <c r="BS648" s="235"/>
      <c r="BT648" s="282"/>
      <c r="BU648" s="235"/>
      <c r="BV648" s="282"/>
      <c r="BW648" s="235"/>
      <c r="BX648" s="282"/>
      <c r="BY648" s="235"/>
      <c r="CB648" s="267"/>
      <c r="CD648" s="282"/>
      <c r="CE648" s="291"/>
      <c r="CL648" s="136">
        <v>2</v>
      </c>
      <c r="CM648" s="259">
        <v>42161</v>
      </c>
    </row>
    <row r="649" spans="1:93">
      <c r="A649" s="258">
        <v>1075</v>
      </c>
      <c r="B649" s="235">
        <v>199</v>
      </c>
      <c r="C649" s="235" t="s">
        <v>7768</v>
      </c>
      <c r="D649" s="235" t="s">
        <v>7844</v>
      </c>
      <c r="E649" s="235" t="s">
        <v>7768</v>
      </c>
      <c r="F649" s="235" t="s">
        <v>8481</v>
      </c>
      <c r="G649" s="235" t="str">
        <f t="shared" ref="G649:G662" si="344">IF(MID(C649,1,3)="BGA","Complement","Rapsodyn")</f>
        <v>Rapsodyn</v>
      </c>
      <c r="H649" s="235" t="s">
        <v>267</v>
      </c>
      <c r="I649" s="235">
        <v>1</v>
      </c>
      <c r="J649" s="235">
        <v>9139</v>
      </c>
      <c r="K649" s="235">
        <v>53</v>
      </c>
      <c r="L649" s="235">
        <f t="shared" si="343"/>
        <v>125</v>
      </c>
      <c r="M649" s="235">
        <v>3</v>
      </c>
      <c r="N649" s="235">
        <v>7</v>
      </c>
      <c r="O649" s="248">
        <v>42048</v>
      </c>
      <c r="P649" s="136">
        <v>7.66</v>
      </c>
      <c r="Q649" s="264">
        <v>42204</v>
      </c>
      <c r="V649" s="219">
        <f t="shared" ref="V649:V662" si="345">+BR649*AF649/100</f>
        <v>22.496618128943268</v>
      </c>
      <c r="X649">
        <v>15.55</v>
      </c>
      <c r="AB649" s="220">
        <f t="shared" ref="AB649:AB662" si="346">+AF649*BT649/100</f>
        <v>8.3189280845757008</v>
      </c>
      <c r="AD649" s="221">
        <f t="shared" ref="AD649:AD662" si="347">+(AF649/AJ649)*10000</f>
        <v>86618.255665471777</v>
      </c>
      <c r="AF649" s="220">
        <f t="shared" ref="AF649:AF662" si="348">($P649/$X649)*(((100-$CD649)/100*(100-2)/100))*100</f>
        <v>45.734438991369096</v>
      </c>
      <c r="AH649" s="220">
        <f t="shared" ref="AH649:AH662" si="349">($P649/$X649)*(((100-$CD649)/(100-9)*(100-2)/(100-2))*100)</f>
        <v>51.283291086980377</v>
      </c>
      <c r="AJ649">
        <v>5.28</v>
      </c>
      <c r="AK649" s="285" t="s">
        <v>8399</v>
      </c>
      <c r="AL649" s="260">
        <v>175</v>
      </c>
      <c r="AN649" s="235">
        <v>70</v>
      </c>
      <c r="AO649" s="242">
        <v>42074</v>
      </c>
      <c r="AP649" s="235">
        <v>106</v>
      </c>
      <c r="AQ649" s="242">
        <v>42110</v>
      </c>
      <c r="AR649" s="136">
        <v>131</v>
      </c>
      <c r="AS649" s="297">
        <f t="shared" ref="AS649:AS662" si="350">IF(AR649=0,,AR649)</f>
        <v>131</v>
      </c>
      <c r="AT649" s="290">
        <v>42135</v>
      </c>
      <c r="AU649" s="298"/>
      <c r="BF649" s="282">
        <v>-4.8011889457702637</v>
      </c>
      <c r="BG649" s="283">
        <v>42234</v>
      </c>
      <c r="BL649" s="296">
        <v>64.085067749023438</v>
      </c>
      <c r="BM649" s="283">
        <v>42234</v>
      </c>
      <c r="BP649" s="282">
        <v>3.4152100086212158</v>
      </c>
      <c r="BQ649" s="283">
        <v>42234</v>
      </c>
      <c r="BR649" s="282">
        <v>49.189666748046875</v>
      </c>
      <c r="BS649" s="283">
        <v>42234</v>
      </c>
      <c r="BT649" s="282">
        <v>18.18963623046875</v>
      </c>
      <c r="BU649" s="283">
        <v>42234</v>
      </c>
      <c r="BV649" s="282">
        <v>17.407987594604492</v>
      </c>
      <c r="BW649" s="283">
        <v>42234</v>
      </c>
      <c r="BX649" s="282">
        <v>5.5244674682617187</v>
      </c>
      <c r="BY649" s="283">
        <v>42234</v>
      </c>
      <c r="CB649" s="267">
        <v>4.1399999999999997</v>
      </c>
      <c r="CD649" s="282">
        <v>5.2631578947368389</v>
      </c>
      <c r="CE649" s="291" t="s">
        <v>8399</v>
      </c>
      <c r="CH649" s="136">
        <v>2</v>
      </c>
      <c r="CI649" s="136">
        <v>3</v>
      </c>
      <c r="CL649" s="136">
        <v>1</v>
      </c>
      <c r="CM649" s="259">
        <v>42161</v>
      </c>
      <c r="CN649" s="137" t="s">
        <v>8406</v>
      </c>
    </row>
    <row r="650" spans="1:93">
      <c r="A650" s="258">
        <v>1076</v>
      </c>
      <c r="B650" s="235">
        <v>200</v>
      </c>
      <c r="C650" s="235" t="s">
        <v>7788</v>
      </c>
      <c r="D650" s="235" t="s">
        <v>7586</v>
      </c>
      <c r="E650" s="235" t="s">
        <v>7788</v>
      </c>
      <c r="F650" s="235" t="s">
        <v>8555</v>
      </c>
      <c r="G650" s="235" t="str">
        <f t="shared" si="344"/>
        <v>Rapsodyn</v>
      </c>
      <c r="H650" s="235" t="s">
        <v>267</v>
      </c>
      <c r="I650" s="235">
        <v>1</v>
      </c>
      <c r="J650" s="235">
        <v>9159</v>
      </c>
      <c r="K650" s="235">
        <v>54</v>
      </c>
      <c r="L650" s="235">
        <f t="shared" si="343"/>
        <v>126</v>
      </c>
      <c r="M650" s="235">
        <v>3</v>
      </c>
      <c r="N650" s="235">
        <v>3</v>
      </c>
      <c r="O650" s="248">
        <v>42048</v>
      </c>
      <c r="P650" s="136">
        <v>5.86</v>
      </c>
      <c r="Q650" s="264">
        <v>42204</v>
      </c>
      <c r="V650" s="219">
        <f t="shared" si="345"/>
        <v>16.173456636139754</v>
      </c>
      <c r="X650">
        <v>15.55</v>
      </c>
      <c r="AB650" s="220">
        <f t="shared" si="346"/>
        <v>6.1727274936362315</v>
      </c>
      <c r="AD650" s="221">
        <f t="shared" si="347"/>
        <v>77704.431886732535</v>
      </c>
      <c r="AF650" s="220">
        <f t="shared" si="348"/>
        <v>33.801427870728652</v>
      </c>
      <c r="AH650" s="220">
        <f t="shared" si="349"/>
        <v>37.902475746499952</v>
      </c>
      <c r="AJ650">
        <v>4.3499999999999996</v>
      </c>
      <c r="AK650" s="285" t="s">
        <v>8399</v>
      </c>
      <c r="AL650" s="260">
        <v>170</v>
      </c>
      <c r="AN650" s="235">
        <v>70</v>
      </c>
      <c r="AO650" s="242">
        <v>42074</v>
      </c>
      <c r="AP650" s="235">
        <v>110</v>
      </c>
      <c r="AQ650" s="242">
        <v>42114</v>
      </c>
      <c r="AR650" s="136">
        <v>135</v>
      </c>
      <c r="AS650" s="297">
        <f t="shared" si="350"/>
        <v>135</v>
      </c>
      <c r="AT650" s="290">
        <v>42139</v>
      </c>
      <c r="AU650" s="298"/>
      <c r="BF650" s="282">
        <v>-2.137502908706665</v>
      </c>
      <c r="BG650" s="283">
        <v>42234</v>
      </c>
      <c r="BL650" s="296">
        <v>62.595756530761719</v>
      </c>
      <c r="BM650" s="283">
        <v>42234</v>
      </c>
      <c r="BP650" s="282">
        <v>4.0535030364990234</v>
      </c>
      <c r="BQ650" s="283">
        <v>42234</v>
      </c>
      <c r="BR650" s="282">
        <v>47.848442077636719</v>
      </c>
      <c r="BS650" s="283">
        <v>42234</v>
      </c>
      <c r="BT650" s="282">
        <v>18.261735916137695</v>
      </c>
      <c r="BU650" s="283">
        <v>42234</v>
      </c>
      <c r="BV650" s="282">
        <v>15.439639091491699</v>
      </c>
      <c r="BW650" s="283">
        <v>42234</v>
      </c>
      <c r="BX650" s="282">
        <v>5.6873703002929687</v>
      </c>
      <c r="BY650" s="283">
        <v>42234</v>
      </c>
      <c r="CB650" s="267">
        <v>4.75</v>
      </c>
      <c r="CD650" s="282">
        <v>8.4745762711864394</v>
      </c>
      <c r="CE650" s="291" t="s">
        <v>8399</v>
      </c>
      <c r="CH650" s="136">
        <v>1</v>
      </c>
      <c r="CI650" s="136">
        <v>4</v>
      </c>
      <c r="CL650" s="136">
        <v>2</v>
      </c>
      <c r="CM650" s="259">
        <v>42161</v>
      </c>
      <c r="CN650" s="137" t="s">
        <v>8406</v>
      </c>
    </row>
    <row r="651" spans="1:93">
      <c r="A651" s="258">
        <v>1077</v>
      </c>
      <c r="B651" s="235">
        <v>201</v>
      </c>
      <c r="C651" s="235" t="s">
        <v>7674</v>
      </c>
      <c r="D651" s="235" t="s">
        <v>7503</v>
      </c>
      <c r="E651" s="235" t="s">
        <v>7674</v>
      </c>
      <c r="F651" s="235" t="s">
        <v>8501</v>
      </c>
      <c r="G651" s="235" t="str">
        <f t="shared" si="344"/>
        <v>Rapsodyn</v>
      </c>
      <c r="H651" s="235" t="s">
        <v>267</v>
      </c>
      <c r="I651" s="235">
        <v>1</v>
      </c>
      <c r="J651" s="235">
        <v>9056</v>
      </c>
      <c r="K651" s="235">
        <v>55</v>
      </c>
      <c r="L651" s="235">
        <f t="shared" si="343"/>
        <v>127</v>
      </c>
      <c r="M651" s="235">
        <v>3</v>
      </c>
      <c r="N651" s="235">
        <v>7</v>
      </c>
      <c r="O651" s="248">
        <v>42048</v>
      </c>
      <c r="P651" s="136">
        <v>5.79</v>
      </c>
      <c r="Q651" s="264">
        <v>42204</v>
      </c>
      <c r="V651" s="219">
        <f t="shared" si="345"/>
        <v>16.562582662882491</v>
      </c>
      <c r="X651">
        <v>15.55</v>
      </c>
      <c r="AB651" s="220">
        <f t="shared" si="346"/>
        <v>6.3428609120823332</v>
      </c>
      <c r="AD651" s="221">
        <f t="shared" si="347"/>
        <v>71641.028360417869</v>
      </c>
      <c r="AF651" s="220">
        <f t="shared" si="348"/>
        <v>34.602616698081832</v>
      </c>
      <c r="AH651" s="220">
        <f t="shared" si="349"/>
        <v>38.800870933036364</v>
      </c>
      <c r="AJ651">
        <v>4.83</v>
      </c>
      <c r="AK651" s="285" t="s">
        <v>8399</v>
      </c>
      <c r="AL651" s="260">
        <v>165</v>
      </c>
      <c r="AN651" s="235">
        <v>72</v>
      </c>
      <c r="AO651" s="242">
        <v>42076</v>
      </c>
      <c r="AP651" s="235">
        <v>104</v>
      </c>
      <c r="AQ651" s="242">
        <v>42108</v>
      </c>
      <c r="AR651" s="136">
        <v>131</v>
      </c>
      <c r="AS651" s="297">
        <f t="shared" si="350"/>
        <v>131</v>
      </c>
      <c r="AT651" s="290">
        <v>42135</v>
      </c>
      <c r="AU651" s="298"/>
      <c r="BF651" s="282">
        <v>-2.1504778861999512</v>
      </c>
      <c r="BG651" s="283">
        <v>42234</v>
      </c>
      <c r="BL651" s="296">
        <v>58.572647094726563</v>
      </c>
      <c r="BM651" s="283">
        <v>42234</v>
      </c>
      <c r="BP651" s="282">
        <v>3.5027430057525635</v>
      </c>
      <c r="BQ651" s="283">
        <v>42234</v>
      </c>
      <c r="BR651" s="282">
        <v>47.865116119384766</v>
      </c>
      <c r="BS651" s="283">
        <v>42234</v>
      </c>
      <c r="BT651" s="282">
        <v>18.330581665039063</v>
      </c>
      <c r="BU651" s="283">
        <v>42234</v>
      </c>
      <c r="BV651" s="282">
        <v>11.296854019165039</v>
      </c>
      <c r="BW651" s="283">
        <v>42234</v>
      </c>
      <c r="BX651" s="282">
        <v>5.2726516723632812</v>
      </c>
      <c r="BY651" s="283">
        <v>42234</v>
      </c>
      <c r="CB651" s="267">
        <v>2.92</v>
      </c>
      <c r="CD651" s="281">
        <v>5.1724137931034457</v>
      </c>
      <c r="CE651" s="291" t="s">
        <v>8399</v>
      </c>
      <c r="CH651" s="136">
        <v>1</v>
      </c>
      <c r="CI651" s="136">
        <v>4</v>
      </c>
      <c r="CL651" s="136">
        <v>1</v>
      </c>
      <c r="CM651" s="259">
        <v>42161</v>
      </c>
      <c r="CN651" s="137" t="s">
        <v>8406</v>
      </c>
    </row>
    <row r="652" spans="1:93">
      <c r="A652" s="258">
        <v>1078</v>
      </c>
      <c r="B652" s="235">
        <v>202</v>
      </c>
      <c r="C652" s="235" t="s">
        <v>7792</v>
      </c>
      <c r="D652" s="235" t="s">
        <v>7590</v>
      </c>
      <c r="E652" s="235" t="s">
        <v>7792</v>
      </c>
      <c r="F652" s="235" t="s">
        <v>8480</v>
      </c>
      <c r="G652" s="235" t="str">
        <f t="shared" si="344"/>
        <v>Rapsodyn</v>
      </c>
      <c r="H652" s="235" t="s">
        <v>267</v>
      </c>
      <c r="I652" s="235">
        <v>1</v>
      </c>
      <c r="J652" s="235">
        <v>9163</v>
      </c>
      <c r="K652" s="235">
        <v>56</v>
      </c>
      <c r="L652" s="235">
        <f t="shared" si="343"/>
        <v>128</v>
      </c>
      <c r="M652" s="235">
        <v>3</v>
      </c>
      <c r="N652" s="235">
        <v>7</v>
      </c>
      <c r="O652" s="248">
        <v>42048</v>
      </c>
      <c r="P652" s="136">
        <v>7.56</v>
      </c>
      <c r="Q652" s="264">
        <v>42204</v>
      </c>
      <c r="V652" s="219">
        <f t="shared" si="345"/>
        <v>22.852648667296197</v>
      </c>
      <c r="X652">
        <v>15.55</v>
      </c>
      <c r="AB652" s="220">
        <f t="shared" si="346"/>
        <v>7.4716047278285194</v>
      </c>
      <c r="AD652" s="221">
        <f t="shared" si="347"/>
        <v>117307.80473545747</v>
      </c>
      <c r="AF652" s="220">
        <f t="shared" si="348"/>
        <v>45.046197018415661</v>
      </c>
      <c r="AH652" s="220">
        <f t="shared" si="349"/>
        <v>50.511546331482023</v>
      </c>
      <c r="AJ652">
        <v>3.84</v>
      </c>
      <c r="AK652" s="285" t="s">
        <v>8399</v>
      </c>
      <c r="AL652" s="260">
        <v>175</v>
      </c>
      <c r="AN652" s="235">
        <v>70</v>
      </c>
      <c r="AO652" s="242">
        <v>42074</v>
      </c>
      <c r="AP652" s="235">
        <v>106</v>
      </c>
      <c r="AQ652" s="242">
        <v>42110</v>
      </c>
      <c r="AR652" s="136">
        <v>132</v>
      </c>
      <c r="AS652" s="297">
        <f t="shared" si="350"/>
        <v>132</v>
      </c>
      <c r="AT652" s="290">
        <v>42136</v>
      </c>
      <c r="AU652" s="298"/>
      <c r="BF652" s="282">
        <v>-7.2801837921142578</v>
      </c>
      <c r="BG652" s="283">
        <v>42234</v>
      </c>
      <c r="BL652" s="296">
        <v>64.281272888183594</v>
      </c>
      <c r="BM652" s="283">
        <v>42234</v>
      </c>
      <c r="BP652" s="282">
        <v>3.7513039112091064</v>
      </c>
      <c r="BQ652" s="283">
        <v>42234</v>
      </c>
      <c r="BR652" s="282">
        <v>50.731582641601562</v>
      </c>
      <c r="BS652" s="283">
        <v>42234</v>
      </c>
      <c r="BT652" s="282">
        <v>16.586538314819336</v>
      </c>
      <c r="BU652" s="283">
        <v>42234</v>
      </c>
      <c r="BV652" s="282">
        <v>12.552835464477539</v>
      </c>
      <c r="BW652" s="283">
        <v>42234</v>
      </c>
      <c r="BX652" s="282">
        <v>5.3420181274414062</v>
      </c>
      <c r="BY652" s="283">
        <v>42234</v>
      </c>
      <c r="CB652" s="267">
        <v>3.3</v>
      </c>
      <c r="CD652" s="282">
        <v>5.4545454545454515</v>
      </c>
      <c r="CE652" s="291" t="s">
        <v>8399</v>
      </c>
      <c r="CH652" s="136">
        <v>2</v>
      </c>
      <c r="CI652" s="136">
        <v>3</v>
      </c>
      <c r="CL652" s="136">
        <v>2</v>
      </c>
      <c r="CM652" s="259">
        <v>42161</v>
      </c>
      <c r="CN652" s="137" t="s">
        <v>8406</v>
      </c>
    </row>
    <row r="653" spans="1:93">
      <c r="A653" s="258">
        <v>1082</v>
      </c>
      <c r="B653" s="235">
        <v>206</v>
      </c>
      <c r="C653" s="235" t="s">
        <v>7700</v>
      </c>
      <c r="D653" s="235" t="s">
        <v>7526</v>
      </c>
      <c r="E653" s="235" t="s">
        <v>7700</v>
      </c>
      <c r="F653" s="235" t="s">
        <v>8516</v>
      </c>
      <c r="G653" s="235" t="str">
        <f t="shared" si="344"/>
        <v>Rapsodyn</v>
      </c>
      <c r="H653" s="235" t="s">
        <v>267</v>
      </c>
      <c r="I653" s="235">
        <v>1</v>
      </c>
      <c r="J653" s="235">
        <v>9082</v>
      </c>
      <c r="K653" s="235">
        <v>60</v>
      </c>
      <c r="L653" s="235">
        <f t="shared" si="343"/>
        <v>132</v>
      </c>
      <c r="M653" s="235">
        <v>3</v>
      </c>
      <c r="N653" s="235">
        <v>7</v>
      </c>
      <c r="O653" s="248">
        <v>42048</v>
      </c>
      <c r="P653" s="136">
        <v>6.28</v>
      </c>
      <c r="Q653" s="264">
        <v>42204</v>
      </c>
      <c r="V653" s="219">
        <f t="shared" si="345"/>
        <v>19.000135904907935</v>
      </c>
      <c r="X653">
        <v>15.55</v>
      </c>
      <c r="AB653" s="220">
        <f t="shared" si="346"/>
        <v>6.9583670946443519</v>
      </c>
      <c r="AD653" s="221">
        <f t="shared" si="347"/>
        <v>89711.793582938582</v>
      </c>
      <c r="AF653" s="220">
        <f t="shared" si="348"/>
        <v>38.845206621412402</v>
      </c>
      <c r="AH653" s="220">
        <f t="shared" si="349"/>
        <v>43.558204329908499</v>
      </c>
      <c r="AJ653">
        <v>4.33</v>
      </c>
      <c r="AK653" s="285" t="s">
        <v>8403</v>
      </c>
      <c r="AL653" s="260">
        <v>175</v>
      </c>
      <c r="AN653" s="235">
        <v>72</v>
      </c>
      <c r="AO653" s="242">
        <v>42076</v>
      </c>
      <c r="AP653" s="235">
        <v>110</v>
      </c>
      <c r="AQ653" s="242">
        <v>42114</v>
      </c>
      <c r="AR653" s="136">
        <v>133</v>
      </c>
      <c r="AS653" s="297">
        <f t="shared" si="350"/>
        <v>133</v>
      </c>
      <c r="AT653" s="290">
        <v>42137</v>
      </c>
      <c r="AU653" s="298"/>
      <c r="BF653" s="282">
        <v>2.7072679996490479</v>
      </c>
      <c r="BG653" s="283">
        <v>42234</v>
      </c>
      <c r="BL653" s="296">
        <v>62.969417572021484</v>
      </c>
      <c r="BM653" s="283">
        <v>42234</v>
      </c>
      <c r="BP653" s="282">
        <v>2.5545380115509033</v>
      </c>
      <c r="BQ653" s="283">
        <v>42234</v>
      </c>
      <c r="BR653" s="282">
        <v>48.912433624267578</v>
      </c>
      <c r="BS653" s="283">
        <v>42234</v>
      </c>
      <c r="BT653" s="282">
        <v>17.913064956665039</v>
      </c>
      <c r="BU653" s="283">
        <v>42234</v>
      </c>
      <c r="BV653" s="282">
        <v>12.125663757324219</v>
      </c>
      <c r="BW653" s="283">
        <v>42234</v>
      </c>
      <c r="BX653" s="282">
        <v>5.316741943359375</v>
      </c>
      <c r="BY653" s="283">
        <v>42234</v>
      </c>
      <c r="CB653" s="267">
        <v>3.01</v>
      </c>
      <c r="CD653" s="282">
        <v>1.8518518518518614</v>
      </c>
      <c r="CE653" s="291" t="s">
        <v>8403</v>
      </c>
      <c r="CH653" s="136">
        <v>2</v>
      </c>
      <c r="CI653" s="136">
        <v>5</v>
      </c>
      <c r="CL653" s="136">
        <v>2</v>
      </c>
      <c r="CM653" s="259">
        <v>42161</v>
      </c>
      <c r="CN653" s="137" t="s">
        <v>8406</v>
      </c>
    </row>
    <row r="654" spans="1:93">
      <c r="A654" s="258">
        <v>1083</v>
      </c>
      <c r="B654" s="235">
        <v>207</v>
      </c>
      <c r="C654" s="235" t="s">
        <v>7636</v>
      </c>
      <c r="D654" s="235" t="s">
        <v>7469</v>
      </c>
      <c r="E654" s="235" t="s">
        <v>7636</v>
      </c>
      <c r="F654" s="235" t="s">
        <v>8444</v>
      </c>
      <c r="G654" s="235" t="str">
        <f t="shared" si="344"/>
        <v>Rapsodyn</v>
      </c>
      <c r="H654" s="235" t="s">
        <v>267</v>
      </c>
      <c r="I654" s="235">
        <v>1</v>
      </c>
      <c r="J654" s="235">
        <v>9024</v>
      </c>
      <c r="K654" s="235">
        <v>61</v>
      </c>
      <c r="L654" s="235">
        <f t="shared" si="343"/>
        <v>133</v>
      </c>
      <c r="M654" s="235">
        <v>3</v>
      </c>
      <c r="N654" s="236">
        <v>9</v>
      </c>
      <c r="O654" s="248">
        <v>42048</v>
      </c>
      <c r="P654" s="136">
        <v>5.08</v>
      </c>
      <c r="Q654" s="264">
        <v>42204</v>
      </c>
      <c r="V654" s="219">
        <f t="shared" si="345"/>
        <v>14.097264496054471</v>
      </c>
      <c r="X654">
        <v>15.55</v>
      </c>
      <c r="AB654" s="220">
        <f t="shared" si="346"/>
        <v>6.87085698332017</v>
      </c>
      <c r="AD654" s="221">
        <f t="shared" si="347"/>
        <v>68345.321945275238</v>
      </c>
      <c r="AF654" s="220">
        <f t="shared" si="348"/>
        <v>30.892085519264402</v>
      </c>
      <c r="AH654" s="220">
        <f t="shared" si="349"/>
        <v>34.64014971884324</v>
      </c>
      <c r="AJ654">
        <v>4.5199999999999996</v>
      </c>
      <c r="AK654" s="285" t="s">
        <v>8402</v>
      </c>
      <c r="AL654" s="260">
        <v>170</v>
      </c>
      <c r="AN654" s="235">
        <v>72</v>
      </c>
      <c r="AO654" s="242">
        <v>42076</v>
      </c>
      <c r="AP654" s="235">
        <v>110</v>
      </c>
      <c r="AQ654" s="242">
        <v>42114</v>
      </c>
      <c r="AR654" s="136">
        <v>127</v>
      </c>
      <c r="AS654" s="297">
        <f t="shared" si="350"/>
        <v>127</v>
      </c>
      <c r="AT654" s="290">
        <v>42131</v>
      </c>
      <c r="AU654" s="298"/>
      <c r="BF654" s="282">
        <v>-6.0043811798095703</v>
      </c>
      <c r="BG654" s="283">
        <v>42234</v>
      </c>
      <c r="BL654" s="296">
        <v>65.600334167480469</v>
      </c>
      <c r="BM654" s="283">
        <v>42234</v>
      </c>
      <c r="BP654" s="282">
        <v>3.4384379386901855</v>
      </c>
      <c r="BQ654" s="283">
        <v>42234</v>
      </c>
      <c r="BR654" s="282">
        <v>45.633903503417969</v>
      </c>
      <c r="BS654" s="283">
        <v>42234</v>
      </c>
      <c r="BT654" s="282">
        <v>22.241479873657227</v>
      </c>
      <c r="BU654" s="283">
        <v>42234</v>
      </c>
      <c r="BV654" s="282">
        <v>64.957015991210938</v>
      </c>
      <c r="BW654" s="283">
        <v>42234</v>
      </c>
      <c r="BX654" s="282">
        <v>5.9754714965820313</v>
      </c>
      <c r="BY654" s="283">
        <v>42234</v>
      </c>
      <c r="CB654" s="267">
        <v>3.82</v>
      </c>
      <c r="CD654" s="282">
        <v>3.5087719298245648</v>
      </c>
      <c r="CE654" s="291" t="s">
        <v>8402</v>
      </c>
      <c r="CH654" s="136">
        <v>2</v>
      </c>
      <c r="CI654" s="136">
        <v>4</v>
      </c>
      <c r="CL654" s="136">
        <v>3</v>
      </c>
      <c r="CM654" s="259">
        <v>42161</v>
      </c>
      <c r="CN654" s="137" t="s">
        <v>8406</v>
      </c>
    </row>
    <row r="655" spans="1:93">
      <c r="A655" s="258">
        <v>1084</v>
      </c>
      <c r="B655" s="235">
        <v>208</v>
      </c>
      <c r="C655" s="235" t="s">
        <v>7709</v>
      </c>
      <c r="D655" s="235" t="s">
        <v>7820</v>
      </c>
      <c r="E655" s="235" t="s">
        <v>7709</v>
      </c>
      <c r="F655" s="235" t="s">
        <v>8619</v>
      </c>
      <c r="G655" s="235" t="str">
        <f t="shared" si="344"/>
        <v>Rapsodyn</v>
      </c>
      <c r="H655" s="235" t="s">
        <v>267</v>
      </c>
      <c r="I655" s="235">
        <v>1</v>
      </c>
      <c r="J655" s="235">
        <v>9091</v>
      </c>
      <c r="K655" s="235">
        <v>62</v>
      </c>
      <c r="L655" s="235">
        <f t="shared" si="343"/>
        <v>134</v>
      </c>
      <c r="M655" s="235">
        <v>3</v>
      </c>
      <c r="N655" s="235">
        <v>5</v>
      </c>
      <c r="O655" s="248">
        <v>42048</v>
      </c>
      <c r="P655" s="136">
        <v>4.76</v>
      </c>
      <c r="Q655" s="264">
        <v>42204</v>
      </c>
      <c r="V655" s="219">
        <f t="shared" si="345"/>
        <v>12.875512732431673</v>
      </c>
      <c r="X655">
        <v>15.55</v>
      </c>
      <c r="AB655" s="220">
        <f t="shared" si="346"/>
        <v>5.1063303261230413</v>
      </c>
      <c r="AD655" s="221">
        <f t="shared" si="347"/>
        <v>71984.116007100703</v>
      </c>
      <c r="AF655" s="220">
        <f t="shared" si="348"/>
        <v>27.929837010755072</v>
      </c>
      <c r="AH655" s="220">
        <f t="shared" si="349"/>
        <v>31.31849855433401</v>
      </c>
      <c r="AJ655">
        <v>3.88</v>
      </c>
      <c r="AK655" s="285" t="s">
        <v>8402</v>
      </c>
      <c r="AL655" s="260">
        <v>175</v>
      </c>
      <c r="AN655" s="235">
        <v>70</v>
      </c>
      <c r="AO655" s="242">
        <v>42074</v>
      </c>
      <c r="AP655" s="235">
        <v>104</v>
      </c>
      <c r="AQ655" s="242">
        <v>42108</v>
      </c>
      <c r="AR655" s="136">
        <v>133</v>
      </c>
      <c r="AS655" s="297">
        <f t="shared" si="350"/>
        <v>133</v>
      </c>
      <c r="AT655" s="290">
        <v>42137</v>
      </c>
      <c r="AU655" s="298"/>
      <c r="BF655" s="282">
        <v>-3.0602951049804687</v>
      </c>
      <c r="BG655" s="283">
        <v>42234</v>
      </c>
      <c r="BL655" s="296">
        <v>59.45477294921875</v>
      </c>
      <c r="BM655" s="283">
        <v>42234</v>
      </c>
      <c r="BP655" s="282">
        <v>4.3529148101806641</v>
      </c>
      <c r="BQ655" s="283">
        <v>42234</v>
      </c>
      <c r="BR655" s="282">
        <v>46.099491119384766</v>
      </c>
      <c r="BS655" s="283">
        <v>42234</v>
      </c>
      <c r="BT655" s="282">
        <v>18.282707214355469</v>
      </c>
      <c r="BU655" s="283">
        <v>42234</v>
      </c>
      <c r="BV655" s="282">
        <v>20.595304489135742</v>
      </c>
      <c r="BW655" s="283">
        <v>42234</v>
      </c>
      <c r="BX655" s="282">
        <v>5.5046310424804687</v>
      </c>
      <c r="BY655" s="283">
        <v>42234</v>
      </c>
      <c r="CB655" s="267">
        <v>3.08</v>
      </c>
      <c r="CD655" s="282">
        <v>6.8965517241379226</v>
      </c>
      <c r="CE655" s="291" t="s">
        <v>8402</v>
      </c>
      <c r="CH655" s="136">
        <v>1</v>
      </c>
      <c r="CI655" s="136">
        <v>3</v>
      </c>
      <c r="CL655" s="136">
        <v>1</v>
      </c>
      <c r="CM655" s="259">
        <v>42161</v>
      </c>
      <c r="CN655" s="137" t="s">
        <v>8406</v>
      </c>
    </row>
    <row r="656" spans="1:93">
      <c r="A656" s="258">
        <v>1087</v>
      </c>
      <c r="B656" s="235">
        <v>211</v>
      </c>
      <c r="C656" s="235" t="s">
        <v>7670</v>
      </c>
      <c r="D656" s="235" t="s">
        <v>7499</v>
      </c>
      <c r="E656" s="235" t="s">
        <v>7670</v>
      </c>
      <c r="F656" s="235" t="s">
        <v>8548</v>
      </c>
      <c r="G656" s="235" t="str">
        <f t="shared" si="344"/>
        <v>Rapsodyn</v>
      </c>
      <c r="H656" s="235" t="s">
        <v>267</v>
      </c>
      <c r="I656" s="235">
        <v>1</v>
      </c>
      <c r="J656" s="235">
        <v>9052</v>
      </c>
      <c r="K656" s="235">
        <v>65</v>
      </c>
      <c r="L656" s="235">
        <f t="shared" si="343"/>
        <v>137</v>
      </c>
      <c r="M656" s="235">
        <v>3</v>
      </c>
      <c r="N656" s="235">
        <v>7</v>
      </c>
      <c r="O656" s="248">
        <v>42048</v>
      </c>
      <c r="P656" s="136">
        <v>6.24</v>
      </c>
      <c r="Q656" s="264">
        <v>42204</v>
      </c>
      <c r="V656" s="219">
        <f t="shared" si="345"/>
        <v>18.155698289288583</v>
      </c>
      <c r="X656">
        <v>15.55</v>
      </c>
      <c r="AB656" s="220">
        <f t="shared" si="346"/>
        <v>7.4198227959047163</v>
      </c>
      <c r="AD656" s="221">
        <f t="shared" si="347"/>
        <v>81319.365211077675</v>
      </c>
      <c r="AF656" s="220">
        <f t="shared" si="348"/>
        <v>37.813504823151121</v>
      </c>
      <c r="AH656" s="220">
        <f t="shared" si="349"/>
        <v>42.401328574962015</v>
      </c>
      <c r="AJ656">
        <v>4.6500000000000004</v>
      </c>
      <c r="AK656" s="285" t="s">
        <v>8399</v>
      </c>
      <c r="AL656" s="260">
        <v>165</v>
      </c>
      <c r="AN656" s="235">
        <v>72</v>
      </c>
      <c r="AO656" s="242">
        <v>42076</v>
      </c>
      <c r="AP656" s="235">
        <v>106</v>
      </c>
      <c r="AQ656" s="242">
        <v>42110</v>
      </c>
      <c r="AR656" s="136">
        <v>146</v>
      </c>
      <c r="AS656" s="297">
        <f t="shared" si="350"/>
        <v>146</v>
      </c>
      <c r="AT656" s="290">
        <v>42150</v>
      </c>
      <c r="AU656" s="298"/>
      <c r="BF656" s="282">
        <v>-3.2493441104888916</v>
      </c>
      <c r="BG656" s="283">
        <v>42235</v>
      </c>
      <c r="BL656" s="296">
        <v>59.916980743408203</v>
      </c>
      <c r="BM656" s="283">
        <v>42235</v>
      </c>
      <c r="BP656" s="282">
        <v>3.2013700008392334</v>
      </c>
      <c r="BQ656" s="283">
        <v>42235</v>
      </c>
      <c r="BR656" s="282">
        <v>48.0137939453125</v>
      </c>
      <c r="BS656" s="283">
        <v>42235</v>
      </c>
      <c r="BT656" s="282">
        <v>19.622150421142578</v>
      </c>
      <c r="BU656" s="283">
        <v>42235</v>
      </c>
      <c r="BV656" s="282">
        <v>13.763435363769531</v>
      </c>
      <c r="BW656" s="283">
        <v>42235</v>
      </c>
      <c r="BX656" s="282">
        <v>5.5582656860351562</v>
      </c>
      <c r="BY656" s="283">
        <v>42235</v>
      </c>
      <c r="CB656" s="267">
        <v>3.94</v>
      </c>
      <c r="CD656" s="282">
        <v>3.8461538461538494</v>
      </c>
      <c r="CE656" s="291" t="s">
        <v>8399</v>
      </c>
      <c r="CH656" s="136">
        <v>2</v>
      </c>
      <c r="CI656" s="136">
        <v>3</v>
      </c>
      <c r="CL656" s="136">
        <v>2</v>
      </c>
      <c r="CM656" s="259">
        <v>42161</v>
      </c>
      <c r="CN656" s="137" t="s">
        <v>8406</v>
      </c>
    </row>
    <row r="657" spans="1:92">
      <c r="A657" s="258">
        <v>1088</v>
      </c>
      <c r="B657" s="235">
        <v>212</v>
      </c>
      <c r="C657" s="235" t="s">
        <v>7808</v>
      </c>
      <c r="D657" s="235" t="s">
        <v>7602</v>
      </c>
      <c r="E657" s="235" t="s">
        <v>7808</v>
      </c>
      <c r="F657" s="235" t="s">
        <v>8509</v>
      </c>
      <c r="G657" s="235" t="str">
        <f t="shared" si="344"/>
        <v>Rapsodyn</v>
      </c>
      <c r="H657" s="235" t="s">
        <v>267</v>
      </c>
      <c r="I657" s="235">
        <v>1</v>
      </c>
      <c r="J657" s="235">
        <v>9179</v>
      </c>
      <c r="K657" s="235">
        <v>66</v>
      </c>
      <c r="L657" s="235">
        <f t="shared" si="343"/>
        <v>138</v>
      </c>
      <c r="M657" s="235">
        <v>3</v>
      </c>
      <c r="N657" s="235">
        <v>5</v>
      </c>
      <c r="O657" s="248">
        <v>42048</v>
      </c>
      <c r="P657" s="136">
        <v>7.09</v>
      </c>
      <c r="Q657" s="264">
        <v>42204</v>
      </c>
      <c r="V657" s="219">
        <f t="shared" si="345"/>
        <v>21.803677420306439</v>
      </c>
      <c r="X657">
        <v>15.55</v>
      </c>
      <c r="AB657" s="220">
        <f t="shared" si="346"/>
        <v>7.2407723493300082</v>
      </c>
      <c r="AD657" s="221">
        <f t="shared" si="347"/>
        <v>108531.83441729369</v>
      </c>
      <c r="AF657" s="220">
        <f t="shared" si="348"/>
        <v>43.087138263665601</v>
      </c>
      <c r="AH657" s="220">
        <f t="shared" si="349"/>
        <v>48.314799578005832</v>
      </c>
      <c r="AJ657">
        <v>3.97</v>
      </c>
      <c r="AK657" s="285" t="s">
        <v>8399</v>
      </c>
      <c r="AL657" s="260">
        <v>170</v>
      </c>
      <c r="AN657" s="235">
        <v>75</v>
      </c>
      <c r="AO657" s="242">
        <v>42079</v>
      </c>
      <c r="AP657" s="235">
        <v>106</v>
      </c>
      <c r="AQ657" s="242">
        <v>42110</v>
      </c>
      <c r="AR657" s="136">
        <v>133</v>
      </c>
      <c r="AS657" s="297">
        <f t="shared" si="350"/>
        <v>133</v>
      </c>
      <c r="AT657" s="290">
        <v>42137</v>
      </c>
      <c r="AU657" s="298"/>
      <c r="BF657" s="282">
        <v>-3.5162909030914307</v>
      </c>
      <c r="BG657" s="283">
        <v>42235</v>
      </c>
      <c r="BL657" s="296">
        <v>62.083831787109375</v>
      </c>
      <c r="BM657" s="283">
        <v>42235</v>
      </c>
      <c r="BP657" s="282">
        <v>3.4694960117340088</v>
      </c>
      <c r="BQ657" s="283">
        <v>42235</v>
      </c>
      <c r="BR657" s="282">
        <v>50.603679656982422</v>
      </c>
      <c r="BS657" s="283">
        <v>42235</v>
      </c>
      <c r="BT657" s="282">
        <v>16.804950714111328</v>
      </c>
      <c r="BU657" s="283">
        <v>42235</v>
      </c>
      <c r="BV657" s="282">
        <v>12.770878791809082</v>
      </c>
      <c r="BW657" s="283">
        <v>42235</v>
      </c>
      <c r="BX657" s="282">
        <v>5.337554931640625</v>
      </c>
      <c r="BY657" s="283">
        <v>42235</v>
      </c>
      <c r="CB657" s="267">
        <v>3.65</v>
      </c>
      <c r="CD657" s="282">
        <v>3.5714285714285587</v>
      </c>
      <c r="CE657" s="291" t="s">
        <v>8399</v>
      </c>
      <c r="CH657" s="136">
        <v>1</v>
      </c>
      <c r="CI657" s="136">
        <v>3</v>
      </c>
      <c r="CL657" s="136">
        <v>1</v>
      </c>
      <c r="CM657" s="259">
        <v>42161</v>
      </c>
      <c r="CN657" s="137" t="s">
        <v>8406</v>
      </c>
    </row>
    <row r="658" spans="1:92">
      <c r="A658" s="258">
        <v>1089</v>
      </c>
      <c r="B658" s="235">
        <v>213</v>
      </c>
      <c r="C658" s="235" t="s">
        <v>7675</v>
      </c>
      <c r="D658" s="235" t="s">
        <v>7504</v>
      </c>
      <c r="E658" s="235" t="s">
        <v>7675</v>
      </c>
      <c r="F658" s="235" t="s">
        <v>8437</v>
      </c>
      <c r="G658" s="235" t="str">
        <f t="shared" si="344"/>
        <v>Rapsodyn</v>
      </c>
      <c r="H658" s="235" t="s">
        <v>267</v>
      </c>
      <c r="I658" s="235">
        <v>1</v>
      </c>
      <c r="J658" s="235">
        <v>9057</v>
      </c>
      <c r="K658" s="235">
        <v>67</v>
      </c>
      <c r="L658" s="235">
        <f t="shared" si="343"/>
        <v>139</v>
      </c>
      <c r="M658" s="235">
        <v>3</v>
      </c>
      <c r="N658" s="235">
        <v>9</v>
      </c>
      <c r="O658" s="248">
        <v>42048</v>
      </c>
      <c r="P658" s="136">
        <v>7.43</v>
      </c>
      <c r="Q658" s="264">
        <v>42204</v>
      </c>
      <c r="V658" s="219">
        <f t="shared" si="345"/>
        <v>22.72480840735976</v>
      </c>
      <c r="X658">
        <v>15.55</v>
      </c>
      <c r="AB658" s="220">
        <f t="shared" si="346"/>
        <v>8.0273915731937411</v>
      </c>
      <c r="AD658" s="221">
        <f t="shared" si="347"/>
        <v>106443.31955900785</v>
      </c>
      <c r="AF658" s="220">
        <f t="shared" si="348"/>
        <v>45.238410812578337</v>
      </c>
      <c r="AH658" s="220">
        <f t="shared" si="349"/>
        <v>50.727080973960916</v>
      </c>
      <c r="AJ658">
        <v>4.25</v>
      </c>
      <c r="AK658" s="285" t="s">
        <v>8400</v>
      </c>
      <c r="AL658" s="260">
        <v>180</v>
      </c>
      <c r="AN658" s="235">
        <v>70</v>
      </c>
      <c r="AO658" s="242">
        <v>42074</v>
      </c>
      <c r="AP658" s="235">
        <v>110</v>
      </c>
      <c r="AQ658" s="242">
        <v>42114</v>
      </c>
      <c r="AR658" s="136">
        <v>133</v>
      </c>
      <c r="AS658" s="297">
        <f t="shared" si="350"/>
        <v>133</v>
      </c>
      <c r="AT658" s="290">
        <v>42137</v>
      </c>
      <c r="AU658" s="298"/>
      <c r="BF658" s="282">
        <v>-1.0875420570373535</v>
      </c>
      <c r="BG658" s="283">
        <v>42235</v>
      </c>
      <c r="BL658" s="296">
        <v>64.713775634765625</v>
      </c>
      <c r="BM658" s="283">
        <v>42235</v>
      </c>
      <c r="BP658" s="282">
        <v>3.1094799041748047</v>
      </c>
      <c r="BQ658" s="283">
        <v>42235</v>
      </c>
      <c r="BR658" s="282">
        <v>50.233436584472656</v>
      </c>
      <c r="BS658" s="283">
        <v>42235</v>
      </c>
      <c r="BT658" s="282">
        <v>17.744636535644531</v>
      </c>
      <c r="BU658" s="283">
        <v>42235</v>
      </c>
      <c r="BV658" s="282">
        <v>15.271653175354004</v>
      </c>
      <c r="BW658" s="283">
        <v>42235</v>
      </c>
      <c r="BX658" s="282">
        <v>5.3638763427734375</v>
      </c>
      <c r="BY658" s="283">
        <v>42235</v>
      </c>
      <c r="CB658" s="267">
        <v>3.06</v>
      </c>
      <c r="CD658" s="282">
        <v>3.3898305084745792</v>
      </c>
      <c r="CE658" s="291" t="s">
        <v>8400</v>
      </c>
      <c r="CH658" s="136">
        <v>1</v>
      </c>
      <c r="CI658" s="136">
        <v>5</v>
      </c>
      <c r="CL658" s="136">
        <v>2</v>
      </c>
      <c r="CM658" s="259">
        <v>42161</v>
      </c>
      <c r="CN658" s="137" t="s">
        <v>8406</v>
      </c>
    </row>
    <row r="659" spans="1:92">
      <c r="A659" s="258">
        <v>1091</v>
      </c>
      <c r="B659" s="235">
        <v>215</v>
      </c>
      <c r="C659" s="235" t="s">
        <v>7767</v>
      </c>
      <c r="D659" s="235" t="s">
        <v>7843</v>
      </c>
      <c r="E659" s="235" t="s">
        <v>7767</v>
      </c>
      <c r="F659" s="235" t="s">
        <v>8624</v>
      </c>
      <c r="G659" s="235" t="str">
        <f t="shared" si="344"/>
        <v>Rapsodyn</v>
      </c>
      <c r="H659" s="235" t="s">
        <v>267</v>
      </c>
      <c r="I659" s="235">
        <v>1</v>
      </c>
      <c r="J659" s="235">
        <v>9138</v>
      </c>
      <c r="K659" s="235">
        <v>69</v>
      </c>
      <c r="L659" s="235">
        <f t="shared" si="343"/>
        <v>141</v>
      </c>
      <c r="M659" s="235">
        <v>3</v>
      </c>
      <c r="N659" s="235">
        <v>7</v>
      </c>
      <c r="O659" s="248">
        <v>42048</v>
      </c>
      <c r="P659" s="136">
        <v>7.34</v>
      </c>
      <c r="Q659" s="264">
        <v>42204</v>
      </c>
      <c r="V659" s="219">
        <f t="shared" si="345"/>
        <v>20.915416628520465</v>
      </c>
      <c r="X659">
        <v>15.55</v>
      </c>
      <c r="AB659" s="220">
        <f t="shared" si="346"/>
        <v>7.649593727867674</v>
      </c>
      <c r="AD659" s="221">
        <f t="shared" si="347"/>
        <v>112474.52076522453</v>
      </c>
      <c r="AF659" s="220">
        <f t="shared" si="348"/>
        <v>43.640114056907116</v>
      </c>
      <c r="AH659" s="220">
        <f t="shared" si="349"/>
        <v>48.934866625820945</v>
      </c>
      <c r="AJ659">
        <v>3.88</v>
      </c>
      <c r="AK659" s="285" t="s">
        <v>8403</v>
      </c>
      <c r="AL659" s="260">
        <v>165</v>
      </c>
      <c r="AN659" s="235">
        <v>70</v>
      </c>
      <c r="AO659" s="242">
        <v>42074</v>
      </c>
      <c r="AP659" s="235">
        <v>104</v>
      </c>
      <c r="AQ659" s="242">
        <v>42108</v>
      </c>
      <c r="AR659" s="136">
        <v>133</v>
      </c>
      <c r="AS659" s="297">
        <f t="shared" si="350"/>
        <v>133</v>
      </c>
      <c r="AT659" s="290">
        <v>42137</v>
      </c>
      <c r="AU659" s="298"/>
      <c r="BF659" s="282">
        <v>-1.3305239677429199</v>
      </c>
      <c r="BG659" s="283">
        <v>42235</v>
      </c>
      <c r="BL659" s="296">
        <v>67.804931640625</v>
      </c>
      <c r="BM659" s="283">
        <v>42235</v>
      </c>
      <c r="BP659" s="282">
        <v>2.5712709426879883</v>
      </c>
      <c r="BQ659" s="283">
        <v>42235</v>
      </c>
      <c r="BR659" s="282">
        <v>47.927043914794922</v>
      </c>
      <c r="BS659" s="283">
        <v>42235</v>
      </c>
      <c r="BT659" s="282">
        <v>17.528812408447266</v>
      </c>
      <c r="BU659" s="283">
        <v>42235</v>
      </c>
      <c r="BV659" s="282">
        <v>12.670535087585449</v>
      </c>
      <c r="BW659" s="283">
        <v>42235</v>
      </c>
      <c r="BX659" s="282">
        <v>5.2932815551757812</v>
      </c>
      <c r="BY659" s="283">
        <v>42235</v>
      </c>
      <c r="CB659" s="267">
        <v>2.09</v>
      </c>
      <c r="CD659" s="281">
        <v>5.660377358490563</v>
      </c>
      <c r="CE659" s="291" t="s">
        <v>8403</v>
      </c>
      <c r="CH659" s="136">
        <v>1</v>
      </c>
      <c r="CI659" s="136">
        <v>3</v>
      </c>
      <c r="CL659" s="136">
        <v>1</v>
      </c>
      <c r="CM659" s="259">
        <v>42161</v>
      </c>
      <c r="CN659" s="137" t="s">
        <v>8406</v>
      </c>
    </row>
    <row r="660" spans="1:92">
      <c r="A660" s="258">
        <v>1092</v>
      </c>
      <c r="B660" s="235">
        <v>216</v>
      </c>
      <c r="C660" s="235" t="s">
        <v>7762</v>
      </c>
      <c r="D660" s="235" t="s">
        <v>7839</v>
      </c>
      <c r="E660" s="235" t="s">
        <v>7762</v>
      </c>
      <c r="F660" s="235" t="s">
        <v>8627</v>
      </c>
      <c r="G660" s="235" t="str">
        <f t="shared" si="344"/>
        <v>Rapsodyn</v>
      </c>
      <c r="H660" s="235" t="s">
        <v>267</v>
      </c>
      <c r="I660" s="235">
        <v>1</v>
      </c>
      <c r="J660" s="235">
        <v>9133</v>
      </c>
      <c r="K660" s="235">
        <v>70</v>
      </c>
      <c r="L660" s="235">
        <f t="shared" si="343"/>
        <v>142</v>
      </c>
      <c r="M660" s="235">
        <v>3</v>
      </c>
      <c r="N660" s="235">
        <v>7</v>
      </c>
      <c r="O660" s="248">
        <v>42048</v>
      </c>
      <c r="P660" s="136">
        <v>5.71</v>
      </c>
      <c r="Q660" s="264">
        <v>42204</v>
      </c>
      <c r="V660" s="219">
        <f t="shared" si="345"/>
        <v>16.6640604122444</v>
      </c>
      <c r="X660">
        <v>15.55</v>
      </c>
      <c r="AB660" s="220">
        <f t="shared" si="346"/>
        <v>6.6284232710074775</v>
      </c>
      <c r="AD660" s="221">
        <f t="shared" si="347"/>
        <v>68443.083011472831</v>
      </c>
      <c r="AF660" s="220">
        <f t="shared" si="348"/>
        <v>34.700643086816726</v>
      </c>
      <c r="AH660" s="220">
        <f t="shared" si="349"/>
        <v>38.910790633344611</v>
      </c>
      <c r="AJ660">
        <v>5.07</v>
      </c>
      <c r="AK660" s="285" t="s">
        <v>8403</v>
      </c>
      <c r="AL660" s="260">
        <v>160</v>
      </c>
      <c r="AN660" s="235">
        <v>70</v>
      </c>
      <c r="AO660" s="242">
        <v>42074</v>
      </c>
      <c r="AP660" s="235">
        <v>104</v>
      </c>
      <c r="AQ660" s="242">
        <v>42108</v>
      </c>
      <c r="AR660" s="136">
        <v>131</v>
      </c>
      <c r="AS660" s="297">
        <f t="shared" si="350"/>
        <v>131</v>
      </c>
      <c r="AT660" s="290">
        <v>42135</v>
      </c>
      <c r="AU660" s="298"/>
      <c r="BF660" s="282">
        <v>-3.1253509521484375</v>
      </c>
      <c r="BG660" s="283">
        <v>42235</v>
      </c>
      <c r="BL660" s="296">
        <v>63.525531768798828</v>
      </c>
      <c r="BM660" s="283">
        <v>42235</v>
      </c>
      <c r="BP660" s="282">
        <v>3.8707981109619141</v>
      </c>
      <c r="BQ660" s="283">
        <v>42235</v>
      </c>
      <c r="BR660" s="282">
        <v>48.0223388671875</v>
      </c>
      <c r="BS660" s="283">
        <v>42235</v>
      </c>
      <c r="BT660" s="282">
        <v>19.101730346679688</v>
      </c>
      <c r="BU660" s="283">
        <v>42235</v>
      </c>
      <c r="BV660" s="282">
        <v>16.926752090454102</v>
      </c>
      <c r="BW660" s="283">
        <v>42235</v>
      </c>
      <c r="BX660" s="282">
        <v>5.3682098388671875</v>
      </c>
      <c r="BY660" s="283">
        <v>42235</v>
      </c>
      <c r="CB660" s="267">
        <v>4.4000000000000004</v>
      </c>
      <c r="CD660" s="282">
        <v>3.5714285714285587</v>
      </c>
      <c r="CE660" s="291" t="s">
        <v>8403</v>
      </c>
      <c r="CH660" s="136">
        <v>1</v>
      </c>
      <c r="CI660" s="136">
        <v>2</v>
      </c>
      <c r="CL660" s="136">
        <v>2</v>
      </c>
      <c r="CM660" s="259">
        <v>42161</v>
      </c>
      <c r="CN660" s="137" t="s">
        <v>8406</v>
      </c>
    </row>
    <row r="661" spans="1:92">
      <c r="A661" s="258">
        <v>1093</v>
      </c>
      <c r="B661" s="235">
        <v>217</v>
      </c>
      <c r="C661" s="235" t="s">
        <v>7656</v>
      </c>
      <c r="D661" s="235" t="s">
        <v>7486</v>
      </c>
      <c r="E661" s="235" t="s">
        <v>7656</v>
      </c>
      <c r="F661" s="235" t="s">
        <v>8503</v>
      </c>
      <c r="G661" s="235" t="str">
        <f t="shared" si="344"/>
        <v>Rapsodyn</v>
      </c>
      <c r="H661" s="235" t="s">
        <v>267</v>
      </c>
      <c r="I661" s="235">
        <v>1</v>
      </c>
      <c r="J661" s="235">
        <v>9039</v>
      </c>
      <c r="K661" s="235">
        <v>71</v>
      </c>
      <c r="L661" s="235">
        <f t="shared" si="343"/>
        <v>143</v>
      </c>
      <c r="M661" s="235">
        <v>3</v>
      </c>
      <c r="N661" s="235">
        <v>7</v>
      </c>
      <c r="O661" s="248">
        <v>42048</v>
      </c>
      <c r="P661" s="136">
        <v>5.97</v>
      </c>
      <c r="Q661" s="264">
        <v>42204</v>
      </c>
      <c r="V661" s="219">
        <f t="shared" si="345"/>
        <v>18.313359345718208</v>
      </c>
      <c r="X661">
        <v>15.55</v>
      </c>
      <c r="AB661" s="220">
        <f t="shared" si="346"/>
        <v>6.2038414689796904</v>
      </c>
      <c r="AD661" s="221">
        <f t="shared" si="347"/>
        <v>69363.233656949858</v>
      </c>
      <c r="AF661" s="220">
        <f t="shared" si="348"/>
        <v>35.860791800643078</v>
      </c>
      <c r="AH661" s="220">
        <f t="shared" si="349"/>
        <v>40.211697466520611</v>
      </c>
      <c r="AJ661">
        <v>5.17</v>
      </c>
      <c r="AK661" s="285" t="s">
        <v>8400</v>
      </c>
      <c r="AL661" s="260">
        <v>175</v>
      </c>
      <c r="AN661" s="235">
        <v>70</v>
      </c>
      <c r="AO661" s="242">
        <v>42074</v>
      </c>
      <c r="AP661" s="235">
        <v>106</v>
      </c>
      <c r="AQ661" s="242">
        <v>42110</v>
      </c>
      <c r="AR661" s="136">
        <v>127</v>
      </c>
      <c r="AS661" s="297">
        <f t="shared" si="350"/>
        <v>127</v>
      </c>
      <c r="AT661" s="290">
        <v>42131</v>
      </c>
      <c r="AU661" s="298"/>
      <c r="BF661" s="282">
        <v>-7.1900367736816406</v>
      </c>
      <c r="BG661" s="283">
        <v>42235</v>
      </c>
      <c r="BL661" s="296">
        <v>66.209037780761719</v>
      </c>
      <c r="BM661" s="283">
        <v>42235</v>
      </c>
      <c r="BP661" s="282">
        <v>3.6506218910217285</v>
      </c>
      <c r="BQ661" s="283">
        <v>42235</v>
      </c>
      <c r="BR661" s="282">
        <v>51.067916870117188</v>
      </c>
      <c r="BS661" s="283">
        <v>42235</v>
      </c>
      <c r="BT661" s="282">
        <v>17.299789428710938</v>
      </c>
      <c r="BU661" s="283">
        <v>42235</v>
      </c>
      <c r="BV661" s="282">
        <v>16.825481414794922</v>
      </c>
      <c r="BW661" s="283">
        <v>42235</v>
      </c>
      <c r="BX661" s="282">
        <v>5.4422988891601562</v>
      </c>
      <c r="BY661" s="283">
        <v>42235</v>
      </c>
      <c r="CB661" s="267">
        <v>3.83</v>
      </c>
      <c r="CD661" s="282">
        <v>4.6875000000000107</v>
      </c>
      <c r="CE661" s="291" t="s">
        <v>8400</v>
      </c>
      <c r="CH661" s="136">
        <v>1</v>
      </c>
      <c r="CI661" s="136">
        <v>2</v>
      </c>
      <c r="CL661" s="136">
        <v>3</v>
      </c>
      <c r="CM661" s="259">
        <v>42161</v>
      </c>
      <c r="CN661" s="137" t="s">
        <v>8406</v>
      </c>
    </row>
    <row r="662" spans="1:92">
      <c r="A662" s="258">
        <v>1094</v>
      </c>
      <c r="B662" s="235">
        <v>218</v>
      </c>
      <c r="C662" s="235" t="s">
        <v>7613</v>
      </c>
      <c r="D662" s="235" t="s">
        <v>7814</v>
      </c>
      <c r="E662" s="235" t="s">
        <v>7613</v>
      </c>
      <c r="F662" s="235" t="s">
        <v>8573</v>
      </c>
      <c r="G662" s="235" t="str">
        <f t="shared" si="344"/>
        <v>Rapsodyn</v>
      </c>
      <c r="H662" s="235" t="s">
        <v>267</v>
      </c>
      <c r="I662" s="235">
        <v>1</v>
      </c>
      <c r="J662" s="235">
        <v>9006</v>
      </c>
      <c r="K662" s="235">
        <v>72</v>
      </c>
      <c r="L662" s="235">
        <f t="shared" si="343"/>
        <v>144</v>
      </c>
      <c r="M662" s="235">
        <v>3</v>
      </c>
      <c r="N662" s="235">
        <v>7</v>
      </c>
      <c r="O662" s="248">
        <v>42048</v>
      </c>
      <c r="P662" s="136">
        <v>3.18</v>
      </c>
      <c r="Q662" s="264">
        <v>42204</v>
      </c>
      <c r="V662" s="219">
        <f t="shared" si="345"/>
        <v>8.9202650614493688</v>
      </c>
      <c r="X662">
        <v>15.55</v>
      </c>
      <c r="AB662" s="220">
        <f t="shared" si="346"/>
        <v>3.9121565930990818</v>
      </c>
      <c r="AD662" s="221">
        <f t="shared" si="347"/>
        <v>44070.714802133254</v>
      </c>
      <c r="AF662" s="220">
        <f t="shared" si="348"/>
        <v>18.862265935313033</v>
      </c>
      <c r="AH662" s="220">
        <f t="shared" si="349"/>
        <v>21.150780371510468</v>
      </c>
      <c r="AJ662">
        <v>4.28</v>
      </c>
      <c r="AK662" s="285" t="s">
        <v>8400</v>
      </c>
      <c r="AL662" s="260">
        <v>185</v>
      </c>
      <c r="AN662" s="235">
        <v>70</v>
      </c>
      <c r="AO662" s="242">
        <v>42074</v>
      </c>
      <c r="AP662" s="235">
        <v>110</v>
      </c>
      <c r="AQ662" s="242">
        <v>42114</v>
      </c>
      <c r="AR662" s="136">
        <v>134</v>
      </c>
      <c r="AS662" s="297">
        <f t="shared" si="350"/>
        <v>134</v>
      </c>
      <c r="AT662" s="290">
        <v>42138</v>
      </c>
      <c r="AU662" s="298"/>
      <c r="BF662" s="282">
        <v>41.100639343261719</v>
      </c>
      <c r="BG662" s="283">
        <v>42235</v>
      </c>
      <c r="BL662" s="296">
        <v>58.926742553710938</v>
      </c>
      <c r="BM662" s="283">
        <v>42235</v>
      </c>
      <c r="BP662" s="282">
        <v>3.8520240783691406</v>
      </c>
      <c r="BQ662" s="283">
        <v>42235</v>
      </c>
      <c r="BR662" s="282">
        <v>47.291587829589844</v>
      </c>
      <c r="BS662" s="283">
        <v>42235</v>
      </c>
      <c r="BT662" s="282">
        <v>20.740650177001953</v>
      </c>
      <c r="BU662" s="283">
        <v>42235</v>
      </c>
      <c r="BV662" s="282">
        <v>70.0845947265625</v>
      </c>
      <c r="BW662" s="283">
        <v>42235</v>
      </c>
      <c r="BX662" s="282">
        <v>5.6463775634765625</v>
      </c>
      <c r="BY662" s="283">
        <v>42235</v>
      </c>
      <c r="CB662" s="267">
        <v>5.12</v>
      </c>
      <c r="CD662" s="282">
        <v>5.8823529411764675</v>
      </c>
      <c r="CE662" s="291" t="s">
        <v>8400</v>
      </c>
      <c r="CH662" s="136">
        <v>1</v>
      </c>
      <c r="CI662" s="136">
        <v>2</v>
      </c>
      <c r="CL662" s="136">
        <v>4</v>
      </c>
      <c r="CM662" s="259">
        <v>42161</v>
      </c>
      <c r="CN662" s="137" t="s">
        <v>8406</v>
      </c>
    </row>
    <row r="663" spans="1:92">
      <c r="A663" s="258">
        <v>1095</v>
      </c>
      <c r="B663" s="235">
        <v>219</v>
      </c>
      <c r="C663" s="235" t="s">
        <v>7576</v>
      </c>
      <c r="D663" s="235"/>
      <c r="E663" s="235"/>
      <c r="F663" s="235"/>
      <c r="G663" s="235"/>
      <c r="H663" s="235" t="s">
        <v>267</v>
      </c>
      <c r="I663" s="235">
        <v>1</v>
      </c>
      <c r="K663" s="235">
        <v>73</v>
      </c>
      <c r="L663" s="235">
        <f t="shared" si="343"/>
        <v>145</v>
      </c>
      <c r="M663" s="235">
        <v>3</v>
      </c>
      <c r="O663" s="248">
        <v>42048</v>
      </c>
      <c r="V663" s="219"/>
      <c r="X663">
        <v>15.55</v>
      </c>
      <c r="AB663" s="220"/>
      <c r="AD663" s="221"/>
      <c r="AF663" s="220"/>
      <c r="AH663" s="220"/>
      <c r="AJ663" s="286"/>
      <c r="AK663" s="285"/>
      <c r="AL663" s="260"/>
      <c r="AN663" s="235">
        <v>70</v>
      </c>
      <c r="AO663" s="242">
        <v>42074</v>
      </c>
      <c r="AP663" s="235">
        <v>106</v>
      </c>
      <c r="AQ663" s="242">
        <v>42110</v>
      </c>
      <c r="AS663" s="297"/>
      <c r="AT663" s="290"/>
      <c r="AU663" s="298"/>
      <c r="BF663" s="282"/>
      <c r="BG663" s="235"/>
      <c r="BL663" s="296"/>
      <c r="BM663" s="235"/>
      <c r="BP663" s="282"/>
      <c r="BQ663" s="235"/>
      <c r="BR663" s="282"/>
      <c r="BS663" s="235"/>
      <c r="BT663" s="282"/>
      <c r="BU663" s="235"/>
      <c r="BV663" s="282"/>
      <c r="BW663" s="235"/>
      <c r="BX663" s="282"/>
      <c r="BY663" s="235"/>
      <c r="CB663" s="267"/>
      <c r="CD663" s="282"/>
      <c r="CE663" s="291"/>
      <c r="CL663" s="136">
        <v>3</v>
      </c>
      <c r="CM663" s="259">
        <v>42161</v>
      </c>
    </row>
    <row r="664" spans="1:92">
      <c r="A664" s="258">
        <v>1096</v>
      </c>
      <c r="B664" s="235">
        <v>220</v>
      </c>
      <c r="C664" s="235" t="s">
        <v>7576</v>
      </c>
      <c r="D664" s="235"/>
      <c r="E664" s="235"/>
      <c r="F664" s="235"/>
      <c r="G664" s="235"/>
      <c r="H664" s="235" t="s">
        <v>267</v>
      </c>
      <c r="I664" s="235">
        <v>1</v>
      </c>
      <c r="K664" s="235">
        <v>73</v>
      </c>
      <c r="L664" s="235">
        <f t="shared" si="343"/>
        <v>145</v>
      </c>
      <c r="M664" s="235">
        <v>4</v>
      </c>
      <c r="O664" s="248">
        <v>42048</v>
      </c>
      <c r="V664" s="219"/>
      <c r="X664">
        <v>15.55</v>
      </c>
      <c r="AB664" s="220"/>
      <c r="AD664" s="221"/>
      <c r="AF664" s="220"/>
      <c r="AH664" s="220"/>
      <c r="AJ664" s="286"/>
      <c r="AK664" s="285"/>
      <c r="AL664" s="260"/>
      <c r="AN664" s="235">
        <v>70</v>
      </c>
      <c r="AO664" s="242">
        <v>42074</v>
      </c>
      <c r="AP664" s="235">
        <v>106</v>
      </c>
      <c r="AQ664" s="242">
        <v>42110</v>
      </c>
      <c r="AS664" s="297"/>
      <c r="AT664" s="290"/>
      <c r="AU664" s="298"/>
      <c r="BF664" s="282"/>
      <c r="BG664" s="235"/>
      <c r="BL664" s="296"/>
      <c r="BM664" s="235"/>
      <c r="BP664" s="282"/>
      <c r="BQ664" s="235"/>
      <c r="BR664" s="282"/>
      <c r="BS664" s="235"/>
      <c r="BT664" s="282"/>
      <c r="BU664" s="235"/>
      <c r="BV664" s="282"/>
      <c r="BW664" s="235"/>
      <c r="BX664" s="282"/>
      <c r="BY664" s="235"/>
      <c r="CB664" s="267"/>
      <c r="CD664" s="282"/>
      <c r="CE664" s="291"/>
      <c r="CL664" s="136">
        <v>3</v>
      </c>
      <c r="CM664" s="259">
        <v>42161</v>
      </c>
    </row>
    <row r="665" spans="1:92">
      <c r="A665" s="258">
        <v>1097</v>
      </c>
      <c r="B665" s="235">
        <v>221</v>
      </c>
      <c r="C665" s="235" t="s">
        <v>7798</v>
      </c>
      <c r="D665" s="235" t="s">
        <v>7596</v>
      </c>
      <c r="E665" s="235" t="s">
        <v>7798</v>
      </c>
      <c r="F665" s="235" t="s">
        <v>8626</v>
      </c>
      <c r="G665" s="235" t="str">
        <f t="shared" ref="G665:G674" si="351">IF(MID(C665,1,3)="BGA","Complement","Rapsodyn")</f>
        <v>Rapsodyn</v>
      </c>
      <c r="H665" s="235" t="s">
        <v>267</v>
      </c>
      <c r="I665" s="235">
        <v>1</v>
      </c>
      <c r="J665" s="235">
        <v>9169</v>
      </c>
      <c r="K665" s="235">
        <v>72</v>
      </c>
      <c r="L665" s="235">
        <f t="shared" si="343"/>
        <v>144</v>
      </c>
      <c r="M665" s="235">
        <v>4</v>
      </c>
      <c r="N665" s="235">
        <v>7</v>
      </c>
      <c r="O665" s="248">
        <v>42048</v>
      </c>
      <c r="P665" s="136">
        <v>6.35</v>
      </c>
      <c r="Q665" s="264">
        <v>42204</v>
      </c>
      <c r="V665" s="219">
        <f t="shared" ref="V665:V674" si="352">+BR665*AF665/100</f>
        <v>19.187850176837333</v>
      </c>
      <c r="X665">
        <v>15.55</v>
      </c>
      <c r="AB665" s="220">
        <f t="shared" ref="AB665:AB674" si="353">+AF665*BT665/100</f>
        <v>6.1058473492292569</v>
      </c>
      <c r="AD665" s="221">
        <f t="shared" ref="AD665:AD674" si="354">+(AF665/AJ665)*10000</f>
        <v>92110.022315349357</v>
      </c>
      <c r="AF665" s="220">
        <f t="shared" ref="AF665:AF674" si="355">($P665/$X665)*(((100-$CD665)/100*(100-2)/100))*100</f>
        <v>37.949329193923937</v>
      </c>
      <c r="AH665" s="220">
        <f t="shared" ref="AH665:AH674" si="356">($P665/$X665)*(((100-$CD665)/(100-9)*(100-2)/(100-2))*100)</f>
        <v>42.553632197716908</v>
      </c>
      <c r="AJ665">
        <v>4.12</v>
      </c>
      <c r="AK665" s="285" t="s">
        <v>8400</v>
      </c>
      <c r="AL665" s="260">
        <v>180</v>
      </c>
      <c r="AN665" s="235">
        <v>70</v>
      </c>
      <c r="AO665" s="242">
        <v>42074</v>
      </c>
      <c r="AP665" s="235">
        <v>106</v>
      </c>
      <c r="AQ665" s="242">
        <v>42110</v>
      </c>
      <c r="AR665" s="136">
        <v>133</v>
      </c>
      <c r="AS665" s="297">
        <f t="shared" ref="AS665:AS674" si="357">IF(AR665=0,,AR665)</f>
        <v>133</v>
      </c>
      <c r="AT665" s="290">
        <v>42137</v>
      </c>
      <c r="AU665" s="298"/>
      <c r="BF665" s="282">
        <v>-2.4382379055023193</v>
      </c>
      <c r="BG665" s="283">
        <v>42235</v>
      </c>
      <c r="BL665" s="296">
        <v>62.959602355957031</v>
      </c>
      <c r="BM665" s="283">
        <v>42235</v>
      </c>
      <c r="BP665" s="282">
        <v>3.7041850090026855</v>
      </c>
      <c r="BQ665" s="283">
        <v>42235</v>
      </c>
      <c r="BR665" s="282">
        <v>50.561763763427734</v>
      </c>
      <c r="BS665" s="283">
        <v>42235</v>
      </c>
      <c r="BT665" s="282">
        <v>16.089473724365234</v>
      </c>
      <c r="BU665" s="283">
        <v>42235</v>
      </c>
      <c r="BV665" s="282">
        <v>13.832427024841309</v>
      </c>
      <c r="BW665" s="283">
        <v>42235</v>
      </c>
      <c r="BX665" s="282">
        <v>5.5987014770507812</v>
      </c>
      <c r="BY665" s="283">
        <v>42235</v>
      </c>
      <c r="CB665" s="267">
        <v>3.63</v>
      </c>
      <c r="CD665" s="282">
        <v>5.1724137931034457</v>
      </c>
      <c r="CE665" s="291" t="s">
        <v>8400</v>
      </c>
      <c r="CH665" s="136">
        <v>2</v>
      </c>
      <c r="CI665" s="136">
        <v>3</v>
      </c>
      <c r="CL665" s="136">
        <v>3</v>
      </c>
      <c r="CM665" s="259">
        <v>42161</v>
      </c>
      <c r="CN665" s="137" t="s">
        <v>8406</v>
      </c>
    </row>
    <row r="666" spans="1:92">
      <c r="A666" s="258">
        <v>1098</v>
      </c>
      <c r="B666" s="235">
        <v>222</v>
      </c>
      <c r="C666" s="235" t="s">
        <v>7680</v>
      </c>
      <c r="D666" s="235" t="s">
        <v>7507</v>
      </c>
      <c r="E666" s="235" t="s">
        <v>7680</v>
      </c>
      <c r="F666" s="235" t="s">
        <v>8615</v>
      </c>
      <c r="G666" s="235" t="str">
        <f t="shared" si="351"/>
        <v>Rapsodyn</v>
      </c>
      <c r="H666" s="235" t="s">
        <v>267</v>
      </c>
      <c r="I666" s="235">
        <v>1</v>
      </c>
      <c r="J666" s="235">
        <v>9062</v>
      </c>
      <c r="K666" s="235">
        <v>71</v>
      </c>
      <c r="L666" s="235">
        <f t="shared" si="343"/>
        <v>143</v>
      </c>
      <c r="M666" s="235">
        <v>4</v>
      </c>
      <c r="N666" s="235">
        <v>7</v>
      </c>
      <c r="O666" s="248">
        <v>42048</v>
      </c>
      <c r="P666" s="136">
        <v>5.09</v>
      </c>
      <c r="Q666" s="264">
        <v>42204</v>
      </c>
      <c r="V666" s="219">
        <f t="shared" si="352"/>
        <v>14.562083421716505</v>
      </c>
      <c r="X666">
        <v>15.55</v>
      </c>
      <c r="AB666" s="220">
        <f t="shared" si="353"/>
        <v>5.6531730160648097</v>
      </c>
      <c r="AD666" s="221">
        <f t="shared" si="354"/>
        <v>68082.204417268469</v>
      </c>
      <c r="AF666" s="220">
        <f t="shared" si="355"/>
        <v>30.500827578936274</v>
      </c>
      <c r="AH666" s="220">
        <f t="shared" si="356"/>
        <v>34.201421371312257</v>
      </c>
      <c r="AJ666">
        <v>4.4800000000000004</v>
      </c>
      <c r="AK666" s="285" t="s">
        <v>8400</v>
      </c>
      <c r="AL666" s="260">
        <v>155</v>
      </c>
      <c r="AN666" s="235">
        <v>72</v>
      </c>
      <c r="AO666" s="242">
        <v>42076</v>
      </c>
      <c r="AP666" s="235">
        <v>110</v>
      </c>
      <c r="AQ666" s="242">
        <v>42114</v>
      </c>
      <c r="AR666" s="136">
        <v>133</v>
      </c>
      <c r="AS666" s="297">
        <f t="shared" si="357"/>
        <v>133</v>
      </c>
      <c r="AT666" s="290">
        <v>42137</v>
      </c>
      <c r="AU666" s="298"/>
      <c r="BF666" s="282">
        <v>-1.4305709600448608</v>
      </c>
      <c r="BG666" s="283">
        <v>42235</v>
      </c>
      <c r="BL666" s="296">
        <v>59.587196350097656</v>
      </c>
      <c r="BM666" s="283">
        <v>42235</v>
      </c>
      <c r="BP666" s="282">
        <v>3.38031005859375</v>
      </c>
      <c r="BQ666" s="283">
        <v>42235</v>
      </c>
      <c r="BR666" s="282">
        <v>47.743240356445313</v>
      </c>
      <c r="BS666" s="283">
        <v>42235</v>
      </c>
      <c r="BT666" s="282">
        <v>18.534490585327148</v>
      </c>
      <c r="BU666" s="283">
        <v>42235</v>
      </c>
      <c r="BV666" s="282">
        <v>23.172855377197266</v>
      </c>
      <c r="BW666" s="283">
        <v>42235</v>
      </c>
      <c r="BX666" s="282">
        <v>5.8031387329101562</v>
      </c>
      <c r="BY666" s="283">
        <v>42235</v>
      </c>
      <c r="CB666" s="267">
        <v>2.9</v>
      </c>
      <c r="CD666" s="282">
        <v>4.9180327868852434</v>
      </c>
      <c r="CE666" s="291" t="s">
        <v>8400</v>
      </c>
      <c r="CH666" s="136">
        <v>4</v>
      </c>
      <c r="CI666" s="136">
        <v>6</v>
      </c>
      <c r="CL666" s="136">
        <v>4</v>
      </c>
      <c r="CM666" s="259">
        <v>42161</v>
      </c>
      <c r="CN666" s="137" t="s">
        <v>8406</v>
      </c>
    </row>
    <row r="667" spans="1:92">
      <c r="A667" s="258">
        <v>1099</v>
      </c>
      <c r="B667" s="235">
        <v>223</v>
      </c>
      <c r="C667" s="235" t="s">
        <v>7683</v>
      </c>
      <c r="D667" s="235" t="s">
        <v>7510</v>
      </c>
      <c r="E667" s="235" t="s">
        <v>7683</v>
      </c>
      <c r="F667" s="235" t="s">
        <v>8482</v>
      </c>
      <c r="G667" s="235" t="str">
        <f t="shared" si="351"/>
        <v>Rapsodyn</v>
      </c>
      <c r="H667" s="235" t="s">
        <v>267</v>
      </c>
      <c r="I667" s="235">
        <v>1</v>
      </c>
      <c r="J667" s="235">
        <v>9065</v>
      </c>
      <c r="K667" s="235">
        <v>70</v>
      </c>
      <c r="L667" s="235">
        <f t="shared" si="343"/>
        <v>142</v>
      </c>
      <c r="M667" s="235">
        <v>4</v>
      </c>
      <c r="N667" s="235">
        <v>7</v>
      </c>
      <c r="O667" s="248">
        <v>42048</v>
      </c>
      <c r="P667" s="136">
        <v>5.92</v>
      </c>
      <c r="Q667" s="264">
        <v>42204</v>
      </c>
      <c r="V667" t="s">
        <v>8379</v>
      </c>
      <c r="X667">
        <v>15.55</v>
      </c>
      <c r="AB667" t="s">
        <v>8379</v>
      </c>
      <c r="AC667" t="s">
        <v>8379</v>
      </c>
      <c r="AD667" t="s">
        <v>8379</v>
      </c>
      <c r="AE667" t="s">
        <v>8379</v>
      </c>
      <c r="AF667" t="s">
        <v>8379</v>
      </c>
      <c r="AG667" t="s">
        <v>8379</v>
      </c>
      <c r="AH667" t="s">
        <v>8379</v>
      </c>
      <c r="AI667" s="219" t="s">
        <v>8379</v>
      </c>
      <c r="AJ667" t="s">
        <v>8379</v>
      </c>
      <c r="AK667" t="s">
        <v>8379</v>
      </c>
      <c r="AL667" s="260">
        <v>165</v>
      </c>
      <c r="AN667" s="235">
        <v>72</v>
      </c>
      <c r="AO667" s="242">
        <v>42076</v>
      </c>
      <c r="AP667" s="235">
        <v>106</v>
      </c>
      <c r="AQ667" s="242">
        <v>42110</v>
      </c>
      <c r="AR667" s="136">
        <v>141</v>
      </c>
      <c r="AS667" s="297">
        <f t="shared" si="357"/>
        <v>141</v>
      </c>
      <c r="AT667" s="290">
        <v>42145</v>
      </c>
      <c r="AU667" s="298"/>
      <c r="BF667" s="219" t="s">
        <v>8379</v>
      </c>
      <c r="BG667" s="219" t="s">
        <v>8379</v>
      </c>
      <c r="BL667" s="219" t="s">
        <v>8379</v>
      </c>
      <c r="BM667" s="219" t="s">
        <v>8379</v>
      </c>
      <c r="BP667" s="219" t="s">
        <v>8379</v>
      </c>
      <c r="BQ667" s="219" t="s">
        <v>8379</v>
      </c>
      <c r="BR667" s="219" t="s">
        <v>8379</v>
      </c>
      <c r="BS667" s="219" t="s">
        <v>8379</v>
      </c>
      <c r="BT667" s="219" t="s">
        <v>8379</v>
      </c>
      <c r="BU667" s="219" t="s">
        <v>8379</v>
      </c>
      <c r="BV667" s="219" t="s">
        <v>8379</v>
      </c>
      <c r="BW667" s="219" t="s">
        <v>8379</v>
      </c>
      <c r="BX667" s="219" t="s">
        <v>8379</v>
      </c>
      <c r="BY667" s="219" t="s">
        <v>8379</v>
      </c>
      <c r="CB667" s="267">
        <v>3.98</v>
      </c>
      <c r="CD667" s="277" t="s">
        <v>8379</v>
      </c>
      <c r="CE667" t="s">
        <v>8379</v>
      </c>
      <c r="CF667" s="219" t="s">
        <v>8379</v>
      </c>
      <c r="CG667" s="219" t="s">
        <v>8379</v>
      </c>
      <c r="CH667" s="136">
        <v>3</v>
      </c>
      <c r="CI667" s="136">
        <v>3</v>
      </c>
      <c r="CL667" s="136">
        <v>3</v>
      </c>
      <c r="CM667" s="259">
        <v>42161</v>
      </c>
      <c r="CN667" s="137" t="s">
        <v>8406</v>
      </c>
    </row>
    <row r="668" spans="1:92">
      <c r="A668" s="258">
        <v>1101</v>
      </c>
      <c r="B668" s="235">
        <v>225</v>
      </c>
      <c r="C668" s="235" t="s">
        <v>7689</v>
      </c>
      <c r="D668" s="235" t="s">
        <v>7515</v>
      </c>
      <c r="E668" s="235" t="s">
        <v>7689</v>
      </c>
      <c r="F668" s="235" t="s">
        <v>8511</v>
      </c>
      <c r="G668" s="235" t="str">
        <f t="shared" si="351"/>
        <v>Rapsodyn</v>
      </c>
      <c r="H668" s="235" t="s">
        <v>267</v>
      </c>
      <c r="I668" s="235">
        <v>1</v>
      </c>
      <c r="J668" s="235">
        <v>9071</v>
      </c>
      <c r="K668" s="235">
        <v>68</v>
      </c>
      <c r="L668" s="235">
        <f t="shared" si="343"/>
        <v>140</v>
      </c>
      <c r="M668" s="235">
        <v>4</v>
      </c>
      <c r="N668" s="235">
        <v>7</v>
      </c>
      <c r="O668" s="248">
        <v>42048</v>
      </c>
      <c r="P668" s="136">
        <v>6.15</v>
      </c>
      <c r="Q668" s="264">
        <v>42204</v>
      </c>
      <c r="V668" s="219">
        <f t="shared" si="352"/>
        <v>17.323814266641886</v>
      </c>
      <c r="X668">
        <v>15.55</v>
      </c>
      <c r="AB668" s="220">
        <f t="shared" si="353"/>
        <v>6.7216825590070721</v>
      </c>
      <c r="AD668" s="221">
        <f t="shared" si="354"/>
        <v>86011.751016107053</v>
      </c>
      <c r="AF668" s="220">
        <f t="shared" si="355"/>
        <v>36.038923675748855</v>
      </c>
      <c r="AH668" s="220">
        <f t="shared" si="356"/>
        <v>40.41144166376862</v>
      </c>
      <c r="AJ668">
        <v>4.1900000000000004</v>
      </c>
      <c r="AK668" s="285" t="s">
        <v>8400</v>
      </c>
      <c r="AL668" s="260">
        <v>155</v>
      </c>
      <c r="AN668" s="235">
        <v>72</v>
      </c>
      <c r="AO668" s="242">
        <v>42076</v>
      </c>
      <c r="AP668" s="235">
        <v>110</v>
      </c>
      <c r="AQ668" s="242">
        <v>42114</v>
      </c>
      <c r="AR668" s="136">
        <v>132</v>
      </c>
      <c r="AS668" s="297">
        <f t="shared" si="357"/>
        <v>132</v>
      </c>
      <c r="AT668" s="290">
        <v>42136</v>
      </c>
      <c r="AU668" s="298"/>
      <c r="BF668" s="282">
        <v>-2.8249869346618652</v>
      </c>
      <c r="BG668" s="283">
        <v>42235</v>
      </c>
      <c r="BL668" s="296">
        <v>61.071685791015625</v>
      </c>
      <c r="BM668" s="283">
        <v>42235</v>
      </c>
      <c r="BP668" s="282">
        <v>3.9974329471588135</v>
      </c>
      <c r="BQ668" s="283">
        <v>42235</v>
      </c>
      <c r="BR668" s="282">
        <v>48.069732666015625</v>
      </c>
      <c r="BS668" s="283">
        <v>42235</v>
      </c>
      <c r="BT668" s="282">
        <v>18.651174545288086</v>
      </c>
      <c r="BU668" s="283">
        <v>42235</v>
      </c>
      <c r="BV668" s="282">
        <v>19.272678375244141</v>
      </c>
      <c r="BW668" s="283">
        <v>42235</v>
      </c>
      <c r="BX668" s="282">
        <v>5.5205764770507812</v>
      </c>
      <c r="BY668" s="283">
        <v>42235</v>
      </c>
      <c r="CB668" s="267">
        <v>3.77</v>
      </c>
      <c r="CD668" s="282">
        <v>7.0175438596491295</v>
      </c>
      <c r="CE668" s="291" t="s">
        <v>8400</v>
      </c>
      <c r="CH668" s="136">
        <v>2</v>
      </c>
      <c r="CI668" s="136">
        <v>2</v>
      </c>
      <c r="CL668" s="136">
        <v>1</v>
      </c>
      <c r="CM668" s="259">
        <v>42161</v>
      </c>
      <c r="CN668" s="137" t="s">
        <v>8406</v>
      </c>
    </row>
    <row r="669" spans="1:92">
      <c r="A669" s="258">
        <v>1102</v>
      </c>
      <c r="B669" s="235">
        <v>226</v>
      </c>
      <c r="C669" s="235" t="s">
        <v>7850</v>
      </c>
      <c r="D669" s="235" t="s">
        <v>8422</v>
      </c>
      <c r="E669" s="235" t="s">
        <v>8461</v>
      </c>
      <c r="F669" s="235" t="s">
        <v>8487</v>
      </c>
      <c r="G669" s="235" t="str">
        <f t="shared" si="351"/>
        <v>Rapsodyn</v>
      </c>
      <c r="H669" s="235" t="s">
        <v>267</v>
      </c>
      <c r="I669" s="235">
        <v>1</v>
      </c>
      <c r="J669" s="235">
        <v>9357</v>
      </c>
      <c r="K669" s="235">
        <v>67</v>
      </c>
      <c r="L669" s="235">
        <f t="shared" si="343"/>
        <v>139</v>
      </c>
      <c r="M669" s="235">
        <v>4</v>
      </c>
      <c r="N669" s="235">
        <v>7</v>
      </c>
      <c r="O669" s="248">
        <v>42048</v>
      </c>
      <c r="P669" s="136">
        <v>7.48</v>
      </c>
      <c r="Q669" s="264">
        <v>42204</v>
      </c>
      <c r="V669" s="219">
        <f t="shared" si="352"/>
        <v>22.80097257941636</v>
      </c>
      <c r="X669">
        <v>15.55</v>
      </c>
      <c r="AB669" s="220">
        <f t="shared" si="353"/>
        <v>8.0562589303166945</v>
      </c>
      <c r="AD669" s="221">
        <f t="shared" si="354"/>
        <v>100569.10337762858</v>
      </c>
      <c r="AF669" s="220">
        <f t="shared" si="355"/>
        <v>45.457234726688114</v>
      </c>
      <c r="AH669" s="220">
        <f t="shared" si="356"/>
        <v>50.972454279757912</v>
      </c>
      <c r="AJ669">
        <v>4.5199999999999996</v>
      </c>
      <c r="AK669" s="285" t="s">
        <v>8400</v>
      </c>
      <c r="AL669" s="260">
        <v>170</v>
      </c>
      <c r="AN669" s="235">
        <v>70</v>
      </c>
      <c r="AO669" s="242">
        <v>42074</v>
      </c>
      <c r="AP669" s="235">
        <v>104</v>
      </c>
      <c r="AQ669" s="242">
        <v>42108</v>
      </c>
      <c r="AR669" s="136">
        <v>127</v>
      </c>
      <c r="AS669" s="297">
        <f t="shared" si="357"/>
        <v>127</v>
      </c>
      <c r="AT669" s="290">
        <v>42131</v>
      </c>
      <c r="AU669" s="298"/>
      <c r="BF669" s="282">
        <v>-6.4731712341308594</v>
      </c>
      <c r="BG669" s="283">
        <v>42235</v>
      </c>
      <c r="BL669" s="296">
        <v>64.185554504394531</v>
      </c>
      <c r="BM669" s="283">
        <v>42235</v>
      </c>
      <c r="BP669" s="282">
        <v>3.2702579498291016</v>
      </c>
      <c r="BQ669" s="283">
        <v>42235</v>
      </c>
      <c r="BR669" s="282">
        <v>50.159172058105469</v>
      </c>
      <c r="BS669" s="283">
        <v>42235</v>
      </c>
      <c r="BT669" s="282">
        <v>17.722721099853516</v>
      </c>
      <c r="BU669" s="283">
        <v>42235</v>
      </c>
      <c r="BV669" s="282">
        <v>18.075359344482422</v>
      </c>
      <c r="BW669" s="283">
        <v>42235</v>
      </c>
      <c r="BX669" s="282">
        <v>5.28125</v>
      </c>
      <c r="BY669" s="283">
        <v>42235</v>
      </c>
      <c r="CB669" s="267">
        <v>2.81</v>
      </c>
      <c r="CD669" s="282">
        <v>3.5714285714285587</v>
      </c>
      <c r="CE669" s="291" t="s">
        <v>8400</v>
      </c>
      <c r="CH669" s="136">
        <v>3</v>
      </c>
      <c r="CI669" s="136">
        <v>2</v>
      </c>
      <c r="CL669" s="136">
        <v>2</v>
      </c>
      <c r="CM669" s="259">
        <v>42161</v>
      </c>
      <c r="CN669" s="137" t="s">
        <v>8406</v>
      </c>
    </row>
    <row r="670" spans="1:92">
      <c r="A670" s="258">
        <v>1104</v>
      </c>
      <c r="B670" s="235">
        <v>228</v>
      </c>
      <c r="C670" s="235" t="s">
        <v>7618</v>
      </c>
      <c r="D670" s="235" t="s">
        <v>263</v>
      </c>
      <c r="E670" s="235" t="s">
        <v>7618</v>
      </c>
      <c r="F670" s="235" t="s">
        <v>8565</v>
      </c>
      <c r="G670" s="235" t="str">
        <f t="shared" si="351"/>
        <v>Rapsodyn</v>
      </c>
      <c r="H670" s="235" t="s">
        <v>267</v>
      </c>
      <c r="I670" s="235">
        <v>1</v>
      </c>
      <c r="J670" s="235">
        <v>9011</v>
      </c>
      <c r="K670" s="235">
        <v>65</v>
      </c>
      <c r="L670" s="235">
        <f t="shared" si="343"/>
        <v>137</v>
      </c>
      <c r="M670" s="235">
        <v>4</v>
      </c>
      <c r="N670" s="236">
        <v>9</v>
      </c>
      <c r="O670" s="248">
        <v>42048</v>
      </c>
      <c r="P670" s="136">
        <v>3.66</v>
      </c>
      <c r="Q670" s="264">
        <v>42204</v>
      </c>
      <c r="V670" s="219">
        <f t="shared" si="352"/>
        <v>10.526101619714961</v>
      </c>
      <c r="X670">
        <v>15.55</v>
      </c>
      <c r="AB670" s="220">
        <f t="shared" si="353"/>
        <v>5.1062486025705249</v>
      </c>
      <c r="AD670" s="221">
        <f t="shared" si="354"/>
        <v>50826.332252240791</v>
      </c>
      <c r="AF670" s="220">
        <f t="shared" si="355"/>
        <v>22.668544184499392</v>
      </c>
      <c r="AH670" s="220">
        <f t="shared" si="356"/>
        <v>25.418865423300506</v>
      </c>
      <c r="AJ670">
        <v>4.46</v>
      </c>
      <c r="AK670" s="285" t="s">
        <v>8399</v>
      </c>
      <c r="AL670" s="260">
        <v>160</v>
      </c>
      <c r="AN670" s="235">
        <v>72</v>
      </c>
      <c r="AO670" s="242">
        <v>42076</v>
      </c>
      <c r="AP670" s="235">
        <v>104</v>
      </c>
      <c r="AQ670" s="242">
        <v>42108</v>
      </c>
      <c r="AR670" s="136">
        <v>131</v>
      </c>
      <c r="AS670" s="297">
        <f t="shared" si="357"/>
        <v>131</v>
      </c>
      <c r="AT670" s="290">
        <v>42135</v>
      </c>
      <c r="AU670" s="298"/>
      <c r="BF670" s="282">
        <v>27.697532653808594</v>
      </c>
      <c r="BG670" s="283">
        <v>42235</v>
      </c>
      <c r="BL670" s="296">
        <v>60.358646392822266</v>
      </c>
      <c r="BM670" s="283">
        <v>42235</v>
      </c>
      <c r="BP670" s="282">
        <v>2.479301929473877</v>
      </c>
      <c r="BQ670" s="283">
        <v>42235</v>
      </c>
      <c r="BR670" s="282">
        <v>46.434837341308594</v>
      </c>
      <c r="BS670" s="283">
        <v>42235</v>
      </c>
      <c r="BT670" s="282">
        <v>22.525701522827148</v>
      </c>
      <c r="BU670" s="283">
        <v>42235</v>
      </c>
      <c r="BV670" s="282">
        <v>57.310409545898437</v>
      </c>
      <c r="BW670" s="283">
        <v>42235</v>
      </c>
      <c r="BX670" s="282">
        <v>5.7263870239257812</v>
      </c>
      <c r="BY670" s="283">
        <v>42235</v>
      </c>
      <c r="CB670" s="267">
        <v>4.3899999999999997</v>
      </c>
      <c r="CD670" s="282">
        <v>1.7241379310344769</v>
      </c>
      <c r="CE670" s="291" t="s">
        <v>8399</v>
      </c>
      <c r="CH670" s="136">
        <v>2</v>
      </c>
      <c r="CI670" s="136">
        <v>3</v>
      </c>
      <c r="CL670" s="136">
        <v>4</v>
      </c>
      <c r="CM670" s="259">
        <v>42161</v>
      </c>
      <c r="CN670" s="137" t="s">
        <v>8406</v>
      </c>
    </row>
    <row r="671" spans="1:92">
      <c r="A671" s="258">
        <v>1107</v>
      </c>
      <c r="B671" s="235">
        <v>231</v>
      </c>
      <c r="C671" s="235" t="s">
        <v>7696</v>
      </c>
      <c r="D671" s="235" t="s">
        <v>7522</v>
      </c>
      <c r="E671" s="235" t="s">
        <v>7696</v>
      </c>
      <c r="F671" s="235" t="s">
        <v>8443</v>
      </c>
      <c r="G671" s="235" t="str">
        <f t="shared" si="351"/>
        <v>Rapsodyn</v>
      </c>
      <c r="H671" s="235" t="s">
        <v>267</v>
      </c>
      <c r="I671" s="235">
        <v>1</v>
      </c>
      <c r="J671" s="235">
        <v>9078</v>
      </c>
      <c r="K671" s="235">
        <v>62</v>
      </c>
      <c r="L671" s="235">
        <f t="shared" si="343"/>
        <v>134</v>
      </c>
      <c r="M671" s="235">
        <v>4</v>
      </c>
      <c r="N671" s="235">
        <v>7</v>
      </c>
      <c r="O671" s="248">
        <v>42048</v>
      </c>
      <c r="P671" s="136">
        <v>6.66</v>
      </c>
      <c r="Q671" s="264">
        <v>42204</v>
      </c>
      <c r="V671" s="219">
        <f t="shared" si="352"/>
        <v>19.073112285607568</v>
      </c>
      <c r="X671">
        <v>15.55</v>
      </c>
      <c r="AB671" s="220">
        <f t="shared" si="353"/>
        <v>6.709555687613042</v>
      </c>
      <c r="AD671" s="221">
        <f t="shared" si="354"/>
        <v>82997.438552509688</v>
      </c>
      <c r="AF671" s="220">
        <f t="shared" si="355"/>
        <v>39.838770505204643</v>
      </c>
      <c r="AH671" s="220">
        <f t="shared" si="356"/>
        <v>44.672314986773536</v>
      </c>
      <c r="AJ671">
        <v>4.8</v>
      </c>
      <c r="AK671" s="285" t="s">
        <v>8402</v>
      </c>
      <c r="AL671" s="260">
        <v>165</v>
      </c>
      <c r="AN671" s="235">
        <v>70</v>
      </c>
      <c r="AO671" s="242">
        <v>42074</v>
      </c>
      <c r="AP671" s="235">
        <v>104</v>
      </c>
      <c r="AQ671" s="242">
        <v>42108</v>
      </c>
      <c r="AR671" s="136">
        <v>127</v>
      </c>
      <c r="AS671" s="297">
        <f t="shared" si="357"/>
        <v>127</v>
      </c>
      <c r="AT671" s="290">
        <v>42131</v>
      </c>
      <c r="AU671" s="298"/>
      <c r="BF671" s="282">
        <v>-0.98602902889251709</v>
      </c>
      <c r="BG671" s="283">
        <v>42234</v>
      </c>
      <c r="BL671" s="296">
        <v>61.503398895263672</v>
      </c>
      <c r="BM671" s="283">
        <v>42234</v>
      </c>
      <c r="BP671" s="282">
        <v>3.0287799835205078</v>
      </c>
      <c r="BQ671" s="283">
        <v>42234</v>
      </c>
      <c r="BR671" s="282">
        <v>47.875755310058594</v>
      </c>
      <c r="BS671" s="283">
        <v>42234</v>
      </c>
      <c r="BT671" s="282">
        <v>16.841773986816406</v>
      </c>
      <c r="BU671" s="283">
        <v>42234</v>
      </c>
      <c r="BV671" s="282">
        <v>14.398212432861328</v>
      </c>
      <c r="BW671" s="283">
        <v>42234</v>
      </c>
      <c r="BX671" s="282">
        <v>5.3438796997070312</v>
      </c>
      <c r="BY671" s="283">
        <v>42234</v>
      </c>
      <c r="CB671" s="267">
        <v>3.07</v>
      </c>
      <c r="CD671" s="282">
        <v>5.0847457627118757</v>
      </c>
      <c r="CE671" s="291" t="s">
        <v>8402</v>
      </c>
      <c r="CH671" s="136">
        <v>2</v>
      </c>
      <c r="CI671" s="136">
        <v>3</v>
      </c>
      <c r="CL671" s="136">
        <v>2</v>
      </c>
      <c r="CM671" s="259">
        <v>42161</v>
      </c>
      <c r="CN671" s="137" t="s">
        <v>8406</v>
      </c>
    </row>
    <row r="672" spans="1:92">
      <c r="A672" s="258">
        <v>1110</v>
      </c>
      <c r="B672" s="235">
        <v>234</v>
      </c>
      <c r="C672" s="235" t="s">
        <v>7606</v>
      </c>
      <c r="D672" s="235" t="s">
        <v>7811</v>
      </c>
      <c r="E672" s="235" t="s">
        <v>7606</v>
      </c>
      <c r="F672" s="235" t="s">
        <v>8441</v>
      </c>
      <c r="G672" s="235" t="str">
        <f t="shared" si="351"/>
        <v>Rapsodyn</v>
      </c>
      <c r="H672" s="235" t="s">
        <v>267</v>
      </c>
      <c r="I672" s="235">
        <v>1</v>
      </c>
      <c r="J672" s="235">
        <v>9002</v>
      </c>
      <c r="K672" s="235">
        <v>59</v>
      </c>
      <c r="L672" s="235">
        <f t="shared" si="343"/>
        <v>131</v>
      </c>
      <c r="M672" s="235">
        <v>4</v>
      </c>
      <c r="N672" s="235">
        <v>9</v>
      </c>
      <c r="O672" s="248">
        <v>42048</v>
      </c>
      <c r="P672" s="136">
        <v>3.31</v>
      </c>
      <c r="Q672" s="264">
        <v>42204</v>
      </c>
      <c r="V672" s="219">
        <f t="shared" si="352"/>
        <v>9.6390453293121041</v>
      </c>
      <c r="X672">
        <v>15.55</v>
      </c>
      <c r="AB672" s="220">
        <f t="shared" si="353"/>
        <v>4.1419543023113397</v>
      </c>
      <c r="AD672" s="221">
        <f t="shared" si="354"/>
        <v>43103.464269820666</v>
      </c>
      <c r="AF672" s="220">
        <f t="shared" si="355"/>
        <v>20.474145528164815</v>
      </c>
      <c r="AH672" s="220">
        <f t="shared" si="356"/>
        <v>22.958225530572793</v>
      </c>
      <c r="AJ672">
        <v>4.75</v>
      </c>
      <c r="AK672" s="285" t="s">
        <v>8403</v>
      </c>
      <c r="AL672" s="260">
        <v>190</v>
      </c>
      <c r="AN672" s="235">
        <v>70</v>
      </c>
      <c r="AO672" s="242">
        <v>42074</v>
      </c>
      <c r="AP672" s="235">
        <v>110</v>
      </c>
      <c r="AQ672" s="242">
        <v>42114</v>
      </c>
      <c r="AR672" s="136">
        <v>137</v>
      </c>
      <c r="AS672" s="297">
        <f t="shared" si="357"/>
        <v>137</v>
      </c>
      <c r="AT672" s="290">
        <v>42141</v>
      </c>
      <c r="AU672" s="298"/>
      <c r="BF672" s="282">
        <v>38.077323913574219</v>
      </c>
      <c r="BG672" s="283">
        <v>42234</v>
      </c>
      <c r="BL672" s="296">
        <v>58.710102081298828</v>
      </c>
      <c r="BM672" s="283">
        <v>42234</v>
      </c>
      <c r="BP672" s="282">
        <v>2.8366789817810059</v>
      </c>
      <c r="BQ672" s="283">
        <v>42234</v>
      </c>
      <c r="BR672" s="282">
        <v>47.079109191894531</v>
      </c>
      <c r="BS672" s="283">
        <v>42234</v>
      </c>
      <c r="BT672" s="282">
        <v>20.230169296264648</v>
      </c>
      <c r="BU672" s="283">
        <v>42234</v>
      </c>
      <c r="BV672" s="282">
        <v>65.5982666015625</v>
      </c>
      <c r="BW672" s="283">
        <v>42234</v>
      </c>
      <c r="BX672" s="282">
        <v>5.6578445434570313</v>
      </c>
      <c r="BY672" s="283">
        <v>42234</v>
      </c>
      <c r="CB672" s="267">
        <v>4.95</v>
      </c>
      <c r="CD672" s="282">
        <v>1.8518518518518614</v>
      </c>
      <c r="CE672" s="291" t="s">
        <v>8403</v>
      </c>
      <c r="CH672" s="136">
        <v>2</v>
      </c>
      <c r="CI672" s="136">
        <v>3</v>
      </c>
      <c r="CL672" s="136">
        <v>6</v>
      </c>
      <c r="CM672" s="259">
        <v>42161</v>
      </c>
      <c r="CN672" s="137" t="s">
        <v>8406</v>
      </c>
    </row>
    <row r="673" spans="1:93">
      <c r="A673" s="258">
        <v>1115</v>
      </c>
      <c r="B673" s="235">
        <v>239</v>
      </c>
      <c r="C673" s="235" t="s">
        <v>7739</v>
      </c>
      <c r="D673" s="235" t="s">
        <v>8418</v>
      </c>
      <c r="E673" s="235" t="s">
        <v>7739</v>
      </c>
      <c r="F673" s="235" t="s">
        <v>8490</v>
      </c>
      <c r="G673" s="235" t="str">
        <f t="shared" si="351"/>
        <v>Rapsodyn</v>
      </c>
      <c r="H673" s="235" t="s">
        <v>267</v>
      </c>
      <c r="I673" s="235">
        <v>1</v>
      </c>
      <c r="J673" s="235">
        <v>9119</v>
      </c>
      <c r="K673" s="235">
        <v>54</v>
      </c>
      <c r="L673" s="235">
        <f t="shared" si="343"/>
        <v>126</v>
      </c>
      <c r="M673" s="235">
        <v>4</v>
      </c>
      <c r="N673" s="235">
        <v>7</v>
      </c>
      <c r="O673" s="248">
        <v>42048</v>
      </c>
      <c r="P673" s="136">
        <v>3.43</v>
      </c>
      <c r="Q673" s="264">
        <v>42204</v>
      </c>
      <c r="V673" s="219">
        <f t="shared" si="352"/>
        <v>9.4937136790930357</v>
      </c>
      <c r="X673">
        <v>15.55</v>
      </c>
      <c r="AB673" s="220">
        <f t="shared" si="353"/>
        <v>4.4216668889240518</v>
      </c>
      <c r="AD673" s="221">
        <f t="shared" si="354"/>
        <v>48072.765583175824</v>
      </c>
      <c r="AF673" s="220">
        <f t="shared" si="355"/>
        <v>20.4789981384329</v>
      </c>
      <c r="AH673" s="220">
        <f t="shared" si="356"/>
        <v>22.963666896650484</v>
      </c>
      <c r="AJ673">
        <v>4.26</v>
      </c>
      <c r="AK673" s="285" t="s">
        <v>8399</v>
      </c>
      <c r="AL673" s="260">
        <v>190</v>
      </c>
      <c r="AN673" s="235">
        <v>72</v>
      </c>
      <c r="AO673" s="242">
        <v>42076</v>
      </c>
      <c r="AP673" s="235">
        <v>110</v>
      </c>
      <c r="AQ673" s="242">
        <v>42114</v>
      </c>
      <c r="AR673" s="136">
        <v>141</v>
      </c>
      <c r="AS673" s="297">
        <f t="shared" si="357"/>
        <v>141</v>
      </c>
      <c r="AT673" s="290">
        <v>42145</v>
      </c>
      <c r="AU673" s="298"/>
      <c r="BF673" s="282">
        <v>43.78289794921875</v>
      </c>
      <c r="BG673" s="283">
        <v>42234</v>
      </c>
      <c r="BL673" s="296">
        <v>61.394512176513672</v>
      </c>
      <c r="BM673" s="283">
        <v>42234</v>
      </c>
      <c r="BP673" s="282">
        <v>3.2432980537414551</v>
      </c>
      <c r="BQ673" s="283">
        <v>42234</v>
      </c>
      <c r="BR673" s="282">
        <v>46.358291625976563</v>
      </c>
      <c r="BS673" s="283">
        <v>42234</v>
      </c>
      <c r="BT673" s="282">
        <v>21.591226577758789</v>
      </c>
      <c r="BU673" s="283">
        <v>42234</v>
      </c>
      <c r="BV673" s="282">
        <v>71.1771240234375</v>
      </c>
      <c r="BW673" s="283">
        <v>42234</v>
      </c>
      <c r="BX673" s="282">
        <v>5.7513885498046875</v>
      </c>
      <c r="BY673" s="283">
        <v>42234</v>
      </c>
      <c r="CB673" s="267">
        <v>7.07</v>
      </c>
      <c r="CD673" s="282">
        <v>5.2631578947368389</v>
      </c>
      <c r="CE673" s="291" t="s">
        <v>8399</v>
      </c>
      <c r="CH673" s="136">
        <v>4</v>
      </c>
      <c r="CI673" s="136">
        <v>3</v>
      </c>
      <c r="CL673" s="136">
        <v>7</v>
      </c>
      <c r="CM673" s="259">
        <v>42161</v>
      </c>
      <c r="CN673" s="137" t="s">
        <v>8406</v>
      </c>
    </row>
    <row r="674" spans="1:93">
      <c r="A674" s="258">
        <v>1116</v>
      </c>
      <c r="B674" s="235">
        <v>240</v>
      </c>
      <c r="C674" s="235" t="s">
        <v>7637</v>
      </c>
      <c r="D674" s="235" t="s">
        <v>7470</v>
      </c>
      <c r="E674" s="235" t="s">
        <v>7637</v>
      </c>
      <c r="F674" s="235" t="s">
        <v>8549</v>
      </c>
      <c r="G674" s="235" t="str">
        <f t="shared" si="351"/>
        <v>Rapsodyn</v>
      </c>
      <c r="H674" s="235" t="s">
        <v>267</v>
      </c>
      <c r="I674" s="235">
        <v>1</v>
      </c>
      <c r="J674" s="235">
        <v>9025</v>
      </c>
      <c r="K674" s="235">
        <v>53</v>
      </c>
      <c r="L674" s="235">
        <f t="shared" si="343"/>
        <v>125</v>
      </c>
      <c r="M674" s="235">
        <v>4</v>
      </c>
      <c r="N674" s="235">
        <v>7</v>
      </c>
      <c r="O674" s="248">
        <v>42048</v>
      </c>
      <c r="P674" s="136">
        <v>4.79</v>
      </c>
      <c r="Q674" s="264">
        <v>42204</v>
      </c>
      <c r="V674" s="219">
        <f t="shared" si="352"/>
        <v>13.173758903724204</v>
      </c>
      <c r="X674">
        <v>15.55</v>
      </c>
      <c r="AB674" s="220">
        <f t="shared" si="353"/>
        <v>5.8077812261612083</v>
      </c>
      <c r="AD674" s="221">
        <f t="shared" si="354"/>
        <v>61841.079606352912</v>
      </c>
      <c r="AF674" s="220">
        <f t="shared" si="355"/>
        <v>28.570578778135047</v>
      </c>
      <c r="AH674" s="220">
        <f t="shared" si="356"/>
        <v>32.036980015850013</v>
      </c>
      <c r="AJ674">
        <v>4.62</v>
      </c>
      <c r="AK674" s="285" t="s">
        <v>8399</v>
      </c>
      <c r="AL674" s="260">
        <v>165</v>
      </c>
      <c r="AN674" s="235">
        <v>72</v>
      </c>
      <c r="AO674" s="242">
        <v>42076</v>
      </c>
      <c r="AP674" s="235">
        <v>106</v>
      </c>
      <c r="AQ674" s="242">
        <v>42110</v>
      </c>
      <c r="AR674" s="136">
        <v>132</v>
      </c>
      <c r="AS674" s="297">
        <f t="shared" si="357"/>
        <v>132</v>
      </c>
      <c r="AT674" s="290">
        <v>42136</v>
      </c>
      <c r="AU674" s="298"/>
      <c r="BF674" s="282">
        <v>-6.1207008361816406</v>
      </c>
      <c r="BG674" s="283">
        <v>42234</v>
      </c>
      <c r="BL674" s="296">
        <v>59.976951599121094</v>
      </c>
      <c r="BM674" s="283">
        <v>42234</v>
      </c>
      <c r="BP674" s="282">
        <v>3.3698151111602783</v>
      </c>
      <c r="BQ674" s="283">
        <v>42234</v>
      </c>
      <c r="BR674" s="282">
        <v>46.109527587890625</v>
      </c>
      <c r="BS674" s="283">
        <v>42234</v>
      </c>
      <c r="BT674" s="282">
        <v>20.327838897705078</v>
      </c>
      <c r="BU674" s="283">
        <v>42234</v>
      </c>
      <c r="BV674" s="282">
        <v>66.957099914550781</v>
      </c>
      <c r="BW674" s="283">
        <v>42234</v>
      </c>
      <c r="BX674" s="282">
        <v>6.0394973754882812</v>
      </c>
      <c r="BY674" s="283">
        <v>42234</v>
      </c>
      <c r="CB674" s="267">
        <v>4.45</v>
      </c>
      <c r="CD674" s="282">
        <v>5.3571428571428541</v>
      </c>
      <c r="CE674" s="291" t="s">
        <v>8399</v>
      </c>
      <c r="CH674" s="136">
        <v>4</v>
      </c>
      <c r="CI674" s="136">
        <v>2</v>
      </c>
      <c r="CL674" s="136">
        <v>4</v>
      </c>
      <c r="CM674" s="259">
        <v>42161</v>
      </c>
      <c r="CN674" s="137" t="s">
        <v>8406</v>
      </c>
    </row>
    <row r="675" spans="1:93">
      <c r="A675" s="258">
        <v>1117</v>
      </c>
      <c r="B675" s="235">
        <v>241</v>
      </c>
      <c r="C675" s="235" t="s">
        <v>7576</v>
      </c>
      <c r="D675" s="235"/>
      <c r="E675" s="235"/>
      <c r="F675" s="235"/>
      <c r="G675" s="235"/>
      <c r="H675" s="235" t="s">
        <v>267</v>
      </c>
      <c r="I675" s="235">
        <v>1</v>
      </c>
      <c r="K675" s="235">
        <v>52</v>
      </c>
      <c r="L675" s="235">
        <f t="shared" si="343"/>
        <v>124</v>
      </c>
      <c r="M675" s="235">
        <v>4</v>
      </c>
      <c r="O675" s="248">
        <v>42048</v>
      </c>
      <c r="V675" s="219"/>
      <c r="X675">
        <v>15.55</v>
      </c>
      <c r="AB675" s="220"/>
      <c r="AD675" s="221"/>
      <c r="AF675" s="220"/>
      <c r="AH675" s="220"/>
      <c r="AJ675" s="286"/>
      <c r="AK675" s="285"/>
      <c r="AL675" s="260"/>
      <c r="AN675" s="235">
        <v>70</v>
      </c>
      <c r="AO675" s="242">
        <v>42074</v>
      </c>
      <c r="AP675" s="235">
        <v>106</v>
      </c>
      <c r="AQ675" s="242">
        <v>42110</v>
      </c>
      <c r="AS675" s="297"/>
      <c r="AT675" s="290"/>
      <c r="AU675" s="298"/>
      <c r="BF675" s="282"/>
      <c r="BG675" s="235"/>
      <c r="BL675" s="296"/>
      <c r="BM675" s="235"/>
      <c r="BP675" s="282"/>
      <c r="BQ675" s="235"/>
      <c r="BR675" s="282"/>
      <c r="BS675" s="235"/>
      <c r="BT675" s="282"/>
      <c r="BU675" s="235"/>
      <c r="BV675" s="282"/>
      <c r="BW675" s="235"/>
      <c r="BX675" s="282"/>
      <c r="BY675" s="235"/>
      <c r="CB675" s="267"/>
      <c r="CD675" s="282"/>
      <c r="CE675" s="291"/>
      <c r="CL675" s="136">
        <v>3</v>
      </c>
      <c r="CM675" s="259">
        <v>42161</v>
      </c>
    </row>
    <row r="676" spans="1:93">
      <c r="A676" s="258">
        <v>1118</v>
      </c>
      <c r="B676" s="235">
        <v>242</v>
      </c>
      <c r="C676" s="235" t="s">
        <v>7576</v>
      </c>
      <c r="D676" s="235"/>
      <c r="E676" s="235"/>
      <c r="F676" s="235"/>
      <c r="G676" s="235"/>
      <c r="H676" s="235" t="s">
        <v>267</v>
      </c>
      <c r="I676" s="235">
        <v>1</v>
      </c>
      <c r="K676" s="235">
        <v>51</v>
      </c>
      <c r="L676" s="235">
        <f t="shared" si="343"/>
        <v>123</v>
      </c>
      <c r="M676" s="235">
        <v>4</v>
      </c>
      <c r="O676" s="248">
        <v>42048</v>
      </c>
      <c r="V676" s="219"/>
      <c r="X676">
        <v>15.55</v>
      </c>
      <c r="AB676" s="220"/>
      <c r="AD676" s="221"/>
      <c r="AF676" s="220"/>
      <c r="AH676" s="220"/>
      <c r="AJ676" s="286"/>
      <c r="AK676" s="285"/>
      <c r="AL676" s="260"/>
      <c r="AN676" s="235">
        <v>70</v>
      </c>
      <c r="AO676" s="242">
        <v>42074</v>
      </c>
      <c r="AP676" s="235">
        <v>106</v>
      </c>
      <c r="AQ676" s="242">
        <v>42110</v>
      </c>
      <c r="AS676" s="297"/>
      <c r="AT676" s="290"/>
      <c r="AU676" s="298"/>
      <c r="BF676" s="282"/>
      <c r="BG676" s="235"/>
      <c r="BL676" s="296"/>
      <c r="BM676" s="235"/>
      <c r="BP676" s="282"/>
      <c r="BQ676" s="235"/>
      <c r="BR676" s="282"/>
      <c r="BS676" s="235"/>
      <c r="BT676" s="282"/>
      <c r="BU676" s="235"/>
      <c r="BV676" s="282"/>
      <c r="BW676" s="235"/>
      <c r="BX676" s="282"/>
      <c r="BY676" s="235"/>
      <c r="CB676" s="267"/>
      <c r="CD676" s="282"/>
      <c r="CE676" s="291"/>
      <c r="CL676" s="136">
        <v>2</v>
      </c>
      <c r="CM676" s="259">
        <v>42161</v>
      </c>
    </row>
    <row r="677" spans="1:93">
      <c r="A677" s="258">
        <v>1119</v>
      </c>
      <c r="B677" s="235">
        <v>243</v>
      </c>
      <c r="C677" s="235" t="s">
        <v>7711</v>
      </c>
      <c r="D677" s="235" t="s">
        <v>7536</v>
      </c>
      <c r="E677" s="235" t="s">
        <v>7711</v>
      </c>
      <c r="F677" s="235" t="s">
        <v>8517</v>
      </c>
      <c r="G677" s="235" t="str">
        <f t="shared" ref="G677:G688" si="358">IF(MID(C677,1,3)="BGA","Complement","Rapsodyn")</f>
        <v>Rapsodyn</v>
      </c>
      <c r="H677" s="235" t="s">
        <v>267</v>
      </c>
      <c r="I677" s="235">
        <v>1</v>
      </c>
      <c r="J677" s="235">
        <v>9093</v>
      </c>
      <c r="K677" s="235">
        <v>50</v>
      </c>
      <c r="L677" s="235">
        <f t="shared" si="343"/>
        <v>122</v>
      </c>
      <c r="M677" s="235">
        <v>4</v>
      </c>
      <c r="N677" s="235">
        <v>5</v>
      </c>
      <c r="O677" s="248">
        <v>42048</v>
      </c>
      <c r="P677" s="136">
        <v>4.7300000000000004</v>
      </c>
      <c r="Q677" s="264">
        <v>42204</v>
      </c>
      <c r="V677" s="219">
        <f t="shared" ref="V677:V688" si="359">+BR677*AF677/100</f>
        <v>12.918682724691079</v>
      </c>
      <c r="X677">
        <v>15.55</v>
      </c>
      <c r="AB677" s="220">
        <f t="shared" ref="AB677:AB688" si="360">+AF677*BT677/100</f>
        <v>5.0317844952118342</v>
      </c>
      <c r="AD677" s="221">
        <f t="shared" ref="AD677:AD688" si="361">+(AF677/AJ677)*10000</f>
        <v>74294.676314068871</v>
      </c>
      <c r="AF677" s="220">
        <f t="shared" ref="AF677:AF688" si="362">($P677/$X677)*(((100-$CD677)/100*(100-2)/100))*100</f>
        <v>26.671788796750722</v>
      </c>
      <c r="AH677" s="220">
        <f t="shared" ref="AH677:AH688" si="363">($P677/$X677)*(((100-$CD677)/(100-9)*(100-2)/(100-2))*100)</f>
        <v>29.907814304497322</v>
      </c>
      <c r="AJ677">
        <v>3.59</v>
      </c>
      <c r="AK677" s="285" t="s">
        <v>8400</v>
      </c>
      <c r="AL677" s="260">
        <v>170</v>
      </c>
      <c r="AN677" s="235">
        <v>79</v>
      </c>
      <c r="AO677" s="242">
        <v>42083</v>
      </c>
      <c r="AP677" s="235">
        <v>110</v>
      </c>
      <c r="AQ677" s="242">
        <v>42114</v>
      </c>
      <c r="AR677" s="136">
        <v>148</v>
      </c>
      <c r="AS677" s="297">
        <f t="shared" ref="AS677:AS688" si="364">IF(AR677=0,,AR677)</f>
        <v>148</v>
      </c>
      <c r="AT677" s="290">
        <v>42152</v>
      </c>
      <c r="AU677" s="298"/>
      <c r="BF677" s="282">
        <v>-2.81439208984375</v>
      </c>
      <c r="BG677" s="283">
        <v>42234</v>
      </c>
      <c r="BL677" s="296">
        <v>63.371688842773438</v>
      </c>
      <c r="BM677" s="283">
        <v>42234</v>
      </c>
      <c r="BP677" s="282">
        <v>3.4699599742889404</v>
      </c>
      <c r="BQ677" s="283">
        <v>42234</v>
      </c>
      <c r="BR677" s="282">
        <v>48.435756683349609</v>
      </c>
      <c r="BS677" s="283">
        <v>42234</v>
      </c>
      <c r="BT677" s="282">
        <v>18.865568161010742</v>
      </c>
      <c r="BU677" s="283">
        <v>42234</v>
      </c>
      <c r="BV677" s="282">
        <v>18.458076477050781</v>
      </c>
      <c r="BW677" s="283">
        <v>42234</v>
      </c>
      <c r="BX677" s="282">
        <v>5.6625747680664062</v>
      </c>
      <c r="BY677" s="283">
        <v>42234</v>
      </c>
      <c r="CB677" s="267">
        <v>3.92</v>
      </c>
      <c r="CD677" s="282">
        <v>10.526315789473681</v>
      </c>
      <c r="CE677" s="291" t="s">
        <v>8400</v>
      </c>
      <c r="CH677" s="136">
        <v>1</v>
      </c>
      <c r="CI677" s="136">
        <v>4</v>
      </c>
      <c r="CL677" s="136">
        <v>3</v>
      </c>
      <c r="CM677" s="259">
        <v>42161</v>
      </c>
      <c r="CN677" s="137" t="s">
        <v>8406</v>
      </c>
    </row>
    <row r="678" spans="1:93">
      <c r="A678" s="258">
        <v>1121</v>
      </c>
      <c r="B678" s="235">
        <v>245</v>
      </c>
      <c r="C678" s="235" t="s">
        <v>8223</v>
      </c>
      <c r="D678" s="235" t="s">
        <v>7562</v>
      </c>
      <c r="E678" s="235" t="s">
        <v>8461</v>
      </c>
      <c r="F678" s="235" t="s">
        <v>8469</v>
      </c>
      <c r="G678" s="235" t="str">
        <f t="shared" si="358"/>
        <v>Complement</v>
      </c>
      <c r="H678" s="235" t="s">
        <v>267</v>
      </c>
      <c r="I678" s="235">
        <v>1</v>
      </c>
      <c r="J678" s="235">
        <v>9278</v>
      </c>
      <c r="K678" s="235">
        <v>48</v>
      </c>
      <c r="L678" s="235">
        <f t="shared" si="343"/>
        <v>120</v>
      </c>
      <c r="M678" s="235">
        <v>4</v>
      </c>
      <c r="N678" s="235">
        <v>7</v>
      </c>
      <c r="O678" s="248">
        <v>42048</v>
      </c>
      <c r="P678" s="136">
        <v>6.26</v>
      </c>
      <c r="Q678" s="264">
        <v>42204</v>
      </c>
      <c r="V678" s="219">
        <f t="shared" si="359"/>
        <v>18.453620821720573</v>
      </c>
      <c r="X678">
        <v>15.55</v>
      </c>
      <c r="AB678" s="220">
        <f t="shared" si="360"/>
        <v>6.7201559956240127</v>
      </c>
      <c r="AD678" s="221">
        <f t="shared" si="361"/>
        <v>71092.097501162105</v>
      </c>
      <c r="AF678" s="220">
        <f t="shared" si="362"/>
        <v>36.683522310599649</v>
      </c>
      <c r="AH678" s="220">
        <f t="shared" si="363"/>
        <v>41.134247937429521</v>
      </c>
      <c r="AJ678">
        <v>5.16</v>
      </c>
      <c r="AK678" s="285" t="s">
        <v>8399</v>
      </c>
      <c r="AL678" s="260">
        <v>165</v>
      </c>
      <c r="AN678" s="235">
        <v>72</v>
      </c>
      <c r="AO678" s="242">
        <v>42076</v>
      </c>
      <c r="AP678" s="235">
        <v>104</v>
      </c>
      <c r="AQ678" s="242">
        <v>42108</v>
      </c>
      <c r="AR678" s="136">
        <v>125</v>
      </c>
      <c r="AS678" s="297">
        <f t="shared" si="364"/>
        <v>125</v>
      </c>
      <c r="AT678" s="290">
        <v>42129</v>
      </c>
      <c r="AU678" s="298"/>
      <c r="BF678" s="282">
        <v>-1.6482980251312256</v>
      </c>
      <c r="BG678" s="283">
        <v>42234</v>
      </c>
      <c r="BL678" s="296">
        <v>64.131378173828125</v>
      </c>
      <c r="BM678" s="283">
        <v>42234</v>
      </c>
      <c r="BP678" s="282">
        <v>3.2336280345916748</v>
      </c>
      <c r="BQ678" s="283">
        <v>42234</v>
      </c>
      <c r="BR678" s="282">
        <v>50.304931640625</v>
      </c>
      <c r="BS678" s="283">
        <v>42234</v>
      </c>
      <c r="BT678" s="282">
        <v>18.319276809692383</v>
      </c>
      <c r="BU678" s="283">
        <v>42234</v>
      </c>
      <c r="BV678" s="282">
        <v>16.747859954833984</v>
      </c>
      <c r="BW678" s="283">
        <v>42234</v>
      </c>
      <c r="BX678" s="282">
        <v>5.408050537109375</v>
      </c>
      <c r="BY678" s="283">
        <v>42234</v>
      </c>
      <c r="CB678" s="267">
        <v>4.01</v>
      </c>
      <c r="CD678" s="282">
        <v>7.0175438596491295</v>
      </c>
      <c r="CE678" s="291" t="s">
        <v>8399</v>
      </c>
      <c r="CH678" s="136">
        <v>2</v>
      </c>
      <c r="CI678" s="136">
        <v>2</v>
      </c>
      <c r="CL678" s="136">
        <v>1</v>
      </c>
      <c r="CM678" s="259">
        <v>42161</v>
      </c>
      <c r="CN678" s="137" t="s">
        <v>8406</v>
      </c>
    </row>
    <row r="679" spans="1:93">
      <c r="A679" s="258">
        <v>1123</v>
      </c>
      <c r="B679" s="235">
        <v>247</v>
      </c>
      <c r="C679" s="235" t="s">
        <v>7803</v>
      </c>
      <c r="D679" s="235" t="s">
        <v>8419</v>
      </c>
      <c r="E679" s="235" t="s">
        <v>7803</v>
      </c>
      <c r="F679" s="235" t="s">
        <v>8436</v>
      </c>
      <c r="G679" s="235" t="str">
        <f t="shared" si="358"/>
        <v>Rapsodyn</v>
      </c>
      <c r="H679" s="235" t="s">
        <v>267</v>
      </c>
      <c r="I679" s="235">
        <v>1</v>
      </c>
      <c r="J679" s="235">
        <v>9174</v>
      </c>
      <c r="K679" s="235">
        <v>46</v>
      </c>
      <c r="L679" s="235">
        <f t="shared" si="343"/>
        <v>118</v>
      </c>
      <c r="M679" s="235">
        <v>4</v>
      </c>
      <c r="N679" s="235">
        <v>7</v>
      </c>
      <c r="O679" s="248">
        <v>42048</v>
      </c>
      <c r="P679" s="136">
        <v>7.62</v>
      </c>
      <c r="Q679" s="264">
        <v>42204</v>
      </c>
      <c r="V679" s="219">
        <f t="shared" si="359"/>
        <v>23.277951396835519</v>
      </c>
      <c r="X679">
        <v>15.55</v>
      </c>
      <c r="AB679" s="220">
        <f t="shared" si="360"/>
        <v>7.2800689488858428</v>
      </c>
      <c r="AD679" s="221">
        <f t="shared" si="361"/>
        <v>113414.99928401267</v>
      </c>
      <c r="AF679" s="220">
        <f t="shared" si="362"/>
        <v>45.252584714321053</v>
      </c>
      <c r="AH679" s="220">
        <f t="shared" si="363"/>
        <v>50.742974561920903</v>
      </c>
      <c r="AJ679">
        <v>3.99</v>
      </c>
      <c r="AK679" s="285" t="s">
        <v>8399</v>
      </c>
      <c r="AL679" s="260">
        <v>170</v>
      </c>
      <c r="AN679" s="235">
        <v>63</v>
      </c>
      <c r="AO679" s="242">
        <v>42067</v>
      </c>
      <c r="AP679" s="235">
        <v>104</v>
      </c>
      <c r="AQ679" s="242">
        <v>42108</v>
      </c>
      <c r="AR679" s="136">
        <v>131</v>
      </c>
      <c r="AS679" s="297">
        <f t="shared" si="364"/>
        <v>131</v>
      </c>
      <c r="AT679" s="290">
        <v>42135</v>
      </c>
      <c r="AU679" s="298"/>
      <c r="BF679" s="282">
        <v>-2.7697560787200928</v>
      </c>
      <c r="BG679" s="283">
        <v>42234</v>
      </c>
      <c r="BL679" s="296">
        <v>64.615249633789063</v>
      </c>
      <c r="BM679" s="283">
        <v>42234</v>
      </c>
      <c r="BP679" s="282">
        <v>3.3383760452270508</v>
      </c>
      <c r="BQ679" s="283">
        <v>42234</v>
      </c>
      <c r="BR679" s="282">
        <v>51.440048217773438</v>
      </c>
      <c r="BS679" s="283">
        <v>42234</v>
      </c>
      <c r="BT679" s="282">
        <v>16.087631225585937</v>
      </c>
      <c r="BU679" s="283">
        <v>42234</v>
      </c>
      <c r="BV679" s="282">
        <v>13.298624038696289</v>
      </c>
      <c r="BW679" s="283">
        <v>42234</v>
      </c>
      <c r="BX679" s="282">
        <v>5.5935745239257812</v>
      </c>
      <c r="BY679" s="283">
        <v>42234</v>
      </c>
      <c r="CB679" s="267">
        <v>3.03</v>
      </c>
      <c r="CD679" s="282">
        <v>5.7692307692307656</v>
      </c>
      <c r="CE679" s="291" t="s">
        <v>8399</v>
      </c>
      <c r="CH679" s="136">
        <v>1</v>
      </c>
      <c r="CI679" s="136">
        <v>4</v>
      </c>
      <c r="CL679" s="136">
        <v>1</v>
      </c>
      <c r="CM679" s="259">
        <v>42161</v>
      </c>
      <c r="CN679" s="137" t="s">
        <v>8406</v>
      </c>
    </row>
    <row r="680" spans="1:93">
      <c r="A680" s="258">
        <v>1124</v>
      </c>
      <c r="B680" s="235">
        <v>248</v>
      </c>
      <c r="C680" s="235" t="s">
        <v>7732</v>
      </c>
      <c r="D680" s="235" t="s">
        <v>7555</v>
      </c>
      <c r="E680" s="235" t="s">
        <v>7732</v>
      </c>
      <c r="F680" s="235" t="s">
        <v>8554</v>
      </c>
      <c r="G680" s="235" t="str">
        <f t="shared" si="358"/>
        <v>Rapsodyn</v>
      </c>
      <c r="H680" s="235" t="s">
        <v>267</v>
      </c>
      <c r="I680" s="235">
        <v>1</v>
      </c>
      <c r="J680" s="235">
        <v>9113</v>
      </c>
      <c r="K680" s="235">
        <v>45</v>
      </c>
      <c r="L680" s="235">
        <f t="shared" si="343"/>
        <v>117</v>
      </c>
      <c r="M680" s="235">
        <v>4</v>
      </c>
      <c r="N680" s="236">
        <v>9</v>
      </c>
      <c r="O680" s="248">
        <v>42048</v>
      </c>
      <c r="P680" s="136">
        <v>5.64</v>
      </c>
      <c r="Q680" s="264">
        <v>42204</v>
      </c>
      <c r="V680" s="219">
        <f t="shared" si="359"/>
        <v>15.952911206025588</v>
      </c>
      <c r="X680">
        <v>15.55</v>
      </c>
      <c r="AB680" s="220">
        <f t="shared" si="360"/>
        <v>6.1342388169740891</v>
      </c>
      <c r="AD680" s="221">
        <f t="shared" si="361"/>
        <v>81415.883698022371</v>
      </c>
      <c r="AF680" s="220">
        <f t="shared" si="362"/>
        <v>33.706175850981261</v>
      </c>
      <c r="AH680" s="220">
        <f t="shared" si="363"/>
        <v>37.795667022854076</v>
      </c>
      <c r="AJ680">
        <v>4.1399999999999997</v>
      </c>
      <c r="AK680" s="285" t="s">
        <v>8399</v>
      </c>
      <c r="AL680" s="260">
        <v>165</v>
      </c>
      <c r="AN680" s="235">
        <v>72</v>
      </c>
      <c r="AO680" s="242">
        <v>42076</v>
      </c>
      <c r="AP680" s="235">
        <v>106</v>
      </c>
      <c r="AQ680" s="242">
        <v>42110</v>
      </c>
      <c r="AR680" s="136">
        <v>133</v>
      </c>
      <c r="AS680" s="297">
        <f t="shared" si="364"/>
        <v>133</v>
      </c>
      <c r="AT680" s="290">
        <v>42137</v>
      </c>
      <c r="AU680" s="298"/>
      <c r="BF680" s="282">
        <v>-2.9113240242004395</v>
      </c>
      <c r="BG680" s="283">
        <v>42234</v>
      </c>
      <c r="BL680" s="296">
        <v>57.883914947509766</v>
      </c>
      <c r="BM680" s="283">
        <v>42234</v>
      </c>
      <c r="BP680" s="282">
        <v>3.5735619068145752</v>
      </c>
      <c r="BQ680" s="283">
        <v>42234</v>
      </c>
      <c r="BR680" s="282">
        <v>47.329341888427734</v>
      </c>
      <c r="BS680" s="283">
        <v>42234</v>
      </c>
      <c r="BT680" s="282">
        <v>18.199153900146484</v>
      </c>
      <c r="BU680" s="283">
        <v>42234</v>
      </c>
      <c r="BV680" s="282">
        <v>15.600899696350098</v>
      </c>
      <c r="BW680" s="283">
        <v>42234</v>
      </c>
      <c r="BX680" s="282">
        <v>5.5003509521484375</v>
      </c>
      <c r="BY680" s="283">
        <v>42234</v>
      </c>
      <c r="CB680" s="267">
        <v>3.21</v>
      </c>
      <c r="CD680" s="282">
        <v>5.1724137931034457</v>
      </c>
      <c r="CE680" s="291" t="s">
        <v>8399</v>
      </c>
      <c r="CH680" s="136">
        <v>1</v>
      </c>
      <c r="CI680" s="136">
        <v>7</v>
      </c>
      <c r="CL680" s="136">
        <v>3</v>
      </c>
      <c r="CM680" s="259">
        <v>42161</v>
      </c>
      <c r="CO680" s="137" t="s">
        <v>8405</v>
      </c>
    </row>
    <row r="681" spans="1:93">
      <c r="A681" s="258">
        <v>1126</v>
      </c>
      <c r="B681" s="235">
        <v>250</v>
      </c>
      <c r="C681" s="235" t="s">
        <v>7725</v>
      </c>
      <c r="D681" s="235" t="s">
        <v>7548</v>
      </c>
      <c r="E681" s="235" t="s">
        <v>7725</v>
      </c>
      <c r="F681" s="235" t="s">
        <v>8622</v>
      </c>
      <c r="G681" s="235" t="str">
        <f t="shared" si="358"/>
        <v>Rapsodyn</v>
      </c>
      <c r="H681" s="235" t="s">
        <v>267</v>
      </c>
      <c r="I681" s="235">
        <v>1</v>
      </c>
      <c r="J681" s="235">
        <v>9107</v>
      </c>
      <c r="K681" s="235">
        <v>43</v>
      </c>
      <c r="L681" s="235">
        <f t="shared" si="343"/>
        <v>115</v>
      </c>
      <c r="M681" s="235">
        <v>4</v>
      </c>
      <c r="N681" s="235">
        <v>7</v>
      </c>
      <c r="O681" s="248">
        <v>42048</v>
      </c>
      <c r="P681" s="136">
        <v>5.25</v>
      </c>
      <c r="Q681" s="264">
        <v>42204</v>
      </c>
      <c r="V681" s="219">
        <f t="shared" si="359"/>
        <v>15.486176785262309</v>
      </c>
      <c r="X681">
        <v>15.55</v>
      </c>
      <c r="AB681" s="220">
        <f t="shared" si="360"/>
        <v>5.516719113019219</v>
      </c>
      <c r="AD681" s="221">
        <f t="shared" si="361"/>
        <v>69502.007347955456</v>
      </c>
      <c r="AF681" s="220">
        <f t="shared" si="362"/>
        <v>31.345405313927905</v>
      </c>
      <c r="AH681" s="220">
        <f t="shared" si="363"/>
        <v>35.148469739771144</v>
      </c>
      <c r="AJ681">
        <v>4.51</v>
      </c>
      <c r="AK681" s="285" t="s">
        <v>8399</v>
      </c>
      <c r="AL681" s="260">
        <v>165</v>
      </c>
      <c r="AN681" s="235">
        <v>72</v>
      </c>
      <c r="AO681" s="242">
        <v>42076</v>
      </c>
      <c r="AP681" s="235">
        <v>110</v>
      </c>
      <c r="AQ681" s="242">
        <v>42114</v>
      </c>
      <c r="AR681" s="136">
        <v>131</v>
      </c>
      <c r="AS681" s="297">
        <f t="shared" si="364"/>
        <v>131</v>
      </c>
      <c r="AT681" s="290">
        <v>42135</v>
      </c>
      <c r="AU681" s="298"/>
      <c r="BF681" s="282">
        <v>1.8280529975891113</v>
      </c>
      <c r="BG681" s="283">
        <v>42235</v>
      </c>
      <c r="BL681" s="296">
        <v>61.913963317871094</v>
      </c>
      <c r="BM681" s="283">
        <v>42235</v>
      </c>
      <c r="BP681" s="282">
        <v>3.9160020351409912</v>
      </c>
      <c r="BQ681" s="283">
        <v>42235</v>
      </c>
      <c r="BR681" s="282">
        <v>49.404933929443359</v>
      </c>
      <c r="BS681" s="283">
        <v>42235</v>
      </c>
      <c r="BT681" s="282">
        <v>17.599769592285156</v>
      </c>
      <c r="BU681" s="283">
        <v>42235</v>
      </c>
      <c r="BV681" s="282">
        <v>14.914910316467285</v>
      </c>
      <c r="BW681" s="283">
        <v>42235</v>
      </c>
      <c r="BX681" s="282">
        <v>5.4854812622070312</v>
      </c>
      <c r="BY681" s="283">
        <v>42235</v>
      </c>
      <c r="CB681" s="267">
        <v>3.49</v>
      </c>
      <c r="CD681" s="282">
        <v>5.2631578947368389</v>
      </c>
      <c r="CE681" s="291" t="s">
        <v>8399</v>
      </c>
      <c r="CH681" s="136">
        <v>3</v>
      </c>
      <c r="CI681" s="136">
        <v>8</v>
      </c>
      <c r="CL681" s="136">
        <v>4</v>
      </c>
      <c r="CM681" s="259">
        <v>42161</v>
      </c>
      <c r="CO681" s="137" t="s">
        <v>8405</v>
      </c>
    </row>
    <row r="682" spans="1:93">
      <c r="A682" s="258">
        <v>1127</v>
      </c>
      <c r="B682" s="235">
        <v>251</v>
      </c>
      <c r="C682" s="235" t="s">
        <v>7708</v>
      </c>
      <c r="D682" s="235" t="s">
        <v>7534</v>
      </c>
      <c r="E682" s="235" t="s">
        <v>7708</v>
      </c>
      <c r="F682" s="235" t="s">
        <v>8433</v>
      </c>
      <c r="G682" s="235" t="str">
        <f t="shared" si="358"/>
        <v>Rapsodyn</v>
      </c>
      <c r="H682" s="235" t="s">
        <v>267</v>
      </c>
      <c r="I682" s="235">
        <v>1</v>
      </c>
      <c r="J682" s="235">
        <v>9090</v>
      </c>
      <c r="K682" s="235">
        <v>42</v>
      </c>
      <c r="L682" s="235">
        <f t="shared" si="343"/>
        <v>114</v>
      </c>
      <c r="M682" s="235">
        <v>4</v>
      </c>
      <c r="N682" s="235">
        <v>7</v>
      </c>
      <c r="O682" s="248">
        <v>42048</v>
      </c>
      <c r="P682" s="136">
        <v>6.73</v>
      </c>
      <c r="Q682" s="264">
        <v>42204</v>
      </c>
      <c r="V682" s="219">
        <f t="shared" si="359"/>
        <v>19.763828202409321</v>
      </c>
      <c r="X682">
        <v>15.55</v>
      </c>
      <c r="AB682" s="220">
        <f t="shared" si="360"/>
        <v>7.4617538374063654</v>
      </c>
      <c r="AD682" s="221">
        <f t="shared" si="361"/>
        <v>84711.452437263579</v>
      </c>
      <c r="AF682" s="220">
        <f t="shared" si="362"/>
        <v>41.000342979635576</v>
      </c>
      <c r="AH682" s="220">
        <f t="shared" si="363"/>
        <v>45.974818322085206</v>
      </c>
      <c r="AJ682">
        <v>4.84</v>
      </c>
      <c r="AK682" s="285" t="s">
        <v>8400</v>
      </c>
      <c r="AL682" s="260">
        <v>165</v>
      </c>
      <c r="AN682" s="235">
        <v>75</v>
      </c>
      <c r="AO682" s="242">
        <v>42079</v>
      </c>
      <c r="AP682" s="235">
        <v>106</v>
      </c>
      <c r="AQ682" s="242">
        <v>42110</v>
      </c>
      <c r="AR682" s="136">
        <v>131</v>
      </c>
      <c r="AS682" s="297">
        <f t="shared" si="364"/>
        <v>131</v>
      </c>
      <c r="AT682" s="290">
        <v>42135</v>
      </c>
      <c r="AU682" s="298"/>
      <c r="BF682" s="282">
        <v>-5.1466789245605469</v>
      </c>
      <c r="BG682" s="283">
        <v>42235</v>
      </c>
      <c r="BL682" s="296">
        <v>61.146465301513672</v>
      </c>
      <c r="BM682" s="283">
        <v>42235</v>
      </c>
      <c r="BP682" s="282">
        <v>3.6446630954742432</v>
      </c>
      <c r="BQ682" s="283">
        <v>42235</v>
      </c>
      <c r="BR682" s="282">
        <v>48.204055786132812</v>
      </c>
      <c r="BS682" s="283">
        <v>42235</v>
      </c>
      <c r="BT682" s="282">
        <v>18.199247360229492</v>
      </c>
      <c r="BU682" s="283">
        <v>42235</v>
      </c>
      <c r="BV682" s="282">
        <v>9.91278076171875</v>
      </c>
      <c r="BW682" s="283">
        <v>42235</v>
      </c>
      <c r="BX682" s="282">
        <v>5.5211639404296875</v>
      </c>
      <c r="BY682" s="283">
        <v>42235</v>
      </c>
      <c r="CB682" s="267">
        <v>4.38</v>
      </c>
      <c r="CD682" s="282">
        <v>3.3333333333333361</v>
      </c>
      <c r="CE682" s="291" t="s">
        <v>8400</v>
      </c>
      <c r="CH682" s="136">
        <v>2</v>
      </c>
      <c r="CI682" s="136">
        <v>2</v>
      </c>
      <c r="CL682" s="136">
        <v>2</v>
      </c>
      <c r="CM682" s="259">
        <v>42161</v>
      </c>
      <c r="CN682" s="137" t="s">
        <v>8406</v>
      </c>
    </row>
    <row r="683" spans="1:93">
      <c r="A683" s="258">
        <v>1131</v>
      </c>
      <c r="B683" s="235">
        <v>255</v>
      </c>
      <c r="C683" s="235" t="s">
        <v>7778</v>
      </c>
      <c r="D683" s="235" t="s">
        <v>7576</v>
      </c>
      <c r="E683" s="235" t="s">
        <v>7778</v>
      </c>
      <c r="F683" s="235" t="s">
        <v>8447</v>
      </c>
      <c r="G683" s="235" t="str">
        <f t="shared" si="358"/>
        <v>Rapsodyn</v>
      </c>
      <c r="H683" s="235" t="s">
        <v>267</v>
      </c>
      <c r="I683" s="235">
        <v>1</v>
      </c>
      <c r="J683" s="235">
        <v>9149</v>
      </c>
      <c r="K683" s="235">
        <v>38</v>
      </c>
      <c r="L683" s="235">
        <f t="shared" si="343"/>
        <v>110</v>
      </c>
      <c r="M683" s="235">
        <v>4</v>
      </c>
      <c r="N683" s="235">
        <v>7</v>
      </c>
      <c r="O683" s="248">
        <v>42048</v>
      </c>
      <c r="P683" s="136">
        <v>7.73</v>
      </c>
      <c r="Q683" s="264">
        <v>42204</v>
      </c>
      <c r="V683" s="219">
        <f t="shared" si="359"/>
        <v>23.524503218221625</v>
      </c>
      <c r="X683">
        <v>15.55</v>
      </c>
      <c r="AB683" s="220">
        <f t="shared" si="360"/>
        <v>7.9035130005337111</v>
      </c>
      <c r="AD683" s="221">
        <f t="shared" si="361"/>
        <v>95543.966701326499</v>
      </c>
      <c r="AF683" s="220">
        <f t="shared" si="362"/>
        <v>46.912087650351317</v>
      </c>
      <c r="AH683" s="220">
        <f t="shared" si="363"/>
        <v>52.603821092567067</v>
      </c>
      <c r="AJ683">
        <v>4.91</v>
      </c>
      <c r="AK683" s="285" t="s">
        <v>8400</v>
      </c>
      <c r="AL683" s="260">
        <v>170</v>
      </c>
      <c r="AN683" s="235">
        <v>70</v>
      </c>
      <c r="AO683" s="242">
        <v>42074</v>
      </c>
      <c r="AP683" s="235">
        <v>104</v>
      </c>
      <c r="AQ683" s="242">
        <v>42108</v>
      </c>
      <c r="AR683" s="136">
        <v>132</v>
      </c>
      <c r="AS683" s="297">
        <f t="shared" si="364"/>
        <v>132</v>
      </c>
      <c r="AT683" s="290">
        <v>42136</v>
      </c>
      <c r="AU683" s="298"/>
      <c r="BF683" s="282">
        <v>-1.7538340091705322</v>
      </c>
      <c r="BG683" s="283">
        <v>42235</v>
      </c>
      <c r="BL683" s="296">
        <v>64.248039245605469</v>
      </c>
      <c r="BM683" s="283">
        <v>42235</v>
      </c>
      <c r="BP683" s="282">
        <v>2.5794179439544678</v>
      </c>
      <c r="BQ683" s="283">
        <v>42235</v>
      </c>
      <c r="BR683" s="282">
        <v>50.145931243896484</v>
      </c>
      <c r="BS683" s="283">
        <v>42235</v>
      </c>
      <c r="BT683" s="282">
        <v>16.847497940063477</v>
      </c>
      <c r="BU683" s="283">
        <v>42235</v>
      </c>
      <c r="BV683" s="282">
        <v>13.960386276245117</v>
      </c>
      <c r="BW683" s="283">
        <v>42235</v>
      </c>
      <c r="BX683" s="282">
        <v>5.5113449096679687</v>
      </c>
      <c r="BY683" s="283">
        <v>42235</v>
      </c>
      <c r="CB683" s="267">
        <v>3.91</v>
      </c>
      <c r="CD683" s="282">
        <v>3.7037037037037068</v>
      </c>
      <c r="CE683" s="291" t="s">
        <v>8400</v>
      </c>
      <c r="CH683" s="136">
        <v>2</v>
      </c>
      <c r="CI683" s="136">
        <v>2</v>
      </c>
      <c r="CL683" s="136">
        <v>3</v>
      </c>
      <c r="CM683" s="259">
        <v>42161</v>
      </c>
      <c r="CN683" s="137" t="s">
        <v>8406</v>
      </c>
    </row>
    <row r="684" spans="1:93">
      <c r="A684" s="258">
        <v>1132</v>
      </c>
      <c r="B684" s="235">
        <v>256</v>
      </c>
      <c r="C684" s="235" t="s">
        <v>7676</v>
      </c>
      <c r="D684" s="235" t="s">
        <v>7505</v>
      </c>
      <c r="E684" s="235" t="s">
        <v>7676</v>
      </c>
      <c r="F684" s="235" t="s">
        <v>8604</v>
      </c>
      <c r="G684" s="235" t="str">
        <f t="shared" si="358"/>
        <v>Rapsodyn</v>
      </c>
      <c r="H684" s="235" t="s">
        <v>267</v>
      </c>
      <c r="I684" s="235">
        <v>1</v>
      </c>
      <c r="J684" s="235">
        <v>9058</v>
      </c>
      <c r="K684" s="235">
        <v>37</v>
      </c>
      <c r="L684" s="235">
        <f t="shared" si="343"/>
        <v>109</v>
      </c>
      <c r="M684" s="235">
        <v>4</v>
      </c>
      <c r="N684" s="235">
        <v>7</v>
      </c>
      <c r="O684" s="248">
        <v>42048</v>
      </c>
      <c r="P684" s="136">
        <v>6.11</v>
      </c>
      <c r="Q684" s="264">
        <v>42204</v>
      </c>
      <c r="V684" s="219">
        <f t="shared" si="359"/>
        <v>17.99126597447442</v>
      </c>
      <c r="X684">
        <v>15.55</v>
      </c>
      <c r="AB684" s="220">
        <f t="shared" si="360"/>
        <v>6.874246712609529</v>
      </c>
      <c r="AD684" s="221">
        <f t="shared" si="361"/>
        <v>87327.32105752395</v>
      </c>
      <c r="AF684" s="220">
        <f t="shared" si="362"/>
        <v>37.201438770505206</v>
      </c>
      <c r="AH684" s="220">
        <f t="shared" si="363"/>
        <v>41.715001985316455</v>
      </c>
      <c r="AJ684">
        <v>4.26</v>
      </c>
      <c r="AK684" s="285" t="s">
        <v>8400</v>
      </c>
      <c r="AL684" s="260">
        <v>155</v>
      </c>
      <c r="AN684" s="235">
        <v>75</v>
      </c>
      <c r="AO684" s="242">
        <v>42079</v>
      </c>
      <c r="AP684" s="235">
        <v>104</v>
      </c>
      <c r="AQ684" s="242">
        <v>42108</v>
      </c>
      <c r="AR684" s="136">
        <v>137</v>
      </c>
      <c r="AS684" s="297">
        <f t="shared" si="364"/>
        <v>137</v>
      </c>
      <c r="AT684" s="290">
        <v>42141</v>
      </c>
      <c r="AU684" s="298"/>
      <c r="BF684" s="282">
        <v>-4.3259181976318359</v>
      </c>
      <c r="BG684" s="283">
        <v>42235</v>
      </c>
      <c r="BL684" s="296">
        <v>65.045730590820313</v>
      </c>
      <c r="BM684" s="283">
        <v>42235</v>
      </c>
      <c r="BP684" s="282">
        <v>3.5487420558929443</v>
      </c>
      <c r="BQ684" s="283">
        <v>42235</v>
      </c>
      <c r="BR684" s="282">
        <v>48.361747741699219</v>
      </c>
      <c r="BS684" s="283">
        <v>42235</v>
      </c>
      <c r="BT684" s="282">
        <v>18.478443145751953</v>
      </c>
      <c r="BU684" s="283">
        <v>42235</v>
      </c>
      <c r="BV684" s="282">
        <v>15.306587219238281</v>
      </c>
      <c r="BW684" s="283">
        <v>42235</v>
      </c>
      <c r="BX684" s="282">
        <v>5.5720596313476563</v>
      </c>
      <c r="BY684" s="283">
        <v>42235</v>
      </c>
      <c r="CB684" s="267">
        <v>4.05</v>
      </c>
      <c r="CD684" s="282">
        <v>3.3898305084745792</v>
      </c>
      <c r="CE684" s="291" t="s">
        <v>8400</v>
      </c>
      <c r="CH684" s="136">
        <v>3</v>
      </c>
      <c r="CI684" s="136">
        <v>2</v>
      </c>
      <c r="CL684" s="136">
        <v>2</v>
      </c>
      <c r="CM684" s="259">
        <v>42161</v>
      </c>
      <c r="CN684" s="137" t="s">
        <v>8406</v>
      </c>
    </row>
    <row r="685" spans="1:93">
      <c r="A685" s="258">
        <v>1134</v>
      </c>
      <c r="B685" s="235">
        <v>258</v>
      </c>
      <c r="C685" s="235" t="s">
        <v>7697</v>
      </c>
      <c r="D685" s="235" t="s">
        <v>7523</v>
      </c>
      <c r="E685" s="235" t="s">
        <v>7697</v>
      </c>
      <c r="F685" s="235" t="s">
        <v>8533</v>
      </c>
      <c r="G685" s="235" t="str">
        <f t="shared" si="358"/>
        <v>Rapsodyn</v>
      </c>
      <c r="H685" s="235" t="s">
        <v>267</v>
      </c>
      <c r="I685" s="235">
        <v>1</v>
      </c>
      <c r="J685" s="235">
        <v>9079</v>
      </c>
      <c r="K685" s="235">
        <v>35</v>
      </c>
      <c r="L685" s="235">
        <f t="shared" ref="L685:L730" si="365">72+K685</f>
        <v>107</v>
      </c>
      <c r="M685" s="235">
        <v>4</v>
      </c>
      <c r="N685" s="235">
        <v>7</v>
      </c>
      <c r="O685" s="248">
        <v>42048</v>
      </c>
      <c r="P685" s="136">
        <v>4.87</v>
      </c>
      <c r="Q685" s="264">
        <v>42204</v>
      </c>
      <c r="V685" s="219">
        <f t="shared" si="359"/>
        <v>13.665905339072372</v>
      </c>
      <c r="X685">
        <v>15.55</v>
      </c>
      <c r="AB685" s="220">
        <f t="shared" si="360"/>
        <v>5.7907312538478148</v>
      </c>
      <c r="AD685" s="221">
        <f t="shared" si="361"/>
        <v>65275.840890205574</v>
      </c>
      <c r="AF685" s="220">
        <f t="shared" si="362"/>
        <v>29.047749196141481</v>
      </c>
      <c r="AH685" s="220">
        <f t="shared" si="363"/>
        <v>32.572044400248352</v>
      </c>
      <c r="AJ685">
        <v>4.45</v>
      </c>
      <c r="AK685" s="285" t="s">
        <v>8400</v>
      </c>
      <c r="AL685" s="260">
        <v>170</v>
      </c>
      <c r="AN685" s="235">
        <v>65</v>
      </c>
      <c r="AO685" s="242">
        <v>42069</v>
      </c>
      <c r="AP685" s="235">
        <v>106</v>
      </c>
      <c r="AQ685" s="242">
        <v>42110</v>
      </c>
      <c r="AR685" s="136">
        <v>131</v>
      </c>
      <c r="AS685" s="297">
        <f t="shared" si="364"/>
        <v>131</v>
      </c>
      <c r="AT685" s="290">
        <v>42135</v>
      </c>
      <c r="AU685" s="298"/>
      <c r="BF685" s="282">
        <v>-0.24421299993991852</v>
      </c>
      <c r="BG685" s="283">
        <v>42235</v>
      </c>
      <c r="BL685" s="296">
        <v>62.973575592041016</v>
      </c>
      <c r="BM685" s="283">
        <v>42235</v>
      </c>
      <c r="BP685" s="282">
        <v>3.516693115234375</v>
      </c>
      <c r="BQ685" s="283">
        <v>42235</v>
      </c>
      <c r="BR685" s="282">
        <v>47.046348571777344</v>
      </c>
      <c r="BS685" s="283">
        <v>42235</v>
      </c>
      <c r="BT685" s="282">
        <v>19.935214996337891</v>
      </c>
      <c r="BU685" s="283">
        <v>42235</v>
      </c>
      <c r="BV685" s="282">
        <v>19.769916534423828</v>
      </c>
      <c r="BW685" s="283">
        <v>42235</v>
      </c>
      <c r="BX685" s="282">
        <v>5.8490524291992187</v>
      </c>
      <c r="BY685" s="283">
        <v>42235</v>
      </c>
      <c r="CB685" s="267">
        <v>4.6500000000000004</v>
      </c>
      <c r="CD685" s="282">
        <v>5.3571428571428541</v>
      </c>
      <c r="CE685" s="291" t="s">
        <v>8400</v>
      </c>
      <c r="CH685" s="136">
        <v>2</v>
      </c>
      <c r="CI685" s="136">
        <v>3</v>
      </c>
      <c r="CL685" s="136">
        <v>5</v>
      </c>
      <c r="CM685" s="259">
        <v>42161</v>
      </c>
      <c r="CN685" s="137" t="s">
        <v>8406</v>
      </c>
    </row>
    <row r="686" spans="1:93">
      <c r="A686" s="258">
        <v>1135</v>
      </c>
      <c r="B686" s="235">
        <v>259</v>
      </c>
      <c r="C686" s="235" t="s">
        <v>7796</v>
      </c>
      <c r="D686" s="235" t="s">
        <v>7594</v>
      </c>
      <c r="E686" s="235" t="s">
        <v>7796</v>
      </c>
      <c r="F686" s="235" t="s">
        <v>8588</v>
      </c>
      <c r="G686" s="235" t="str">
        <f t="shared" si="358"/>
        <v>Rapsodyn</v>
      </c>
      <c r="H686" s="235" t="s">
        <v>267</v>
      </c>
      <c r="I686" s="235">
        <v>1</v>
      </c>
      <c r="J686" s="235">
        <v>9167</v>
      </c>
      <c r="K686" s="235">
        <v>34</v>
      </c>
      <c r="L686" s="235">
        <f t="shared" si="365"/>
        <v>106</v>
      </c>
      <c r="M686" s="235">
        <v>4</v>
      </c>
      <c r="N686" s="235">
        <v>7</v>
      </c>
      <c r="O686" s="248">
        <v>42048</v>
      </c>
      <c r="P686" s="136">
        <v>6.03</v>
      </c>
      <c r="Q686" s="264">
        <v>42204</v>
      </c>
      <c r="V686" s="219">
        <f t="shared" si="359"/>
        <v>17.872865824389681</v>
      </c>
      <c r="X686">
        <v>15.55</v>
      </c>
      <c r="AB686" s="220">
        <f t="shared" si="360"/>
        <v>6.5081205167862368</v>
      </c>
      <c r="AD686" s="221">
        <f t="shared" si="361"/>
        <v>70931.459146194204</v>
      </c>
      <c r="AF686" s="220">
        <f t="shared" si="362"/>
        <v>35.891318327974268</v>
      </c>
      <c r="AH686" s="220">
        <f t="shared" si="363"/>
        <v>40.245927705734772</v>
      </c>
      <c r="AJ686">
        <v>5.0599999999999996</v>
      </c>
      <c r="AK686" s="285" t="s">
        <v>8401</v>
      </c>
      <c r="AL686" s="260">
        <v>165</v>
      </c>
      <c r="AN686" s="235">
        <v>75</v>
      </c>
      <c r="AO686" s="242">
        <v>42079</v>
      </c>
      <c r="AP686" s="235">
        <v>104</v>
      </c>
      <c r="AQ686" s="242">
        <v>42108</v>
      </c>
      <c r="AR686" s="136">
        <v>132</v>
      </c>
      <c r="AS686" s="297">
        <f t="shared" si="364"/>
        <v>132</v>
      </c>
      <c r="AT686" s="290">
        <v>42136</v>
      </c>
      <c r="AU686" s="298"/>
      <c r="BF686" s="282">
        <v>-3.7261979579925537</v>
      </c>
      <c r="BG686" s="283">
        <v>42234</v>
      </c>
      <c r="BL686" s="296">
        <v>61.697948455810547</v>
      </c>
      <c r="BM686" s="283">
        <v>42234</v>
      </c>
      <c r="BP686" s="282">
        <v>3.6378989219665527</v>
      </c>
      <c r="BQ686" s="283">
        <v>42234</v>
      </c>
      <c r="BR686" s="282">
        <v>49.797183990478516</v>
      </c>
      <c r="BS686" s="283">
        <v>42234</v>
      </c>
      <c r="BT686" s="282">
        <v>18.132854461669922</v>
      </c>
      <c r="BU686" s="283">
        <v>42234</v>
      </c>
      <c r="BV686" s="282">
        <v>16.557954788208008</v>
      </c>
      <c r="BW686" s="283">
        <v>42234</v>
      </c>
      <c r="BX686" s="282">
        <v>5.4981536865234375</v>
      </c>
      <c r="BY686" s="283">
        <v>42234</v>
      </c>
      <c r="CB686" s="267">
        <v>5.87</v>
      </c>
      <c r="CD686" s="282">
        <v>5.5555555555555687</v>
      </c>
      <c r="CE686" s="291" t="s">
        <v>8401</v>
      </c>
      <c r="CH686" s="136">
        <v>2</v>
      </c>
      <c r="CI686" s="136">
        <v>2</v>
      </c>
      <c r="CL686" s="136">
        <v>3</v>
      </c>
      <c r="CM686" s="259">
        <v>42161</v>
      </c>
      <c r="CN686" s="137" t="s">
        <v>8406</v>
      </c>
    </row>
    <row r="687" spans="1:93">
      <c r="A687" s="258">
        <v>1136</v>
      </c>
      <c r="B687" s="236">
        <v>260</v>
      </c>
      <c r="C687" s="236" t="s">
        <v>7738</v>
      </c>
      <c r="D687" s="236" t="s">
        <v>7882</v>
      </c>
      <c r="E687" s="236" t="s">
        <v>7738</v>
      </c>
      <c r="F687" s="236" t="s">
        <v>8537</v>
      </c>
      <c r="G687" s="235" t="str">
        <f t="shared" si="358"/>
        <v>Rapsodyn</v>
      </c>
      <c r="H687" s="235" t="s">
        <v>267</v>
      </c>
      <c r="I687" s="235">
        <v>1</v>
      </c>
      <c r="J687" s="236">
        <v>9118</v>
      </c>
      <c r="K687" s="236">
        <v>33</v>
      </c>
      <c r="L687" s="235">
        <f t="shared" si="365"/>
        <v>105</v>
      </c>
      <c r="M687" s="236">
        <v>4</v>
      </c>
      <c r="N687" s="235">
        <v>7</v>
      </c>
      <c r="O687" s="248">
        <v>42048</v>
      </c>
      <c r="P687" s="136">
        <v>2.86</v>
      </c>
      <c r="Q687" s="264">
        <v>42204</v>
      </c>
      <c r="V687" s="219">
        <f t="shared" si="359"/>
        <v>8.0889049125254342</v>
      </c>
      <c r="X687">
        <v>15.55</v>
      </c>
      <c r="AB687" s="220">
        <f t="shared" si="360"/>
        <v>3.3924158849711348</v>
      </c>
      <c r="AD687" s="221">
        <f t="shared" si="361"/>
        <v>40560.053929570771</v>
      </c>
      <c r="AF687" s="220">
        <f t="shared" si="362"/>
        <v>17.075782704349297</v>
      </c>
      <c r="AH687" s="220">
        <f t="shared" si="363"/>
        <v>19.147547324903901</v>
      </c>
      <c r="AJ687">
        <v>4.21</v>
      </c>
      <c r="AK687" s="285" t="s">
        <v>8401</v>
      </c>
      <c r="AL687" s="260">
        <v>165</v>
      </c>
      <c r="AN687" s="235">
        <v>63</v>
      </c>
      <c r="AO687" s="243">
        <v>42067</v>
      </c>
      <c r="AP687" s="235">
        <v>110</v>
      </c>
      <c r="AQ687" s="242">
        <v>42114</v>
      </c>
      <c r="AR687" s="136">
        <v>135</v>
      </c>
      <c r="AS687" s="297">
        <f t="shared" si="364"/>
        <v>135</v>
      </c>
      <c r="AT687" s="290">
        <v>42139</v>
      </c>
      <c r="AU687" s="298"/>
      <c r="BF687" s="282">
        <v>22.2318115234375</v>
      </c>
      <c r="BG687" s="283">
        <v>42234</v>
      </c>
      <c r="BL687" s="296">
        <v>62.081466674804688</v>
      </c>
      <c r="BM687" s="283">
        <v>42234</v>
      </c>
      <c r="BP687" s="282">
        <v>2.8763489723205566</v>
      </c>
      <c r="BQ687" s="283">
        <v>42234</v>
      </c>
      <c r="BR687" s="282">
        <v>47.370624542236328</v>
      </c>
      <c r="BS687" s="283">
        <v>42234</v>
      </c>
      <c r="BT687" s="282">
        <v>19.866825103759766</v>
      </c>
      <c r="BU687" s="283">
        <v>42234</v>
      </c>
      <c r="BV687" s="282">
        <v>52.351638793945313</v>
      </c>
      <c r="BW687" s="283">
        <v>42234</v>
      </c>
      <c r="BX687" s="282">
        <v>5.6596145629882812</v>
      </c>
      <c r="BY687" s="283">
        <v>42234</v>
      </c>
      <c r="CB687" s="267">
        <v>3.18</v>
      </c>
      <c r="CD687" s="282">
        <v>5.2631578947368389</v>
      </c>
      <c r="CE687" s="291" t="s">
        <v>8401</v>
      </c>
      <c r="CH687" s="136">
        <v>3</v>
      </c>
      <c r="CI687" s="136">
        <v>6</v>
      </c>
      <c r="CL687" s="136">
        <v>7</v>
      </c>
      <c r="CM687" s="259">
        <v>42161</v>
      </c>
      <c r="CN687" s="137" t="s">
        <v>8406</v>
      </c>
    </row>
    <row r="688" spans="1:93">
      <c r="A688" s="258">
        <v>1138</v>
      </c>
      <c r="B688" s="235">
        <v>262</v>
      </c>
      <c r="C688" s="235" t="s">
        <v>7604</v>
      </c>
      <c r="D688" s="235" t="s">
        <v>7810</v>
      </c>
      <c r="E688" s="235" t="s">
        <v>7604</v>
      </c>
      <c r="F688" s="235" t="s">
        <v>8609</v>
      </c>
      <c r="G688" s="235" t="str">
        <f t="shared" si="358"/>
        <v>Rapsodyn</v>
      </c>
      <c r="H688" s="235" t="s">
        <v>267</v>
      </c>
      <c r="I688" s="235">
        <v>1</v>
      </c>
      <c r="J688" s="235">
        <v>9001</v>
      </c>
      <c r="K688" s="235">
        <v>31</v>
      </c>
      <c r="L688" s="235">
        <f t="shared" si="365"/>
        <v>103</v>
      </c>
      <c r="M688" s="235">
        <v>4</v>
      </c>
      <c r="N688" s="236">
        <v>9</v>
      </c>
      <c r="O688" s="248">
        <v>42048</v>
      </c>
      <c r="P688" s="136">
        <v>3.55</v>
      </c>
      <c r="Q688" s="264">
        <v>42204</v>
      </c>
      <c r="V688" s="219">
        <f t="shared" si="359"/>
        <v>10.127474434929674</v>
      </c>
      <c r="X688">
        <v>15.55</v>
      </c>
      <c r="AB688" s="220">
        <f t="shared" si="360"/>
        <v>4.425521410510119</v>
      </c>
      <c r="AD688" s="221">
        <f t="shared" si="361"/>
        <v>52083.334701277163</v>
      </c>
      <c r="AF688" s="220">
        <f t="shared" si="362"/>
        <v>21.614583901030024</v>
      </c>
      <c r="AH688" s="220">
        <f t="shared" si="363"/>
        <v>24.237030613399899</v>
      </c>
      <c r="AJ688">
        <v>4.1500000000000004</v>
      </c>
      <c r="AK688" s="285" t="s">
        <v>8401</v>
      </c>
      <c r="AL688" s="260">
        <v>170</v>
      </c>
      <c r="AN688" s="235">
        <v>75</v>
      </c>
      <c r="AO688" s="242">
        <v>42079</v>
      </c>
      <c r="AP688" s="235">
        <v>110</v>
      </c>
      <c r="AQ688" s="242">
        <v>42114</v>
      </c>
      <c r="AR688" s="136">
        <v>133</v>
      </c>
      <c r="AS688" s="297">
        <f t="shared" si="364"/>
        <v>133</v>
      </c>
      <c r="AT688" s="290">
        <v>42137</v>
      </c>
      <c r="AU688" s="298"/>
      <c r="BF688" s="282">
        <v>33.789306640625</v>
      </c>
      <c r="BG688" s="283">
        <v>42234</v>
      </c>
      <c r="BL688" s="296">
        <v>60.608203887939453</v>
      </c>
      <c r="BM688" s="283">
        <v>42234</v>
      </c>
      <c r="BP688" s="282">
        <v>2.7055530548095703</v>
      </c>
      <c r="BQ688" s="283">
        <v>42234</v>
      </c>
      <c r="BR688" s="282">
        <v>46.854820251464844</v>
      </c>
      <c r="BS688" s="283">
        <v>42234</v>
      </c>
      <c r="BT688" s="282">
        <v>20.474700927734375</v>
      </c>
      <c r="BU688" s="283">
        <v>42234</v>
      </c>
      <c r="BV688" s="282">
        <v>48.578712463378906</v>
      </c>
      <c r="BW688" s="283">
        <v>42234</v>
      </c>
      <c r="BX688" s="282">
        <v>5.578948974609375</v>
      </c>
      <c r="BY688" s="283">
        <v>42234</v>
      </c>
      <c r="CB688" s="267">
        <v>3.52</v>
      </c>
      <c r="CD688" s="282">
        <v>3.3898305084745792</v>
      </c>
      <c r="CE688" s="291" t="s">
        <v>8401</v>
      </c>
      <c r="CH688" s="136">
        <v>2</v>
      </c>
      <c r="CI688" s="136">
        <v>7</v>
      </c>
      <c r="CL688" s="136">
        <v>6</v>
      </c>
      <c r="CM688" s="259">
        <v>42161</v>
      </c>
      <c r="CO688" s="137" t="s">
        <v>8405</v>
      </c>
    </row>
    <row r="689" spans="1:92">
      <c r="A689" s="258">
        <v>1139</v>
      </c>
      <c r="B689" s="235">
        <v>263</v>
      </c>
      <c r="C689" s="235" t="s">
        <v>7576</v>
      </c>
      <c r="D689" s="235"/>
      <c r="E689" s="235"/>
      <c r="F689" s="235"/>
      <c r="G689" s="235"/>
      <c r="H689" s="235" t="s">
        <v>267</v>
      </c>
      <c r="I689" s="235">
        <v>1</v>
      </c>
      <c r="K689" s="235">
        <v>30</v>
      </c>
      <c r="L689" s="235">
        <f t="shared" si="365"/>
        <v>102</v>
      </c>
      <c r="M689" s="235">
        <v>4</v>
      </c>
      <c r="O689" s="248">
        <v>42048</v>
      </c>
      <c r="V689" s="219"/>
      <c r="X689">
        <v>15.55</v>
      </c>
      <c r="AB689" s="220"/>
      <c r="AD689" s="221"/>
      <c r="AF689" s="220"/>
      <c r="AH689" s="220"/>
      <c r="AJ689" s="286"/>
      <c r="AK689" s="285"/>
      <c r="AL689" s="260"/>
      <c r="AN689" s="235">
        <v>70</v>
      </c>
      <c r="AO689" s="242">
        <v>42074</v>
      </c>
      <c r="AP689" s="235">
        <v>106</v>
      </c>
      <c r="AQ689" s="242">
        <v>42110</v>
      </c>
      <c r="AS689" s="297"/>
      <c r="AT689" s="290"/>
      <c r="AU689" s="298"/>
      <c r="BF689" s="282"/>
      <c r="BG689" s="235"/>
      <c r="BL689" s="296"/>
      <c r="BM689" s="235"/>
      <c r="BP689" s="282"/>
      <c r="BQ689" s="235"/>
      <c r="BR689" s="282"/>
      <c r="BS689" s="235"/>
      <c r="BT689" s="282"/>
      <c r="BU689" s="235"/>
      <c r="BV689" s="282"/>
      <c r="BW689" s="235"/>
      <c r="BX689" s="282"/>
      <c r="BY689" s="235"/>
      <c r="CB689" s="267"/>
      <c r="CD689" s="282"/>
      <c r="CE689" s="291"/>
      <c r="CL689" s="136">
        <v>3</v>
      </c>
      <c r="CM689" s="259">
        <v>42161</v>
      </c>
    </row>
    <row r="690" spans="1:92">
      <c r="A690" s="258">
        <v>1140</v>
      </c>
      <c r="B690" s="235">
        <v>264</v>
      </c>
      <c r="C690" s="235" t="s">
        <v>7576</v>
      </c>
      <c r="D690" s="235"/>
      <c r="E690" s="235"/>
      <c r="F690" s="235"/>
      <c r="G690" s="235"/>
      <c r="H690" s="235" t="s">
        <v>267</v>
      </c>
      <c r="I690" s="235">
        <v>1</v>
      </c>
      <c r="K690" s="235">
        <v>29</v>
      </c>
      <c r="L690" s="235">
        <f t="shared" si="365"/>
        <v>101</v>
      </c>
      <c r="M690" s="235">
        <v>4</v>
      </c>
      <c r="O690" s="248">
        <v>42048</v>
      </c>
      <c r="V690" s="219"/>
      <c r="X690">
        <v>15.55</v>
      </c>
      <c r="AB690" s="220"/>
      <c r="AD690" s="221"/>
      <c r="AF690" s="220"/>
      <c r="AH690" s="220"/>
      <c r="AJ690" s="286"/>
      <c r="AK690" s="285"/>
      <c r="AL690" s="260"/>
      <c r="AN690" s="235">
        <v>70</v>
      </c>
      <c r="AO690" s="242">
        <v>42074</v>
      </c>
      <c r="AP690" s="235">
        <v>106</v>
      </c>
      <c r="AQ690" s="242">
        <v>42110</v>
      </c>
      <c r="AS690" s="297"/>
      <c r="AT690" s="290"/>
      <c r="AU690" s="298"/>
      <c r="BF690" s="282"/>
      <c r="BG690" s="235"/>
      <c r="BL690" s="296"/>
      <c r="BM690" s="235"/>
      <c r="BP690" s="282"/>
      <c r="BQ690" s="235"/>
      <c r="BR690" s="282"/>
      <c r="BS690" s="235"/>
      <c r="BT690" s="282"/>
      <c r="BU690" s="235"/>
      <c r="BV690" s="282"/>
      <c r="BW690" s="235"/>
      <c r="BX690" s="282"/>
      <c r="BY690" s="235"/>
      <c r="CB690" s="267"/>
      <c r="CD690" s="282"/>
      <c r="CE690" s="291"/>
      <c r="CL690" s="136">
        <v>3</v>
      </c>
      <c r="CM690" s="259">
        <v>42161</v>
      </c>
    </row>
    <row r="691" spans="1:92">
      <c r="A691" s="258">
        <v>1143</v>
      </c>
      <c r="B691" s="235">
        <v>267</v>
      </c>
      <c r="C691" s="235" t="s">
        <v>7643</v>
      </c>
      <c r="D691" s="235" t="s">
        <v>7475</v>
      </c>
      <c r="E691" s="235" t="s">
        <v>7643</v>
      </c>
      <c r="F691" s="235" t="s">
        <v>8592</v>
      </c>
      <c r="G691" s="235" t="str">
        <f t="shared" ref="G691:G704" si="366">IF(MID(C691,1,3)="BGA","Complement","Rapsodyn")</f>
        <v>Rapsodyn</v>
      </c>
      <c r="H691" s="235" t="s">
        <v>267</v>
      </c>
      <c r="I691" s="235">
        <v>1</v>
      </c>
      <c r="J691" s="235">
        <v>9031</v>
      </c>
      <c r="K691" s="235">
        <v>26</v>
      </c>
      <c r="L691" s="235">
        <f t="shared" si="365"/>
        <v>98</v>
      </c>
      <c r="M691" s="235">
        <v>4</v>
      </c>
      <c r="N691" s="235">
        <v>9</v>
      </c>
      <c r="O691" s="248">
        <v>42048</v>
      </c>
      <c r="P691" s="136">
        <v>4.66</v>
      </c>
      <c r="Q691" s="264">
        <v>42204</v>
      </c>
      <c r="V691" s="219">
        <f t="shared" ref="V691:V704" si="367">+BR691*AF691/100</f>
        <v>13.007100751111059</v>
      </c>
      <c r="X691">
        <v>15.55</v>
      </c>
      <c r="AB691" s="220">
        <f t="shared" ref="AB691:AB704" si="368">+AF691*BT691/100</f>
        <v>5.4535853429173189</v>
      </c>
      <c r="AD691" s="221">
        <f t="shared" ref="AD691:AD704" si="369">+(AF691/AJ691)*10000</f>
        <v>54181.76844991745</v>
      </c>
      <c r="AF691" s="220">
        <f t="shared" ref="AF691:AF704" si="370">($P691/$X691)*(((100-$CD691)/100*(100-2)/100))*100</f>
        <v>27.849428983257567</v>
      </c>
      <c r="AH691" s="220">
        <f t="shared" ref="AH691:AH704" si="371">($P691/$X691)*(((100-$CD691)/(100-9)*(100-2)/(100-2))*100)</f>
        <v>31.228334809663124</v>
      </c>
      <c r="AJ691">
        <v>5.14</v>
      </c>
      <c r="AK691" s="285" t="s">
        <v>8399</v>
      </c>
      <c r="AL691" s="260">
        <v>140</v>
      </c>
      <c r="AN691" s="235">
        <v>79</v>
      </c>
      <c r="AO691" s="242">
        <v>42083</v>
      </c>
      <c r="AP691" s="235">
        <v>106</v>
      </c>
      <c r="AQ691" s="249">
        <v>42110</v>
      </c>
      <c r="AR691" s="136">
        <v>127</v>
      </c>
      <c r="AS691" s="297">
        <f t="shared" ref="AS691:AS704" si="372">IF(AR691=0,,AR691)</f>
        <v>127</v>
      </c>
      <c r="AT691" s="290">
        <v>42131</v>
      </c>
      <c r="AU691" s="298"/>
      <c r="BF691" s="282">
        <v>-3.1360359191894531</v>
      </c>
      <c r="BG691" s="283">
        <v>42235</v>
      </c>
      <c r="BL691" s="296">
        <v>60.364128112792969</v>
      </c>
      <c r="BM691" s="283">
        <v>42235</v>
      </c>
      <c r="BP691" s="282">
        <v>2.945667028427124</v>
      </c>
      <c r="BQ691" s="283">
        <v>42235</v>
      </c>
      <c r="BR691" s="282">
        <v>46.705089569091797</v>
      </c>
      <c r="BS691" s="283">
        <v>42235</v>
      </c>
      <c r="BT691" s="282">
        <v>19.582395553588867</v>
      </c>
      <c r="BU691" s="283">
        <v>42235</v>
      </c>
      <c r="BV691" s="282">
        <v>50.95062255859375</v>
      </c>
      <c r="BW691" s="283">
        <v>42235</v>
      </c>
      <c r="BX691" s="282">
        <v>5.739898681640625</v>
      </c>
      <c r="BY691" s="283">
        <v>42235</v>
      </c>
      <c r="CB691" s="267">
        <v>5.15</v>
      </c>
      <c r="CD691" s="282">
        <v>5.1724137931034457</v>
      </c>
      <c r="CE691" s="291" t="s">
        <v>8399</v>
      </c>
      <c r="CH691" s="136">
        <v>1</v>
      </c>
      <c r="CI691" s="136">
        <v>3</v>
      </c>
      <c r="CL691" s="136">
        <v>8</v>
      </c>
      <c r="CM691" s="259">
        <v>42161</v>
      </c>
      <c r="CN691" s="137" t="s">
        <v>8391</v>
      </c>
    </row>
    <row r="692" spans="1:92">
      <c r="A692" s="258">
        <v>1144</v>
      </c>
      <c r="B692" s="235">
        <v>268</v>
      </c>
      <c r="C692" s="235" t="s">
        <v>7705</v>
      </c>
      <c r="D692" s="235" t="s">
        <v>7531</v>
      </c>
      <c r="E692" s="235" t="s">
        <v>7705</v>
      </c>
      <c r="F692" s="235" t="s">
        <v>8471</v>
      </c>
      <c r="G692" s="235" t="str">
        <f t="shared" si="366"/>
        <v>Rapsodyn</v>
      </c>
      <c r="H692" s="235" t="s">
        <v>267</v>
      </c>
      <c r="I692" s="235">
        <v>1</v>
      </c>
      <c r="J692" s="235">
        <v>9087</v>
      </c>
      <c r="K692" s="235">
        <v>25</v>
      </c>
      <c r="L692" s="235">
        <f t="shared" si="365"/>
        <v>97</v>
      </c>
      <c r="M692" s="235">
        <v>4</v>
      </c>
      <c r="N692" s="235">
        <v>7</v>
      </c>
      <c r="O692" s="248">
        <v>42048</v>
      </c>
      <c r="P692" s="136">
        <v>4.54</v>
      </c>
      <c r="Q692" s="264">
        <v>42204</v>
      </c>
      <c r="V692" s="219">
        <f t="shared" si="367"/>
        <v>12.816248627901739</v>
      </c>
      <c r="X692">
        <v>15.55</v>
      </c>
      <c r="AB692" s="220">
        <f t="shared" si="368"/>
        <v>5.7746288637084486</v>
      </c>
      <c r="AD692" s="221">
        <f t="shared" si="369"/>
        <v>58223.76889608823</v>
      </c>
      <c r="AF692" s="220">
        <f t="shared" si="370"/>
        <v>27.132276305577118</v>
      </c>
      <c r="AH692" s="220">
        <f t="shared" si="371"/>
        <v>30.42417168151729</v>
      </c>
      <c r="AJ692">
        <v>4.66</v>
      </c>
      <c r="AK692" s="285" t="s">
        <v>8399</v>
      </c>
      <c r="AL692" s="260">
        <v>155</v>
      </c>
      <c r="AN692" s="235">
        <v>79</v>
      </c>
      <c r="AO692" s="242">
        <v>42083</v>
      </c>
      <c r="AP692" s="235">
        <v>106</v>
      </c>
      <c r="AQ692" s="242">
        <v>42110</v>
      </c>
      <c r="AR692" s="136">
        <v>133</v>
      </c>
      <c r="AS692" s="297">
        <f t="shared" si="372"/>
        <v>133</v>
      </c>
      <c r="AT692" s="290">
        <v>42137</v>
      </c>
      <c r="AU692" s="298"/>
      <c r="BF692" s="282">
        <v>-2.4133989810943604</v>
      </c>
      <c r="BG692" s="283">
        <v>42235</v>
      </c>
      <c r="BL692" s="296">
        <v>61.625690460205078</v>
      </c>
      <c r="BM692" s="283">
        <v>42235</v>
      </c>
      <c r="BP692" s="282">
        <v>3.657249927520752</v>
      </c>
      <c r="BQ692" s="283">
        <v>42235</v>
      </c>
      <c r="BR692" s="282">
        <v>47.236171722412109</v>
      </c>
      <c r="BS692" s="283">
        <v>42235</v>
      </c>
      <c r="BT692" s="282">
        <v>21.283245086669922</v>
      </c>
      <c r="BU692" s="283">
        <v>42235</v>
      </c>
      <c r="BV692" s="282">
        <v>16.920694351196289</v>
      </c>
      <c r="BW692" s="283">
        <v>42235</v>
      </c>
      <c r="BX692" s="282">
        <v>5.6239700317382813</v>
      </c>
      <c r="BY692" s="283">
        <v>42235</v>
      </c>
      <c r="CB692" s="267">
        <v>5.32</v>
      </c>
      <c r="CD692" s="282">
        <v>5.1724137931034457</v>
      </c>
      <c r="CE692" s="291" t="s">
        <v>8399</v>
      </c>
      <c r="CH692" s="136">
        <v>3</v>
      </c>
      <c r="CI692" s="136">
        <v>3</v>
      </c>
      <c r="CL692" s="136">
        <v>2</v>
      </c>
      <c r="CM692" s="259">
        <v>42161</v>
      </c>
      <c r="CN692" s="137" t="s">
        <v>8406</v>
      </c>
    </row>
    <row r="693" spans="1:92">
      <c r="A693" s="258">
        <v>1146</v>
      </c>
      <c r="B693" s="235">
        <v>270</v>
      </c>
      <c r="C693" s="235" t="s">
        <v>7722</v>
      </c>
      <c r="D693" s="235" t="s">
        <v>7546</v>
      </c>
      <c r="E693" s="235" t="s">
        <v>7722</v>
      </c>
      <c r="F693" s="235" t="s">
        <v>8584</v>
      </c>
      <c r="G693" s="235" t="str">
        <f t="shared" si="366"/>
        <v>Rapsodyn</v>
      </c>
      <c r="H693" s="235" t="s">
        <v>267</v>
      </c>
      <c r="I693" s="235">
        <v>1</v>
      </c>
      <c r="J693" s="235">
        <v>9104</v>
      </c>
      <c r="K693" s="235">
        <v>23</v>
      </c>
      <c r="L693" s="235">
        <f t="shared" si="365"/>
        <v>95</v>
      </c>
      <c r="M693" s="235">
        <v>4</v>
      </c>
      <c r="N693" s="235">
        <v>7</v>
      </c>
      <c r="O693" s="248">
        <v>42048</v>
      </c>
      <c r="P693" s="136">
        <v>7.2</v>
      </c>
      <c r="Q693" s="264">
        <v>42204</v>
      </c>
      <c r="V693" s="219">
        <f t="shared" si="367"/>
        <v>21.82935724702255</v>
      </c>
      <c r="X693">
        <v>15.55</v>
      </c>
      <c r="AB693" s="220">
        <f t="shared" si="368"/>
        <v>8.2541735751012748</v>
      </c>
      <c r="AD693" s="221">
        <f t="shared" si="369"/>
        <v>102956.42494695332</v>
      </c>
      <c r="AF693" s="220">
        <f t="shared" si="370"/>
        <v>44.580132002030794</v>
      </c>
      <c r="AH693" s="220">
        <f t="shared" si="371"/>
        <v>49.988934741007846</v>
      </c>
      <c r="AJ693">
        <v>4.33</v>
      </c>
      <c r="AK693" s="285" t="s">
        <v>8398</v>
      </c>
      <c r="AL693" s="260">
        <v>165</v>
      </c>
      <c r="AN693" s="235">
        <v>70</v>
      </c>
      <c r="AO693" s="242">
        <v>42074</v>
      </c>
      <c r="AP693" s="235">
        <v>106</v>
      </c>
      <c r="AQ693" s="242">
        <v>42110</v>
      </c>
      <c r="AR693" s="136">
        <v>131</v>
      </c>
      <c r="AS693" s="297">
        <f t="shared" si="372"/>
        <v>131</v>
      </c>
      <c r="AT693" s="290">
        <v>42135</v>
      </c>
      <c r="AU693" s="298"/>
      <c r="BF693" s="282">
        <v>-1.0507370233535767</v>
      </c>
      <c r="BG693" s="283">
        <v>42235</v>
      </c>
      <c r="BL693" s="296">
        <v>61.314682006835937</v>
      </c>
      <c r="BM693" s="283">
        <v>42235</v>
      </c>
      <c r="BP693" s="282">
        <v>3.2640640735626221</v>
      </c>
      <c r="BQ693" s="283">
        <v>42235</v>
      </c>
      <c r="BR693" s="282">
        <v>48.966560363769531</v>
      </c>
      <c r="BS693" s="283">
        <v>42235</v>
      </c>
      <c r="BT693" s="282">
        <v>18.515363693237305</v>
      </c>
      <c r="BU693" s="283">
        <v>42235</v>
      </c>
      <c r="BV693" s="282">
        <v>15.541887283325195</v>
      </c>
      <c r="BW693" s="283">
        <v>42235</v>
      </c>
      <c r="BX693" s="282">
        <v>5.6915283203125</v>
      </c>
      <c r="BY693" s="283">
        <v>42235</v>
      </c>
      <c r="CB693" s="267">
        <v>5.83</v>
      </c>
      <c r="CD693" s="282">
        <v>1.7543859649122899</v>
      </c>
      <c r="CE693" s="291" t="s">
        <v>8398</v>
      </c>
      <c r="CH693" s="136">
        <v>2</v>
      </c>
      <c r="CI693" s="136">
        <v>4</v>
      </c>
      <c r="CL693" s="136">
        <v>3</v>
      </c>
      <c r="CM693" s="259">
        <v>42161</v>
      </c>
      <c r="CN693" s="137" t="s">
        <v>8406</v>
      </c>
    </row>
    <row r="694" spans="1:92">
      <c r="A694" s="258">
        <v>1147</v>
      </c>
      <c r="B694" s="235">
        <v>271</v>
      </c>
      <c r="C694" s="235" t="s">
        <v>7730</v>
      </c>
      <c r="D694" s="235" t="s">
        <v>7553</v>
      </c>
      <c r="E694" s="235" t="s">
        <v>7730</v>
      </c>
      <c r="F694" s="235" t="s">
        <v>8591</v>
      </c>
      <c r="G694" s="235" t="str">
        <f t="shared" si="366"/>
        <v>Rapsodyn</v>
      </c>
      <c r="H694" s="235" t="s">
        <v>267</v>
      </c>
      <c r="I694" s="235">
        <v>1</v>
      </c>
      <c r="J694" s="235">
        <v>9112</v>
      </c>
      <c r="K694" s="235">
        <v>22</v>
      </c>
      <c r="L694" s="235">
        <f t="shared" si="365"/>
        <v>94</v>
      </c>
      <c r="M694" s="235">
        <v>4</v>
      </c>
      <c r="N694" s="235">
        <v>7</v>
      </c>
      <c r="O694" s="248">
        <v>42048</v>
      </c>
      <c r="P694" s="136">
        <v>6.25</v>
      </c>
      <c r="Q694" s="264">
        <v>42204</v>
      </c>
      <c r="V694" s="219">
        <f t="shared" si="367"/>
        <v>18.449749711890814</v>
      </c>
      <c r="X694">
        <v>15.55</v>
      </c>
      <c r="AB694" s="220">
        <f t="shared" si="368"/>
        <v>6.8378155107047629</v>
      </c>
      <c r="AD694" s="221">
        <f t="shared" si="369"/>
        <v>97362.733646716821</v>
      </c>
      <c r="AF694" s="220">
        <f t="shared" si="370"/>
        <v>37.874103388572841</v>
      </c>
      <c r="AH694" s="220">
        <f t="shared" si="371"/>
        <v>42.469279422037275</v>
      </c>
      <c r="AJ694">
        <v>3.89</v>
      </c>
      <c r="AK694" s="285" t="s">
        <v>8398</v>
      </c>
      <c r="AL694" s="260">
        <v>155</v>
      </c>
      <c r="AN694" s="235">
        <v>70</v>
      </c>
      <c r="AO694" s="242">
        <v>42074</v>
      </c>
      <c r="AP694" s="235">
        <v>106</v>
      </c>
      <c r="AQ694" s="242">
        <v>42110</v>
      </c>
      <c r="AR694" s="136">
        <v>138</v>
      </c>
      <c r="AS694" s="297">
        <f t="shared" si="372"/>
        <v>138</v>
      </c>
      <c r="AT694" s="290">
        <v>42142</v>
      </c>
      <c r="AU694" s="298"/>
      <c r="BF694" s="282">
        <v>-5.0361270904541016</v>
      </c>
      <c r="BG694" s="283">
        <v>42235</v>
      </c>
      <c r="BL694" s="296">
        <v>61.078750610351562</v>
      </c>
      <c r="BM694" s="283">
        <v>42235</v>
      </c>
      <c r="BP694" s="282">
        <v>3.9919979572296143</v>
      </c>
      <c r="BQ694" s="283">
        <v>42235</v>
      </c>
      <c r="BR694" s="282">
        <v>48.713363647460938</v>
      </c>
      <c r="BS694" s="283">
        <v>42235</v>
      </c>
      <c r="BT694" s="282">
        <v>18.054065704345703</v>
      </c>
      <c r="BU694" s="283">
        <v>42235</v>
      </c>
      <c r="BV694" s="282">
        <v>12.020554542541504</v>
      </c>
      <c r="BW694" s="283">
        <v>42235</v>
      </c>
      <c r="BX694" s="282">
        <v>5.602508544921875</v>
      </c>
      <c r="BY694" s="283">
        <v>42235</v>
      </c>
      <c r="CB694" s="267">
        <v>5.33</v>
      </c>
      <c r="CD694" s="282">
        <v>3.8461538461538494</v>
      </c>
      <c r="CE694" s="291" t="s">
        <v>8398</v>
      </c>
      <c r="CH694" s="136">
        <v>1</v>
      </c>
      <c r="CI694" s="136">
        <v>5</v>
      </c>
      <c r="CL694" s="136">
        <v>3</v>
      </c>
      <c r="CM694" s="259">
        <v>42161</v>
      </c>
      <c r="CN694" s="137" t="s">
        <v>8406</v>
      </c>
    </row>
    <row r="695" spans="1:92">
      <c r="A695" s="258">
        <v>1148</v>
      </c>
      <c r="B695" s="235">
        <v>272</v>
      </c>
      <c r="C695" s="235" t="s">
        <v>7759</v>
      </c>
      <c r="D695" s="235" t="s">
        <v>7566</v>
      </c>
      <c r="E695" s="235" t="s">
        <v>7759</v>
      </c>
      <c r="F695" s="235" t="s">
        <v>8532</v>
      </c>
      <c r="G695" s="235" t="str">
        <f t="shared" si="366"/>
        <v>Rapsodyn</v>
      </c>
      <c r="H695" s="235" t="s">
        <v>267</v>
      </c>
      <c r="I695" s="235">
        <v>1</v>
      </c>
      <c r="J695" s="235">
        <v>9130</v>
      </c>
      <c r="K695" s="235">
        <v>21</v>
      </c>
      <c r="L695" s="235">
        <f t="shared" si="365"/>
        <v>93</v>
      </c>
      <c r="M695" s="235">
        <v>4</v>
      </c>
      <c r="N695" s="235">
        <v>7</v>
      </c>
      <c r="O695" s="248">
        <v>42048</v>
      </c>
      <c r="P695" s="136">
        <v>5.93</v>
      </c>
      <c r="Q695" s="264">
        <v>42204</v>
      </c>
      <c r="V695" s="219">
        <f t="shared" si="367"/>
        <v>17.52712471687137</v>
      </c>
      <c r="X695">
        <v>15.55</v>
      </c>
      <c r="AB695" s="220">
        <f t="shared" si="368"/>
        <v>6.6103919942386344</v>
      </c>
      <c r="AD695" s="221">
        <f t="shared" si="369"/>
        <v>74765.218319182983</v>
      </c>
      <c r="AF695" s="220">
        <f t="shared" si="370"/>
        <v>35.962070011527011</v>
      </c>
      <c r="AH695" s="220">
        <f t="shared" si="371"/>
        <v>40.325263524923777</v>
      </c>
      <c r="AJ695">
        <v>4.8099999999999996</v>
      </c>
      <c r="AK695" s="285" t="s">
        <v>8398</v>
      </c>
      <c r="AL695" s="260">
        <v>155</v>
      </c>
      <c r="AN695" s="235">
        <v>79</v>
      </c>
      <c r="AO695" s="242">
        <v>42083</v>
      </c>
      <c r="AP695" s="235">
        <v>106</v>
      </c>
      <c r="AQ695" s="242">
        <v>42110</v>
      </c>
      <c r="AR695" s="136">
        <v>131</v>
      </c>
      <c r="AS695" s="297">
        <f t="shared" si="372"/>
        <v>131</v>
      </c>
      <c r="AT695" s="290">
        <v>42135</v>
      </c>
      <c r="AU695" s="298"/>
      <c r="BF695" s="282">
        <v>-5.8935108184814453</v>
      </c>
      <c r="BG695" s="283">
        <v>42235</v>
      </c>
      <c r="BL695" s="296">
        <v>63.946434020996094</v>
      </c>
      <c r="BM695" s="283">
        <v>42235</v>
      </c>
      <c r="BP695" s="282">
        <v>3.4694650173187256</v>
      </c>
      <c r="BQ695" s="283">
        <v>42235</v>
      </c>
      <c r="BR695" s="282">
        <v>48.737808227539063</v>
      </c>
      <c r="BS695" s="283">
        <v>42235</v>
      </c>
      <c r="BT695" s="282">
        <v>18.381567001342773</v>
      </c>
      <c r="BU695" s="283">
        <v>42235</v>
      </c>
      <c r="BV695" s="282">
        <v>17.090446472167969</v>
      </c>
      <c r="BW695" s="283">
        <v>42235</v>
      </c>
      <c r="BX695" s="282">
        <v>5.7929916381835937</v>
      </c>
      <c r="BY695" s="283">
        <v>42235</v>
      </c>
      <c r="CB695" s="267">
        <v>5.48</v>
      </c>
      <c r="CD695" s="282">
        <v>3.7735849056603805</v>
      </c>
      <c r="CE695" s="291" t="s">
        <v>8398</v>
      </c>
      <c r="CH695" s="136">
        <v>1</v>
      </c>
      <c r="CI695" s="136">
        <v>5</v>
      </c>
      <c r="CL695" s="136">
        <v>2</v>
      </c>
      <c r="CM695" s="259">
        <v>42161</v>
      </c>
      <c r="CN695" s="137" t="s">
        <v>8406</v>
      </c>
    </row>
    <row r="696" spans="1:92">
      <c r="A696" s="258">
        <v>1150</v>
      </c>
      <c r="B696" s="235">
        <v>274</v>
      </c>
      <c r="C696" s="235" t="s">
        <v>7755</v>
      </c>
      <c r="D696" s="235" t="s">
        <v>7563</v>
      </c>
      <c r="E696" s="235" t="s">
        <v>7755</v>
      </c>
      <c r="F696" s="235" t="s">
        <v>8601</v>
      </c>
      <c r="G696" s="235" t="str">
        <f t="shared" si="366"/>
        <v>Rapsodyn</v>
      </c>
      <c r="H696" s="235" t="s">
        <v>267</v>
      </c>
      <c r="I696" s="235">
        <v>1</v>
      </c>
      <c r="J696" s="235">
        <v>9127</v>
      </c>
      <c r="K696" s="235">
        <v>19</v>
      </c>
      <c r="L696" s="235">
        <f t="shared" si="365"/>
        <v>91</v>
      </c>
      <c r="M696" s="235">
        <v>4</v>
      </c>
      <c r="N696" s="235">
        <v>9</v>
      </c>
      <c r="O696" s="248">
        <v>42048</v>
      </c>
      <c r="P696" s="136">
        <v>4.57</v>
      </c>
      <c r="Q696" s="264">
        <v>42204</v>
      </c>
      <c r="V696" s="219">
        <f t="shared" si="367"/>
        <v>13.687063726566231</v>
      </c>
      <c r="X696">
        <v>15.55</v>
      </c>
      <c r="AB696" s="220">
        <f t="shared" si="368"/>
        <v>4.9761535044667049</v>
      </c>
      <c r="AD696" s="221">
        <f t="shared" si="369"/>
        <v>57980.519436929841</v>
      </c>
      <c r="AF696" s="220">
        <f t="shared" si="370"/>
        <v>27.772668810289396</v>
      </c>
      <c r="AH696" s="220">
        <f t="shared" si="371"/>
        <v>31.142261505146216</v>
      </c>
      <c r="AJ696">
        <v>4.79</v>
      </c>
      <c r="AK696" s="285" t="s">
        <v>8398</v>
      </c>
      <c r="AL696" s="260">
        <v>165</v>
      </c>
      <c r="AN696" s="235">
        <v>72</v>
      </c>
      <c r="AO696" s="242">
        <v>42076</v>
      </c>
      <c r="AP696" s="235">
        <v>110</v>
      </c>
      <c r="AQ696" s="242">
        <v>42114</v>
      </c>
      <c r="AR696" s="136">
        <v>136</v>
      </c>
      <c r="AS696" s="297">
        <f t="shared" si="372"/>
        <v>136</v>
      </c>
      <c r="AT696" s="290">
        <v>42140</v>
      </c>
      <c r="AU696" s="298"/>
      <c r="BF696" s="282">
        <v>-2.9121739864349365</v>
      </c>
      <c r="BG696" s="283">
        <v>42235</v>
      </c>
      <c r="BL696" s="296">
        <v>62.984230041503906</v>
      </c>
      <c r="BM696" s="283">
        <v>42235</v>
      </c>
      <c r="BP696" s="282">
        <v>3.8528220653533936</v>
      </c>
      <c r="BQ696" s="283">
        <v>42235</v>
      </c>
      <c r="BR696" s="282">
        <v>49.282493591308594</v>
      </c>
      <c r="BS696" s="283">
        <v>42235</v>
      </c>
      <c r="BT696" s="282">
        <v>17.917448043823242</v>
      </c>
      <c r="BU696" s="283">
        <v>42235</v>
      </c>
      <c r="BV696" s="282">
        <v>54.148971557617187</v>
      </c>
      <c r="BW696" s="283">
        <v>42235</v>
      </c>
      <c r="BX696" s="282">
        <v>5.7454910278320312</v>
      </c>
      <c r="BY696" s="283">
        <v>42235</v>
      </c>
      <c r="CB696" s="267">
        <v>5.9</v>
      </c>
      <c r="CD696" s="282">
        <v>3.5714285714285587</v>
      </c>
      <c r="CE696" s="291" t="s">
        <v>8398</v>
      </c>
      <c r="CH696" s="136">
        <v>1</v>
      </c>
      <c r="CI696" s="136">
        <v>4</v>
      </c>
      <c r="CL696" s="136">
        <v>6</v>
      </c>
      <c r="CM696" s="259">
        <v>42161</v>
      </c>
      <c r="CN696" s="137" t="s">
        <v>8406</v>
      </c>
    </row>
    <row r="697" spans="1:92">
      <c r="A697" s="258">
        <v>1151</v>
      </c>
      <c r="B697" s="235">
        <v>275</v>
      </c>
      <c r="C697" s="235" t="s">
        <v>7754</v>
      </c>
      <c r="D697" s="235" t="s">
        <v>7562</v>
      </c>
      <c r="E697" s="235" t="s">
        <v>7754</v>
      </c>
      <c r="F697" s="235" t="s">
        <v>8534</v>
      </c>
      <c r="G697" s="235" t="str">
        <f t="shared" si="366"/>
        <v>Rapsodyn</v>
      </c>
      <c r="H697" s="235" t="s">
        <v>267</v>
      </c>
      <c r="I697" s="235">
        <v>1</v>
      </c>
      <c r="J697" s="235">
        <v>9126</v>
      </c>
      <c r="K697" s="235">
        <v>18</v>
      </c>
      <c r="L697" s="235">
        <f t="shared" si="365"/>
        <v>90</v>
      </c>
      <c r="M697" s="235">
        <v>4</v>
      </c>
      <c r="N697" s="236">
        <v>9</v>
      </c>
      <c r="O697" s="248">
        <v>42048</v>
      </c>
      <c r="P697" s="136">
        <v>6.12</v>
      </c>
      <c r="Q697" s="264">
        <v>42204</v>
      </c>
      <c r="V697" s="219">
        <f t="shared" si="367"/>
        <v>18.002149041473288</v>
      </c>
      <c r="X697">
        <v>15.55</v>
      </c>
      <c r="AB697" s="220">
        <f t="shared" si="368"/>
        <v>6.6970254739350432</v>
      </c>
      <c r="AD697" s="221">
        <f t="shared" si="369"/>
        <v>78502.230059122478</v>
      </c>
      <c r="AF697" s="220">
        <f t="shared" si="370"/>
        <v>36.503536977491954</v>
      </c>
      <c r="AH697" s="220">
        <f t="shared" si="371"/>
        <v>40.932425406472255</v>
      </c>
      <c r="AJ697">
        <v>4.6500000000000004</v>
      </c>
      <c r="AK697" s="285" t="s">
        <v>8398</v>
      </c>
      <c r="AL697" s="260">
        <v>160</v>
      </c>
      <c r="AN697" s="235">
        <v>72</v>
      </c>
      <c r="AO697" s="242">
        <v>42076</v>
      </c>
      <c r="AP697" s="235">
        <v>104</v>
      </c>
      <c r="AQ697" s="242">
        <v>42108</v>
      </c>
      <c r="AR697" s="136">
        <v>132</v>
      </c>
      <c r="AS697" s="297">
        <f t="shared" si="372"/>
        <v>132</v>
      </c>
      <c r="AT697" s="290">
        <v>42136</v>
      </c>
      <c r="AU697" s="298"/>
      <c r="BF697" s="282">
        <v>3.0802209377288818</v>
      </c>
      <c r="BG697" s="283">
        <v>42235</v>
      </c>
      <c r="BL697" s="296">
        <v>61.0535888671875</v>
      </c>
      <c r="BM697" s="283">
        <v>42235</v>
      </c>
      <c r="BP697" s="282">
        <v>3.6928410530090332</v>
      </c>
      <c r="BQ697" s="283">
        <v>42235</v>
      </c>
      <c r="BR697" s="282">
        <v>49.316177368164062</v>
      </c>
      <c r="BS697" s="283">
        <v>42235</v>
      </c>
      <c r="BT697" s="282">
        <v>18.346237182617188</v>
      </c>
      <c r="BU697" s="283">
        <v>42235</v>
      </c>
      <c r="BV697" s="282">
        <v>19.260391235351563</v>
      </c>
      <c r="BW697" s="283">
        <v>42235</v>
      </c>
      <c r="BX697" s="282">
        <v>5.4477005004882812</v>
      </c>
      <c r="BY697" s="283">
        <v>42235</v>
      </c>
      <c r="CB697" s="267">
        <v>7.21</v>
      </c>
      <c r="CD697" s="282">
        <v>5.3571428571428541</v>
      </c>
      <c r="CE697" s="291" t="s">
        <v>8398</v>
      </c>
      <c r="CH697" s="136">
        <v>2</v>
      </c>
      <c r="CI697" s="136">
        <v>3</v>
      </c>
      <c r="CL697" s="136">
        <v>1</v>
      </c>
      <c r="CM697" s="259">
        <v>42161</v>
      </c>
      <c r="CN697" s="137" t="s">
        <v>8406</v>
      </c>
    </row>
    <row r="698" spans="1:92">
      <c r="A698" s="258">
        <v>1153</v>
      </c>
      <c r="B698" s="235">
        <v>277</v>
      </c>
      <c r="C698" s="235" t="s">
        <v>7672</v>
      </c>
      <c r="D698" s="235" t="s">
        <v>7501</v>
      </c>
      <c r="E698" s="235" t="s">
        <v>7672</v>
      </c>
      <c r="F698" s="235" t="s">
        <v>8528</v>
      </c>
      <c r="G698" s="235" t="str">
        <f t="shared" si="366"/>
        <v>Rapsodyn</v>
      </c>
      <c r="H698" s="235" t="s">
        <v>267</v>
      </c>
      <c r="I698" s="235">
        <v>1</v>
      </c>
      <c r="J698" s="235">
        <v>9054</v>
      </c>
      <c r="K698" s="235">
        <v>16</v>
      </c>
      <c r="L698" s="235">
        <f t="shared" si="365"/>
        <v>88</v>
      </c>
      <c r="M698" s="235">
        <v>4</v>
      </c>
      <c r="N698" s="235">
        <v>9</v>
      </c>
      <c r="O698" s="248">
        <v>42048</v>
      </c>
      <c r="P698" s="136">
        <v>5.37</v>
      </c>
      <c r="Q698" s="264">
        <v>42204</v>
      </c>
      <c r="V698" s="219">
        <f t="shared" si="367"/>
        <v>14.819456727852057</v>
      </c>
      <c r="X698">
        <v>15.55</v>
      </c>
      <c r="AB698" s="220">
        <f t="shared" si="368"/>
        <v>6.0801176790093496</v>
      </c>
      <c r="AD698" s="221">
        <f t="shared" si="369"/>
        <v>58079.566231637364</v>
      </c>
      <c r="AF698" s="220">
        <f t="shared" si="370"/>
        <v>31.188727066389266</v>
      </c>
      <c r="AH698" s="220">
        <f t="shared" si="371"/>
        <v>34.97278208834858</v>
      </c>
      <c r="AJ698">
        <v>5.37</v>
      </c>
      <c r="AK698" s="285" t="s">
        <v>8398</v>
      </c>
      <c r="AL698" s="260">
        <v>180</v>
      </c>
      <c r="AN698" s="235">
        <v>70</v>
      </c>
      <c r="AO698" s="242">
        <v>42074</v>
      </c>
      <c r="AP698" s="235">
        <v>106</v>
      </c>
      <c r="AQ698" s="242">
        <v>42110</v>
      </c>
      <c r="AR698" s="136">
        <v>132</v>
      </c>
      <c r="AS698" s="297">
        <f t="shared" si="372"/>
        <v>132</v>
      </c>
      <c r="AT698" s="290">
        <v>42136</v>
      </c>
      <c r="AU698" s="298"/>
      <c r="BF698" s="282">
        <v>-3.071929931640625</v>
      </c>
      <c r="BG698" s="283">
        <v>42235</v>
      </c>
      <c r="BL698" s="296">
        <v>60.016639709472656</v>
      </c>
      <c r="BM698" s="283">
        <v>42235</v>
      </c>
      <c r="BP698" s="282">
        <v>2.9420390129089355</v>
      </c>
      <c r="BQ698" s="283">
        <v>42235</v>
      </c>
      <c r="BR698" s="282">
        <v>47.515426635742188</v>
      </c>
      <c r="BS698" s="283">
        <v>42235</v>
      </c>
      <c r="BT698" s="282">
        <v>19.494600296020508</v>
      </c>
      <c r="BU698" s="283">
        <v>42235</v>
      </c>
      <c r="BV698" s="282">
        <v>18.259225845336914</v>
      </c>
      <c r="BW698" s="283">
        <v>42235</v>
      </c>
      <c r="BX698" s="282">
        <v>5.5921859741210937</v>
      </c>
      <c r="BY698" s="283">
        <v>42235</v>
      </c>
      <c r="CB698" s="267">
        <v>7.54</v>
      </c>
      <c r="CD698" s="282">
        <v>7.8431372549019507</v>
      </c>
      <c r="CE698" s="291" t="s">
        <v>8398</v>
      </c>
      <c r="CH698" s="136">
        <v>3</v>
      </c>
      <c r="CI698" s="136">
        <v>3</v>
      </c>
      <c r="CL698" s="136">
        <v>1</v>
      </c>
      <c r="CM698" s="259">
        <v>42161</v>
      </c>
      <c r="CN698" s="137" t="s">
        <v>8406</v>
      </c>
    </row>
    <row r="699" spans="1:92">
      <c r="A699" s="258">
        <v>1154</v>
      </c>
      <c r="B699" s="235">
        <v>278</v>
      </c>
      <c r="C699" s="235" t="s">
        <v>7743</v>
      </c>
      <c r="D699" s="235" t="s">
        <v>8417</v>
      </c>
      <c r="E699" s="235" t="s">
        <v>7743</v>
      </c>
      <c r="F699" s="235" t="s">
        <v>8535</v>
      </c>
      <c r="G699" s="235" t="str">
        <f t="shared" si="366"/>
        <v>Rapsodyn</v>
      </c>
      <c r="H699" s="235" t="s">
        <v>267</v>
      </c>
      <c r="I699" s="235">
        <v>1</v>
      </c>
      <c r="J699" s="235">
        <v>9121</v>
      </c>
      <c r="K699" s="235">
        <v>15</v>
      </c>
      <c r="L699" s="235">
        <f t="shared" si="365"/>
        <v>87</v>
      </c>
      <c r="M699" s="235">
        <v>4</v>
      </c>
      <c r="N699" s="235">
        <v>7</v>
      </c>
      <c r="O699" s="248">
        <v>42048</v>
      </c>
      <c r="P699" s="136">
        <v>4.07</v>
      </c>
      <c r="Q699" s="264">
        <v>42204</v>
      </c>
      <c r="V699" s="219">
        <f t="shared" si="367"/>
        <v>11.441865529388949</v>
      </c>
      <c r="X699">
        <v>15.55</v>
      </c>
      <c r="AB699" s="220">
        <f t="shared" si="368"/>
        <v>5.1791234139393625</v>
      </c>
      <c r="AD699" s="221">
        <f t="shared" si="369"/>
        <v>57411.743002626761</v>
      </c>
      <c r="AF699" s="220">
        <f t="shared" si="370"/>
        <v>24.170343804105865</v>
      </c>
      <c r="AH699" s="220">
        <f t="shared" si="371"/>
        <v>27.102874864438068</v>
      </c>
      <c r="AJ699">
        <v>4.21</v>
      </c>
      <c r="AK699" s="285" t="s">
        <v>8398</v>
      </c>
      <c r="AL699" s="260">
        <v>180</v>
      </c>
      <c r="AN699" s="235">
        <v>79</v>
      </c>
      <c r="AO699" s="242">
        <v>42083</v>
      </c>
      <c r="AP699" s="235">
        <v>110</v>
      </c>
      <c r="AQ699" s="242">
        <v>42114</v>
      </c>
      <c r="AR699" s="136">
        <v>138</v>
      </c>
      <c r="AS699" s="297">
        <f t="shared" si="372"/>
        <v>138</v>
      </c>
      <c r="AT699" s="290">
        <v>42142</v>
      </c>
      <c r="AU699" s="298"/>
      <c r="BF699" s="282">
        <v>31.119163513183594</v>
      </c>
      <c r="BG699" s="283">
        <v>42235</v>
      </c>
      <c r="BL699" s="296">
        <v>58.674640655517578</v>
      </c>
      <c r="BM699" s="283">
        <v>42235</v>
      </c>
      <c r="BP699" s="282">
        <v>3.2601509094238281</v>
      </c>
      <c r="BQ699" s="283">
        <v>42235</v>
      </c>
      <c r="BR699" s="282">
        <v>47.338447570800781</v>
      </c>
      <c r="BS699" s="283">
        <v>42235</v>
      </c>
      <c r="BT699" s="282">
        <v>21.427595138549805</v>
      </c>
      <c r="BU699" s="283">
        <v>42235</v>
      </c>
      <c r="BV699" s="282">
        <v>68.493309020996094</v>
      </c>
      <c r="BW699" s="283">
        <v>42235</v>
      </c>
      <c r="BX699" s="282">
        <v>5.7124862670898437</v>
      </c>
      <c r="BY699" s="283">
        <v>42235</v>
      </c>
      <c r="CB699" s="267">
        <v>6.78</v>
      </c>
      <c r="CD699" s="282">
        <v>5.7692307692307656</v>
      </c>
      <c r="CE699" s="291" t="s">
        <v>8398</v>
      </c>
      <c r="CH699" s="136">
        <v>6</v>
      </c>
      <c r="CI699" s="136">
        <v>2</v>
      </c>
      <c r="CL699" s="136">
        <v>5</v>
      </c>
      <c r="CM699" s="259">
        <v>42161</v>
      </c>
      <c r="CN699" s="137" t="s">
        <v>8406</v>
      </c>
    </row>
    <row r="700" spans="1:92">
      <c r="A700" s="258">
        <v>1155</v>
      </c>
      <c r="B700" s="235">
        <v>279</v>
      </c>
      <c r="C700" s="235" t="s">
        <v>7715</v>
      </c>
      <c r="D700" s="235" t="s">
        <v>7539</v>
      </c>
      <c r="E700" s="235" t="s">
        <v>7715</v>
      </c>
      <c r="F700" s="235" t="s">
        <v>8449</v>
      </c>
      <c r="G700" s="235" t="str">
        <f t="shared" si="366"/>
        <v>Rapsodyn</v>
      </c>
      <c r="H700" s="235" t="s">
        <v>267</v>
      </c>
      <c r="I700" s="235">
        <v>1</v>
      </c>
      <c r="J700" s="235">
        <v>9097</v>
      </c>
      <c r="K700" s="235">
        <v>14</v>
      </c>
      <c r="L700" s="235">
        <f t="shared" si="365"/>
        <v>86</v>
      </c>
      <c r="M700" s="235">
        <v>4</v>
      </c>
      <c r="N700" s="235">
        <v>7</v>
      </c>
      <c r="O700" s="248">
        <v>42048</v>
      </c>
      <c r="P700" s="136">
        <v>6.61</v>
      </c>
      <c r="Q700" s="264">
        <v>42204</v>
      </c>
      <c r="V700" s="219">
        <f t="shared" si="367"/>
        <v>18.553400262518934</v>
      </c>
      <c r="X700">
        <v>15.55</v>
      </c>
      <c r="AB700" s="220">
        <f t="shared" si="368"/>
        <v>7.3722671814511012</v>
      </c>
      <c r="AD700" s="221">
        <f t="shared" si="369"/>
        <v>82389.695450149957</v>
      </c>
      <c r="AF700" s="220">
        <f t="shared" si="370"/>
        <v>39.299884729721526</v>
      </c>
      <c r="AH700" s="220">
        <f t="shared" si="371"/>
        <v>44.068047465487254</v>
      </c>
      <c r="AJ700">
        <v>4.7699999999999996</v>
      </c>
      <c r="AK700" s="285" t="s">
        <v>8398</v>
      </c>
      <c r="AL700" s="260">
        <v>180</v>
      </c>
      <c r="AN700" s="235">
        <v>70</v>
      </c>
      <c r="AO700" s="242">
        <v>42074</v>
      </c>
      <c r="AP700" s="235">
        <v>104</v>
      </c>
      <c r="AQ700" s="242">
        <v>42108</v>
      </c>
      <c r="AR700" s="136">
        <v>131</v>
      </c>
      <c r="AS700" s="297">
        <f t="shared" si="372"/>
        <v>131</v>
      </c>
      <c r="AT700" s="290">
        <v>42135</v>
      </c>
      <c r="AU700" s="298"/>
      <c r="BF700" s="282">
        <v>-5.5012798309326172</v>
      </c>
      <c r="BG700" s="283">
        <v>42235</v>
      </c>
      <c r="BL700" s="296">
        <v>57.765045166015625</v>
      </c>
      <c r="BM700" s="283">
        <v>42235</v>
      </c>
      <c r="BP700" s="282">
        <v>3.6023979187011719</v>
      </c>
      <c r="BQ700" s="283">
        <v>42235</v>
      </c>
      <c r="BR700" s="282">
        <v>47.209808349609375</v>
      </c>
      <c r="BS700" s="283">
        <v>42235</v>
      </c>
      <c r="BT700" s="282">
        <v>18.759004592895508</v>
      </c>
      <c r="BU700" s="283">
        <v>42235</v>
      </c>
      <c r="BV700" s="282">
        <v>8.30230712890625</v>
      </c>
      <c r="BW700" s="283">
        <v>42235</v>
      </c>
      <c r="BX700" s="282">
        <v>5.5473251342773437</v>
      </c>
      <c r="BY700" s="283">
        <v>42235</v>
      </c>
      <c r="CB700" s="267">
        <v>6.56</v>
      </c>
      <c r="CD700" s="282">
        <v>5.660377358490563</v>
      </c>
      <c r="CE700" s="291" t="s">
        <v>8398</v>
      </c>
      <c r="CH700" s="136">
        <v>2</v>
      </c>
      <c r="CI700" s="136">
        <v>5</v>
      </c>
      <c r="CL700" s="136">
        <v>3</v>
      </c>
      <c r="CM700" s="259">
        <v>42161</v>
      </c>
      <c r="CN700" s="137" t="s">
        <v>8406</v>
      </c>
    </row>
    <row r="701" spans="1:92">
      <c r="A701" s="258">
        <v>1156</v>
      </c>
      <c r="B701" s="235">
        <v>280</v>
      </c>
      <c r="C701" s="235" t="s">
        <v>7663</v>
      </c>
      <c r="D701" s="235" t="s">
        <v>7493</v>
      </c>
      <c r="E701" s="235" t="s">
        <v>7663</v>
      </c>
      <c r="F701" s="235" t="s">
        <v>8600</v>
      </c>
      <c r="G701" s="235" t="str">
        <f t="shared" si="366"/>
        <v>Rapsodyn</v>
      </c>
      <c r="H701" s="235" t="s">
        <v>267</v>
      </c>
      <c r="I701" s="235">
        <v>1</v>
      </c>
      <c r="J701" s="235">
        <v>9046</v>
      </c>
      <c r="K701" s="235">
        <v>13</v>
      </c>
      <c r="L701" s="235">
        <f t="shared" si="365"/>
        <v>85</v>
      </c>
      <c r="M701" s="235">
        <v>4</v>
      </c>
      <c r="N701" s="236">
        <v>9</v>
      </c>
      <c r="O701" s="248">
        <v>42048</v>
      </c>
      <c r="P701" s="136">
        <v>5.0599999999999996</v>
      </c>
      <c r="Q701" s="264">
        <v>42204</v>
      </c>
      <c r="V701" s="219">
        <f t="shared" si="367"/>
        <v>14.71085460442443</v>
      </c>
      <c r="X701">
        <v>15.55</v>
      </c>
      <c r="AB701" s="220">
        <f t="shared" si="368"/>
        <v>5.6453896609306504</v>
      </c>
      <c r="AD701" s="221">
        <f t="shared" si="369"/>
        <v>70586.448993535916</v>
      </c>
      <c r="AF701" s="220">
        <f t="shared" si="370"/>
        <v>30.211000169233376</v>
      </c>
      <c r="AH701" s="220">
        <f t="shared" si="371"/>
        <v>33.876429882522288</v>
      </c>
      <c r="AJ701">
        <v>4.28</v>
      </c>
      <c r="AK701" s="285" t="s">
        <v>8398</v>
      </c>
      <c r="AL701" s="260">
        <v>155</v>
      </c>
      <c r="AN701" s="235">
        <v>63</v>
      </c>
      <c r="AO701" s="242">
        <v>42067</v>
      </c>
      <c r="AP701" s="235">
        <v>104</v>
      </c>
      <c r="AQ701" s="242">
        <v>42108</v>
      </c>
      <c r="AR701" s="136">
        <v>131</v>
      </c>
      <c r="AS701" s="297">
        <f t="shared" si="372"/>
        <v>131</v>
      </c>
      <c r="AT701" s="290">
        <v>42135</v>
      </c>
      <c r="AU701" s="298"/>
      <c r="BF701" s="282">
        <v>-1.8997880220413208</v>
      </c>
      <c r="BG701" s="283">
        <v>42235</v>
      </c>
      <c r="BL701" s="296">
        <v>62.626270294189453</v>
      </c>
      <c r="BM701" s="283">
        <v>42235</v>
      </c>
      <c r="BP701" s="282">
        <v>3.3025169372558594</v>
      </c>
      <c r="BQ701" s="283">
        <v>42235</v>
      </c>
      <c r="BR701" s="282">
        <v>48.693702697753906</v>
      </c>
      <c r="BS701" s="283">
        <v>42235</v>
      </c>
      <c r="BT701" s="282">
        <v>18.68653678894043</v>
      </c>
      <c r="BU701" s="283">
        <v>42235</v>
      </c>
      <c r="BV701" s="282">
        <v>15.164035797119141</v>
      </c>
      <c r="BW701" s="283">
        <v>42235</v>
      </c>
      <c r="BX701" s="282">
        <v>5.7299957275390625</v>
      </c>
      <c r="BY701" s="283">
        <v>42235</v>
      </c>
      <c r="CB701" s="267">
        <v>7.8</v>
      </c>
      <c r="CD701" s="282">
        <v>5.2631578947368389</v>
      </c>
      <c r="CE701" s="291" t="s">
        <v>8398</v>
      </c>
      <c r="CH701" s="136">
        <v>2</v>
      </c>
      <c r="CI701" s="136">
        <v>2</v>
      </c>
      <c r="CL701" s="136">
        <v>3</v>
      </c>
      <c r="CM701" s="259">
        <v>42161</v>
      </c>
      <c r="CN701" s="137" t="s">
        <v>8406</v>
      </c>
    </row>
    <row r="702" spans="1:92">
      <c r="A702" s="258">
        <v>1157</v>
      </c>
      <c r="B702" s="236">
        <v>281</v>
      </c>
      <c r="C702" s="236" t="s">
        <v>7682</v>
      </c>
      <c r="D702" s="236" t="s">
        <v>7509</v>
      </c>
      <c r="E702" s="236" t="s">
        <v>7682</v>
      </c>
      <c r="F702" s="236" t="s">
        <v>8477</v>
      </c>
      <c r="G702" s="235" t="str">
        <f t="shared" si="366"/>
        <v>Rapsodyn</v>
      </c>
      <c r="H702" s="235" t="s">
        <v>267</v>
      </c>
      <c r="I702" s="235">
        <v>1</v>
      </c>
      <c r="J702" s="236">
        <v>9064</v>
      </c>
      <c r="K702" s="236">
        <v>12</v>
      </c>
      <c r="L702" s="235">
        <f t="shared" si="365"/>
        <v>84</v>
      </c>
      <c r="M702" s="236">
        <v>4</v>
      </c>
      <c r="N702" s="235">
        <v>9</v>
      </c>
      <c r="O702" s="248">
        <v>42048</v>
      </c>
      <c r="P702" s="136">
        <v>6.31</v>
      </c>
      <c r="Q702" s="264">
        <v>42204</v>
      </c>
      <c r="V702" s="219">
        <f t="shared" si="367"/>
        <v>18.644291565125393</v>
      </c>
      <c r="X702">
        <v>15.55</v>
      </c>
      <c r="AB702" s="220">
        <f t="shared" si="368"/>
        <v>7.1223085612300112</v>
      </c>
      <c r="AD702" s="221">
        <f t="shared" si="369"/>
        <v>78573.730104921153</v>
      </c>
      <c r="AF702" s="220">
        <f t="shared" si="370"/>
        <v>37.636816720257229</v>
      </c>
      <c r="AH702" s="220">
        <f t="shared" si="371"/>
        <v>42.203203319418286</v>
      </c>
      <c r="AJ702">
        <v>4.79</v>
      </c>
      <c r="AK702" s="285" t="s">
        <v>8401</v>
      </c>
      <c r="AL702" s="260">
        <v>160</v>
      </c>
      <c r="AN702" s="235">
        <v>63</v>
      </c>
      <c r="AO702" s="243">
        <v>42067</v>
      </c>
      <c r="AP702" s="235">
        <v>100</v>
      </c>
      <c r="AQ702" s="242">
        <v>42104</v>
      </c>
      <c r="AR702" s="136">
        <v>123</v>
      </c>
      <c r="AS702" s="297">
        <f t="shared" si="372"/>
        <v>123</v>
      </c>
      <c r="AT702" s="290">
        <v>42127</v>
      </c>
      <c r="AU702" s="298"/>
      <c r="BF702" s="282">
        <v>-3.0555989742279053</v>
      </c>
      <c r="BG702" s="283">
        <v>42234</v>
      </c>
      <c r="BL702" s="296">
        <v>63.834098815917969</v>
      </c>
      <c r="BM702" s="283">
        <v>42234</v>
      </c>
      <c r="BP702" s="282">
        <v>3.3104310035705566</v>
      </c>
      <c r="BQ702" s="283">
        <v>42234</v>
      </c>
      <c r="BR702" s="282">
        <v>49.537376403808594</v>
      </c>
      <c r="BS702" s="283">
        <v>42234</v>
      </c>
      <c r="BT702" s="282">
        <v>18.92378044128418</v>
      </c>
      <c r="BU702" s="283">
        <v>42234</v>
      </c>
      <c r="BV702" s="282">
        <v>16.205118179321289</v>
      </c>
      <c r="BW702" s="283">
        <v>42234</v>
      </c>
      <c r="BX702" s="282">
        <v>5.5339736938476562</v>
      </c>
      <c r="BY702" s="283">
        <v>42234</v>
      </c>
      <c r="CB702" s="267">
        <v>6.85</v>
      </c>
      <c r="CD702" s="282">
        <v>5.3571428571428541</v>
      </c>
      <c r="CE702" s="291" t="s">
        <v>8401</v>
      </c>
      <c r="CH702" s="136">
        <v>1</v>
      </c>
      <c r="CI702" s="136">
        <v>2</v>
      </c>
      <c r="CL702" s="136">
        <v>2</v>
      </c>
      <c r="CM702" s="259">
        <v>42161</v>
      </c>
      <c r="CN702" s="137" t="s">
        <v>8406</v>
      </c>
    </row>
    <row r="703" spans="1:92">
      <c r="A703" s="258">
        <v>1158</v>
      </c>
      <c r="B703" s="235">
        <v>282</v>
      </c>
      <c r="C703" s="235" t="s">
        <v>7735</v>
      </c>
      <c r="D703" s="235" t="s">
        <v>7558</v>
      </c>
      <c r="E703" s="235" t="s">
        <v>7735</v>
      </c>
      <c r="F703" s="235" t="s">
        <v>8597</v>
      </c>
      <c r="G703" s="235" t="str">
        <f t="shared" si="366"/>
        <v>Rapsodyn</v>
      </c>
      <c r="H703" s="235" t="s">
        <v>267</v>
      </c>
      <c r="I703" s="235">
        <v>1</v>
      </c>
      <c r="J703" s="235">
        <v>9115</v>
      </c>
      <c r="K703" s="235">
        <v>11</v>
      </c>
      <c r="L703" s="235">
        <f t="shared" si="365"/>
        <v>83</v>
      </c>
      <c r="M703" s="235">
        <v>4</v>
      </c>
      <c r="N703" s="235">
        <v>7</v>
      </c>
      <c r="O703" s="248">
        <v>42048</v>
      </c>
      <c r="P703" s="136">
        <v>5.04</v>
      </c>
      <c r="Q703" s="264">
        <v>42204</v>
      </c>
      <c r="V703" s="219">
        <f t="shared" si="367"/>
        <v>14.478216107285673</v>
      </c>
      <c r="X703">
        <v>15.55</v>
      </c>
      <c r="AB703" s="220">
        <f t="shared" si="368"/>
        <v>6.0278480790313029</v>
      </c>
      <c r="AD703" s="221">
        <f t="shared" si="369"/>
        <v>70567.456184049646</v>
      </c>
      <c r="AF703" s="220">
        <f t="shared" si="370"/>
        <v>30.061736334405143</v>
      </c>
      <c r="AH703" s="220">
        <f t="shared" si="371"/>
        <v>33.709056217094798</v>
      </c>
      <c r="AJ703">
        <v>4.26</v>
      </c>
      <c r="AK703" s="285" t="s">
        <v>8401</v>
      </c>
      <c r="AL703" s="260">
        <v>175</v>
      </c>
      <c r="AN703" s="235">
        <v>72</v>
      </c>
      <c r="AO703" s="242">
        <v>42076</v>
      </c>
      <c r="AP703" s="235">
        <v>106</v>
      </c>
      <c r="AQ703" s="242">
        <v>42110</v>
      </c>
      <c r="AR703" s="136">
        <v>135</v>
      </c>
      <c r="AS703" s="297">
        <f t="shared" si="372"/>
        <v>135</v>
      </c>
      <c r="AT703" s="290">
        <v>42139</v>
      </c>
      <c r="AU703" s="298"/>
      <c r="BF703" s="282">
        <v>42.262928009033203</v>
      </c>
      <c r="BG703" s="283">
        <v>42234</v>
      </c>
      <c r="BL703" s="296">
        <v>59.892524719238281</v>
      </c>
      <c r="BM703" s="283">
        <v>42234</v>
      </c>
      <c r="BP703" s="282">
        <v>4.0693478584289551</v>
      </c>
      <c r="BQ703" s="283">
        <v>42234</v>
      </c>
      <c r="BR703" s="282">
        <v>48.161609649658203</v>
      </c>
      <c r="BS703" s="283">
        <v>42234</v>
      </c>
      <c r="BT703" s="282">
        <v>20.051563262939453</v>
      </c>
      <c r="BU703" s="283">
        <v>42234</v>
      </c>
      <c r="BV703" s="282">
        <v>66.619674682617188</v>
      </c>
      <c r="BW703" s="283">
        <v>42234</v>
      </c>
      <c r="BX703" s="282">
        <v>5.7235565185546875</v>
      </c>
      <c r="BY703" s="283">
        <v>42234</v>
      </c>
      <c r="CB703" s="267">
        <v>6.59</v>
      </c>
      <c r="CD703" s="282">
        <v>5.3571428571428541</v>
      </c>
      <c r="CE703" s="291" t="s">
        <v>8401</v>
      </c>
      <c r="CH703" s="136">
        <v>2</v>
      </c>
      <c r="CI703" s="136">
        <v>3</v>
      </c>
      <c r="CL703" s="136">
        <v>5</v>
      </c>
      <c r="CM703" s="259">
        <v>42161</v>
      </c>
      <c r="CN703" s="137" t="s">
        <v>8406</v>
      </c>
    </row>
    <row r="704" spans="1:92">
      <c r="A704" s="258">
        <v>1159</v>
      </c>
      <c r="B704" s="235">
        <v>283</v>
      </c>
      <c r="C704" s="235" t="s">
        <v>7673</v>
      </c>
      <c r="D704" s="235" t="s">
        <v>7502</v>
      </c>
      <c r="E704" s="235" t="s">
        <v>7673</v>
      </c>
      <c r="F704" s="235" t="s">
        <v>8538</v>
      </c>
      <c r="G704" s="235" t="str">
        <f t="shared" si="366"/>
        <v>Rapsodyn</v>
      </c>
      <c r="H704" s="235" t="s">
        <v>267</v>
      </c>
      <c r="I704" s="235">
        <v>1</v>
      </c>
      <c r="J704" s="235">
        <v>9055</v>
      </c>
      <c r="K704" s="235">
        <v>10</v>
      </c>
      <c r="L704" s="235">
        <f t="shared" si="365"/>
        <v>82</v>
      </c>
      <c r="M704" s="235">
        <v>4</v>
      </c>
      <c r="N704" s="235">
        <v>7</v>
      </c>
      <c r="O704" s="248">
        <v>42048</v>
      </c>
      <c r="P704" s="136">
        <v>6.74</v>
      </c>
      <c r="Q704" s="264">
        <v>42204</v>
      </c>
      <c r="V704" s="219">
        <f t="shared" si="367"/>
        <v>20.095694458903676</v>
      </c>
      <c r="X704">
        <v>15.55</v>
      </c>
      <c r="AB704" s="220">
        <f t="shared" si="368"/>
        <v>7.9701882234768471</v>
      </c>
      <c r="AD704" s="221">
        <f t="shared" si="369"/>
        <v>98792.787087692661</v>
      </c>
      <c r="AF704" s="220">
        <f t="shared" si="370"/>
        <v>41.690556151006305</v>
      </c>
      <c r="AH704" s="220">
        <f t="shared" si="371"/>
        <v>46.74877343687632</v>
      </c>
      <c r="AJ704">
        <v>4.22</v>
      </c>
      <c r="AK704" s="285" t="s">
        <v>8401</v>
      </c>
      <c r="AL704" s="260">
        <v>165</v>
      </c>
      <c r="AN704" s="235">
        <v>75</v>
      </c>
      <c r="AO704" s="242">
        <v>42079</v>
      </c>
      <c r="AP704" s="235">
        <v>110</v>
      </c>
      <c r="AQ704" s="242">
        <v>42114</v>
      </c>
      <c r="AR704" s="136">
        <v>135</v>
      </c>
      <c r="AS704" s="297">
        <f t="shared" si="372"/>
        <v>135</v>
      </c>
      <c r="AT704" s="290">
        <v>42139</v>
      </c>
      <c r="AU704" s="298"/>
      <c r="BF704" s="282">
        <v>-0.71231299638748169</v>
      </c>
      <c r="BG704" s="283">
        <v>42234</v>
      </c>
      <c r="BL704" s="296">
        <v>62.116489410400391</v>
      </c>
      <c r="BM704" s="283">
        <v>42234</v>
      </c>
      <c r="BP704" s="282">
        <v>4.2358870506286621</v>
      </c>
      <c r="BQ704" s="283">
        <v>42234</v>
      </c>
      <c r="BR704" s="282">
        <v>48.202030181884766</v>
      </c>
      <c r="BS704" s="283">
        <v>42234</v>
      </c>
      <c r="BT704" s="282">
        <v>19.117490768432617</v>
      </c>
      <c r="BU704" s="283">
        <v>42234</v>
      </c>
      <c r="BV704" s="282">
        <v>15.510910034179688</v>
      </c>
      <c r="BW704" s="283">
        <v>42234</v>
      </c>
      <c r="BX704" s="282">
        <v>5.79498291015625</v>
      </c>
      <c r="BY704" s="283">
        <v>42234</v>
      </c>
      <c r="CB704" s="267">
        <v>7.69</v>
      </c>
      <c r="CD704" s="282">
        <v>1.8518518518518614</v>
      </c>
      <c r="CE704" s="291" t="s">
        <v>8401</v>
      </c>
      <c r="CH704" s="136">
        <v>2</v>
      </c>
      <c r="CI704" s="136">
        <v>4</v>
      </c>
      <c r="CL704" s="136">
        <v>2</v>
      </c>
      <c r="CM704" s="259">
        <v>42161</v>
      </c>
      <c r="CN704" s="137" t="s">
        <v>8406</v>
      </c>
    </row>
    <row r="705" spans="1:93">
      <c r="A705" s="258">
        <v>1161</v>
      </c>
      <c r="B705" s="235">
        <v>285</v>
      </c>
      <c r="C705" s="235" t="s">
        <v>7576</v>
      </c>
      <c r="D705" s="235"/>
      <c r="E705" s="235"/>
      <c r="F705" s="235"/>
      <c r="G705" s="235"/>
      <c r="H705" s="235" t="s">
        <v>267</v>
      </c>
      <c r="I705" s="235">
        <v>1</v>
      </c>
      <c r="K705" s="235">
        <v>8</v>
      </c>
      <c r="L705" s="235">
        <f t="shared" si="365"/>
        <v>80</v>
      </c>
      <c r="M705" s="235">
        <v>4</v>
      </c>
      <c r="O705" s="248">
        <v>42048</v>
      </c>
      <c r="V705" s="219"/>
      <c r="X705">
        <v>15.55</v>
      </c>
      <c r="AB705" s="220"/>
      <c r="AD705" s="221"/>
      <c r="AF705" s="220"/>
      <c r="AH705" s="220"/>
      <c r="AJ705" s="286"/>
      <c r="AK705" s="285"/>
      <c r="AL705" s="260"/>
      <c r="AN705" s="235">
        <v>70</v>
      </c>
      <c r="AO705" s="242">
        <v>42074</v>
      </c>
      <c r="AP705" s="235">
        <v>106</v>
      </c>
      <c r="AQ705" s="242">
        <v>42110</v>
      </c>
      <c r="AS705" s="297"/>
      <c r="AT705" s="290"/>
      <c r="AU705" s="298"/>
      <c r="BF705" s="282"/>
      <c r="BG705" s="235"/>
      <c r="BL705" s="296"/>
      <c r="BM705" s="235"/>
      <c r="BP705" s="282"/>
      <c r="BQ705" s="235"/>
      <c r="BR705" s="282"/>
      <c r="BS705" s="235"/>
      <c r="BT705" s="282"/>
      <c r="BU705" s="235"/>
      <c r="BV705" s="282"/>
      <c r="BW705" s="235"/>
      <c r="BX705" s="282"/>
      <c r="BY705" s="235"/>
      <c r="CB705" s="267"/>
      <c r="CD705" s="282"/>
      <c r="CE705" s="291"/>
      <c r="CL705" s="136">
        <v>3</v>
      </c>
      <c r="CM705" s="259">
        <v>42161</v>
      </c>
    </row>
    <row r="706" spans="1:93">
      <c r="A706" s="258">
        <v>1162</v>
      </c>
      <c r="B706" s="235">
        <v>286</v>
      </c>
      <c r="C706" s="235" t="s">
        <v>7750</v>
      </c>
      <c r="D706" s="235" t="s">
        <v>7872</v>
      </c>
      <c r="E706" s="235" t="s">
        <v>7750</v>
      </c>
      <c r="F706" s="235" t="s">
        <v>8559</v>
      </c>
      <c r="G706" s="235" t="str">
        <f>IF(MID(C706,1,3)="BGA","Complement","Rapsodyn")</f>
        <v>Rapsodyn</v>
      </c>
      <c r="H706" s="235" t="s">
        <v>267</v>
      </c>
      <c r="I706" s="235">
        <v>1</v>
      </c>
      <c r="J706" s="235">
        <v>9382</v>
      </c>
      <c r="K706" s="235">
        <v>7</v>
      </c>
      <c r="L706" s="235">
        <f t="shared" si="365"/>
        <v>79</v>
      </c>
      <c r="M706" s="235">
        <v>4</v>
      </c>
      <c r="N706" s="235">
        <v>7</v>
      </c>
      <c r="O706" s="248">
        <v>42048</v>
      </c>
      <c r="P706" s="136">
        <v>3</v>
      </c>
      <c r="Q706" s="264">
        <v>42204</v>
      </c>
      <c r="V706" s="219">
        <f>+BR706*AF706/100</f>
        <v>8.0198755148648164</v>
      </c>
      <c r="X706">
        <v>15.55</v>
      </c>
      <c r="AB706" s="220">
        <f>+AF706*BT706/100</f>
        <v>4.2547003354917523</v>
      </c>
      <c r="AD706" s="221">
        <f>+(AF706/AJ706)*10000</f>
        <v>40219.059916255457</v>
      </c>
      <c r="AF706" s="220">
        <f>($P706/$X706)*(((100-$CD706)/100*(100-2)/100))*100</f>
        <v>18.219234142063723</v>
      </c>
      <c r="AH706" s="220">
        <f>($P706/$X706)*(((100-$CD706)/(100-9)*(100-2)/(100-2))*100)</f>
        <v>20.429731040663512</v>
      </c>
      <c r="AJ706">
        <v>4.53</v>
      </c>
      <c r="AK706" s="285" t="s">
        <v>8400</v>
      </c>
      <c r="AL706" s="260">
        <v>160</v>
      </c>
      <c r="AN706" s="235">
        <v>79</v>
      </c>
      <c r="AO706" s="242">
        <v>42083</v>
      </c>
      <c r="AP706" s="235">
        <v>104</v>
      </c>
      <c r="AQ706" s="242">
        <v>42108</v>
      </c>
      <c r="AR706" s="136">
        <v>132</v>
      </c>
      <c r="AS706" s="297">
        <f>IF(AR706=0,,AR706)</f>
        <v>132</v>
      </c>
      <c r="AT706" s="290">
        <v>42136</v>
      </c>
      <c r="AU706" s="298"/>
      <c r="BF706" s="282">
        <v>-8.6927032470703125</v>
      </c>
      <c r="BG706" s="283">
        <v>42236</v>
      </c>
      <c r="BL706" s="296">
        <v>63.997127532958984</v>
      </c>
      <c r="BM706" s="283">
        <v>42236</v>
      </c>
      <c r="BP706" s="282">
        <v>3.7761020660400391</v>
      </c>
      <c r="BQ706" s="283">
        <v>42236</v>
      </c>
      <c r="BR706" s="282">
        <v>44.018730163574219</v>
      </c>
      <c r="BS706" s="283">
        <v>42236</v>
      </c>
      <c r="BT706" s="282">
        <v>23.352794647216797</v>
      </c>
      <c r="BU706" s="283">
        <v>42236</v>
      </c>
      <c r="BV706" s="282">
        <v>75.767189025878906</v>
      </c>
      <c r="BW706" s="283">
        <v>42236</v>
      </c>
      <c r="BX706" s="282">
        <v>6.3102264404296875</v>
      </c>
      <c r="BY706" s="283">
        <v>42236</v>
      </c>
      <c r="CB706" s="267">
        <v>7.25</v>
      </c>
      <c r="CD706" s="282">
        <v>3.6363636363636398</v>
      </c>
      <c r="CE706" s="291" t="s">
        <v>8400</v>
      </c>
      <c r="CH706" s="136">
        <v>1</v>
      </c>
      <c r="CI706" s="136">
        <v>3</v>
      </c>
      <c r="CL706" s="136">
        <v>8</v>
      </c>
      <c r="CM706" s="259">
        <v>42161</v>
      </c>
      <c r="CN706" s="137" t="s">
        <v>8391</v>
      </c>
    </row>
    <row r="707" spans="1:93">
      <c r="A707" s="258">
        <v>1163</v>
      </c>
      <c r="B707" s="235">
        <v>287</v>
      </c>
      <c r="C707" s="235" t="s">
        <v>7646</v>
      </c>
      <c r="D707" s="235" t="s">
        <v>7478</v>
      </c>
      <c r="E707" s="235" t="s">
        <v>7646</v>
      </c>
      <c r="F707" s="235" t="s">
        <v>8630</v>
      </c>
      <c r="G707" s="235" t="str">
        <f>IF(MID(C707,1,3)="BGA","Complement","Rapsodyn")</f>
        <v>Rapsodyn</v>
      </c>
      <c r="H707" s="235" t="s">
        <v>267</v>
      </c>
      <c r="I707" s="235">
        <v>1</v>
      </c>
      <c r="J707" s="235">
        <v>9369</v>
      </c>
      <c r="K707" s="235">
        <v>6</v>
      </c>
      <c r="L707" s="235">
        <f t="shared" si="365"/>
        <v>78</v>
      </c>
      <c r="M707" s="235">
        <v>4</v>
      </c>
      <c r="N707" s="236">
        <v>9</v>
      </c>
      <c r="O707" s="248">
        <v>42048</v>
      </c>
      <c r="P707" s="136">
        <v>4</v>
      </c>
      <c r="Q707" s="264">
        <v>42204</v>
      </c>
      <c r="V707" s="219">
        <f>+BR707*AF707/100</f>
        <v>11.66475140581851</v>
      </c>
      <c r="X707">
        <v>15.55</v>
      </c>
      <c r="AB707" s="220">
        <f>+AF707*BT707/100</f>
        <v>4.682569306472252</v>
      </c>
      <c r="AD707" s="221">
        <f>+(AF707/AJ707)*10000</f>
        <v>50539.300752674586</v>
      </c>
      <c r="AF707" s="220">
        <f>($P707/$X707)*(((100-$CD707)/100*(100-2)/100))*100</f>
        <v>23.905089256015078</v>
      </c>
      <c r="AH707" s="220">
        <f>($P707/$X707)*(((100-$CD707)/(100-9)*(100-2)/(100-2))*100)</f>
        <v>26.805437604861048</v>
      </c>
      <c r="AJ707">
        <v>4.7300000000000004</v>
      </c>
      <c r="AK707" s="285" t="s">
        <v>8400</v>
      </c>
      <c r="AL707" s="260">
        <v>200</v>
      </c>
      <c r="AN707" s="235">
        <v>72</v>
      </c>
      <c r="AO707" s="242">
        <v>42076</v>
      </c>
      <c r="AP707" s="235">
        <v>110</v>
      </c>
      <c r="AQ707" s="242">
        <v>42114</v>
      </c>
      <c r="AR707" s="136">
        <v>132</v>
      </c>
      <c r="AS707" s="297">
        <f>IF(AR707=0,,AR707)</f>
        <v>132</v>
      </c>
      <c r="AT707" s="290">
        <v>42136</v>
      </c>
      <c r="AU707" s="298"/>
      <c r="BF707" s="282">
        <v>-3.1237199306488037</v>
      </c>
      <c r="BG707" s="283">
        <v>42236</v>
      </c>
      <c r="BL707" s="296">
        <v>57.260391235351563</v>
      </c>
      <c r="BM707" s="283">
        <v>42236</v>
      </c>
      <c r="BP707" s="282">
        <v>3.940330982208252</v>
      </c>
      <c r="BQ707" s="283">
        <v>42236</v>
      </c>
      <c r="BR707" s="282">
        <v>48.796100616455078</v>
      </c>
      <c r="BS707" s="283">
        <v>42236</v>
      </c>
      <c r="BT707" s="282">
        <v>19.588169097900391</v>
      </c>
      <c r="BU707" s="283">
        <v>42236</v>
      </c>
      <c r="BV707" s="282">
        <v>65.678070068359375</v>
      </c>
      <c r="BW707" s="283">
        <v>42236</v>
      </c>
      <c r="BX707" s="282">
        <v>5.9968109130859375</v>
      </c>
      <c r="BY707" s="283">
        <v>42236</v>
      </c>
      <c r="CB707" s="267">
        <v>6.28</v>
      </c>
      <c r="CD707" s="282">
        <v>5.1724137931034457</v>
      </c>
      <c r="CE707" s="291" t="s">
        <v>8400</v>
      </c>
      <c r="CH707" s="136">
        <v>4</v>
      </c>
      <c r="CI707" s="136">
        <v>6</v>
      </c>
      <c r="CL707" s="136">
        <v>4</v>
      </c>
      <c r="CM707" s="259">
        <v>42161</v>
      </c>
      <c r="CN707" s="137" t="s">
        <v>8406</v>
      </c>
    </row>
    <row r="708" spans="1:93">
      <c r="A708" s="258">
        <v>1164</v>
      </c>
      <c r="B708" s="235">
        <v>288</v>
      </c>
      <c r="C708" s="235" t="s">
        <v>7649</v>
      </c>
      <c r="D708" s="235" t="s">
        <v>7481</v>
      </c>
      <c r="E708" s="235" t="s">
        <v>7649</v>
      </c>
      <c r="F708" s="235" t="s">
        <v>8562</v>
      </c>
      <c r="G708" s="235" t="str">
        <f>IF(MID(C708,1,3)="BGA","Complement","Rapsodyn")</f>
        <v>Rapsodyn</v>
      </c>
      <c r="H708" s="235" t="s">
        <v>267</v>
      </c>
      <c r="I708" s="235">
        <v>1</v>
      </c>
      <c r="J708" s="235">
        <v>9370</v>
      </c>
      <c r="K708" s="235">
        <v>5</v>
      </c>
      <c r="L708" s="235">
        <f t="shared" si="365"/>
        <v>77</v>
      </c>
      <c r="M708" s="235">
        <v>4</v>
      </c>
      <c r="N708" s="235">
        <v>7</v>
      </c>
      <c r="O708" s="248">
        <v>42048</v>
      </c>
      <c r="P708" s="136">
        <v>2.2000000000000002</v>
      </c>
      <c r="Q708" s="264">
        <v>42204</v>
      </c>
      <c r="V708" s="219">
        <f>+BR708*AF708/100</f>
        <v>5.6305699937826583</v>
      </c>
      <c r="X708">
        <v>15.55</v>
      </c>
      <c r="AB708" s="220">
        <f>+AF708*BT708/100</f>
        <v>2.8208042814493952</v>
      </c>
      <c r="AD708" s="221">
        <f>+(AF708/AJ708)*10000</f>
        <v>32759.791528599366</v>
      </c>
      <c r="AF708" s="220">
        <f>($P708/$X708)*(((100-$CD708)/100*(100-2)/100))*100</f>
        <v>12.874598070739552</v>
      </c>
      <c r="AH708" s="220">
        <f>($P708/$X708)*(((100-$CD708)/(100-9)*(100-2)/(100-2))*100)</f>
        <v>14.436642824332306</v>
      </c>
      <c r="AJ708">
        <v>3.93</v>
      </c>
      <c r="AK708" s="285" t="s">
        <v>8398</v>
      </c>
      <c r="AL708" s="260">
        <v>175</v>
      </c>
      <c r="AN708" s="235">
        <v>70</v>
      </c>
      <c r="AO708" s="242">
        <v>42074</v>
      </c>
      <c r="AP708" s="235">
        <v>110</v>
      </c>
      <c r="AQ708" s="242">
        <v>42114</v>
      </c>
      <c r="AR708" s="136">
        <v>134</v>
      </c>
      <c r="AS708" s="297">
        <f>IF(AR708=0,,AR708)</f>
        <v>134</v>
      </c>
      <c r="AT708" s="290">
        <v>42138</v>
      </c>
      <c r="AU708" s="298"/>
      <c r="BF708" s="282">
        <v>-7.9846839904785156</v>
      </c>
      <c r="BG708" s="283">
        <v>42236</v>
      </c>
      <c r="BL708" s="296">
        <v>60.170196533203125</v>
      </c>
      <c r="BM708" s="283">
        <v>42236</v>
      </c>
      <c r="BP708" s="282">
        <v>4.2038750648498535</v>
      </c>
      <c r="BQ708" s="283">
        <v>42236</v>
      </c>
      <c r="BR708" s="282">
        <v>43.73394775390625</v>
      </c>
      <c r="BS708" s="283">
        <v>42236</v>
      </c>
      <c r="BT708" s="282">
        <v>21.909843444824219</v>
      </c>
      <c r="BU708" s="283">
        <v>42236</v>
      </c>
      <c r="BV708" s="282">
        <v>57.609046936035156</v>
      </c>
      <c r="BW708" s="283">
        <v>42236</v>
      </c>
      <c r="BX708" s="282">
        <v>6.3852462768554687</v>
      </c>
      <c r="BY708" s="283">
        <v>42236</v>
      </c>
      <c r="CB708" s="267">
        <v>6.44</v>
      </c>
      <c r="CD708" s="282">
        <v>7.1428571428571344</v>
      </c>
      <c r="CE708" s="291" t="s">
        <v>8398</v>
      </c>
      <c r="CH708" s="136">
        <v>5</v>
      </c>
      <c r="CI708" s="136">
        <v>8</v>
      </c>
      <c r="CL708" s="136">
        <v>8</v>
      </c>
      <c r="CM708" s="259">
        <v>42161</v>
      </c>
      <c r="CN708" s="137" t="s">
        <v>8391</v>
      </c>
      <c r="CO708" s="137" t="s">
        <v>8405</v>
      </c>
    </row>
    <row r="709" spans="1:93">
      <c r="A709" s="258">
        <v>1165</v>
      </c>
      <c r="B709" s="235">
        <v>289</v>
      </c>
      <c r="C709" s="235" t="s">
        <v>7667</v>
      </c>
      <c r="D709" s="235" t="s">
        <v>7496</v>
      </c>
      <c r="E709" s="235" t="s">
        <v>7667</v>
      </c>
      <c r="F709" s="235" t="s">
        <v>8629</v>
      </c>
      <c r="G709" s="235" t="str">
        <f>IF(MID(C709,1,3)="BGA","Complement","Rapsodyn")</f>
        <v>Rapsodyn</v>
      </c>
      <c r="H709" s="235" t="s">
        <v>267</v>
      </c>
      <c r="I709" s="235">
        <v>1</v>
      </c>
      <c r="J709" s="235">
        <v>9373</v>
      </c>
      <c r="K709" s="235">
        <v>4</v>
      </c>
      <c r="L709" s="235">
        <f t="shared" si="365"/>
        <v>76</v>
      </c>
      <c r="M709" s="235">
        <v>4</v>
      </c>
      <c r="N709" s="235">
        <v>7</v>
      </c>
      <c r="O709" s="248">
        <v>42048</v>
      </c>
      <c r="P709" s="136">
        <v>5.05</v>
      </c>
      <c r="Q709" s="264">
        <v>42204</v>
      </c>
      <c r="V709" s="219">
        <f>+BR709*AF709/100</f>
        <v>13.976871757946666</v>
      </c>
      <c r="X709">
        <v>15.55</v>
      </c>
      <c r="AB709" s="220">
        <f>+AF709*BT709/100</f>
        <v>5.9215096708519068</v>
      </c>
      <c r="AD709" s="221">
        <f>+(AF709/AJ709)*10000</f>
        <v>59941.001850534136</v>
      </c>
      <c r="AF709" s="220">
        <f>($P709/$X709)*(((100-$CD709)/100*(100-2)/100))*100</f>
        <v>30.090382928968136</v>
      </c>
      <c r="AH709" s="220">
        <f>($P709/$X709)*(((100-$CD709)/(100-9)*(100-2)/(100-2))*100)</f>
        <v>33.7411784357122</v>
      </c>
      <c r="AJ709">
        <v>5.0199999999999996</v>
      </c>
      <c r="AK709" s="285" t="s">
        <v>8398</v>
      </c>
      <c r="AL709" s="260">
        <v>170</v>
      </c>
      <c r="AN709" s="235">
        <v>72</v>
      </c>
      <c r="AO709" s="242">
        <v>42076</v>
      </c>
      <c r="AP709" s="235">
        <v>106</v>
      </c>
      <c r="AQ709" s="242">
        <v>42110</v>
      </c>
      <c r="AR709" s="136">
        <v>132</v>
      </c>
      <c r="AS709" s="297">
        <f>IF(AR709=0,,AR709)</f>
        <v>132</v>
      </c>
      <c r="AT709" s="290">
        <v>42136</v>
      </c>
      <c r="AU709" s="298"/>
      <c r="BF709" s="282">
        <v>-6.7013931274414063</v>
      </c>
      <c r="BG709" s="283">
        <v>42236</v>
      </c>
      <c r="BL709" s="296">
        <v>65.15252685546875</v>
      </c>
      <c r="BM709" s="283">
        <v>42236</v>
      </c>
      <c r="BP709" s="282">
        <v>4.2625131607055664</v>
      </c>
      <c r="BQ709" s="283">
        <v>42236</v>
      </c>
      <c r="BR709" s="282">
        <v>46.449630737304688</v>
      </c>
      <c r="BS709" s="283">
        <v>42236</v>
      </c>
      <c r="BT709" s="282">
        <v>19.6790771484375</v>
      </c>
      <c r="BU709" s="283">
        <v>42236</v>
      </c>
      <c r="BV709" s="282">
        <v>25.132989883422852</v>
      </c>
      <c r="BW709" s="283">
        <v>42236</v>
      </c>
      <c r="BX709" s="282">
        <v>6.0446701049804687</v>
      </c>
      <c r="BY709" s="283">
        <v>42236</v>
      </c>
      <c r="CB709" s="267">
        <v>7.16</v>
      </c>
      <c r="CD709" s="282">
        <v>5.4545454545454515</v>
      </c>
      <c r="CE709" s="291" t="s">
        <v>8398</v>
      </c>
      <c r="CH709" s="136">
        <v>3</v>
      </c>
      <c r="CI709" s="136">
        <v>4</v>
      </c>
      <c r="CL709" s="136">
        <v>4</v>
      </c>
      <c r="CM709" s="259">
        <v>42161</v>
      </c>
      <c r="CN709" s="137" t="s">
        <v>8406</v>
      </c>
    </row>
    <row r="710" spans="1:93">
      <c r="A710" s="258">
        <v>1166</v>
      </c>
      <c r="B710" s="235">
        <v>290</v>
      </c>
      <c r="C710" s="235" t="s">
        <v>7576</v>
      </c>
      <c r="D710" s="235"/>
      <c r="E710" s="235"/>
      <c r="F710" s="235"/>
      <c r="G710" s="235"/>
      <c r="H710" s="235" t="s">
        <v>267</v>
      </c>
      <c r="I710" s="235">
        <v>1</v>
      </c>
      <c r="K710" s="235">
        <v>3</v>
      </c>
      <c r="L710" s="235">
        <f t="shared" si="365"/>
        <v>75</v>
      </c>
      <c r="M710" s="235">
        <v>4</v>
      </c>
      <c r="O710" s="248">
        <v>42048</v>
      </c>
      <c r="V710" s="219"/>
      <c r="X710">
        <v>15.55</v>
      </c>
      <c r="AB710" s="220"/>
      <c r="AD710" s="221"/>
      <c r="AF710" s="220"/>
      <c r="AH710" s="220"/>
      <c r="AJ710" s="288"/>
      <c r="AK710" s="285"/>
      <c r="AL710" s="260"/>
      <c r="AN710" s="235">
        <v>70</v>
      </c>
      <c r="AO710" s="242">
        <v>42074</v>
      </c>
      <c r="AP710" s="235">
        <v>106</v>
      </c>
      <c r="AQ710" s="242">
        <v>42110</v>
      </c>
      <c r="AS710" s="297"/>
      <c r="AT710" s="290"/>
      <c r="AU710" s="298"/>
      <c r="BF710" s="282"/>
      <c r="BG710" s="235"/>
      <c r="BL710" s="296"/>
      <c r="BM710" s="235"/>
      <c r="BP710" s="282"/>
      <c r="BQ710" s="235"/>
      <c r="BR710" s="282"/>
      <c r="BS710" s="235"/>
      <c r="BT710" s="282"/>
      <c r="BU710" s="235"/>
      <c r="BV710" s="282"/>
      <c r="BW710" s="235"/>
      <c r="BX710" s="282"/>
      <c r="BY710" s="235"/>
      <c r="CB710" s="267"/>
      <c r="CD710" s="282"/>
      <c r="CE710" s="291"/>
      <c r="CL710" s="136">
        <v>3</v>
      </c>
      <c r="CM710" s="259">
        <v>42161</v>
      </c>
    </row>
    <row r="711" spans="1:93">
      <c r="A711" s="258">
        <v>1167</v>
      </c>
      <c r="B711" s="235">
        <v>291</v>
      </c>
      <c r="C711" s="235" t="s">
        <v>7576</v>
      </c>
      <c r="D711" s="235"/>
      <c r="E711" s="235"/>
      <c r="F711" s="235"/>
      <c r="G711" s="235"/>
      <c r="H711" s="235" t="s">
        <v>267</v>
      </c>
      <c r="I711" s="235">
        <v>1</v>
      </c>
      <c r="K711" s="235">
        <v>2</v>
      </c>
      <c r="L711" s="235">
        <f t="shared" si="365"/>
        <v>74</v>
      </c>
      <c r="M711" s="235">
        <v>4</v>
      </c>
      <c r="O711" s="248">
        <v>42048</v>
      </c>
      <c r="V711" s="219"/>
      <c r="X711">
        <v>15.55</v>
      </c>
      <c r="AB711" s="220"/>
      <c r="AD711" s="221"/>
      <c r="AF711" s="220"/>
      <c r="AH711" s="220"/>
      <c r="AJ711" s="286"/>
      <c r="AK711" s="285"/>
      <c r="AL711" s="260"/>
      <c r="AN711" s="235">
        <v>70</v>
      </c>
      <c r="AO711" s="242">
        <v>42074</v>
      </c>
      <c r="AP711" s="235">
        <v>106</v>
      </c>
      <c r="AQ711" s="242">
        <v>42110</v>
      </c>
      <c r="AS711" s="297"/>
      <c r="AT711" s="290"/>
      <c r="AU711" s="298"/>
      <c r="BF711" s="282"/>
      <c r="BG711" s="235"/>
      <c r="BL711" s="296"/>
      <c r="BM711" s="235"/>
      <c r="BP711" s="282"/>
      <c r="BQ711" s="235"/>
      <c r="BR711" s="282"/>
      <c r="BS711" s="235"/>
      <c r="BT711" s="282"/>
      <c r="BU711" s="235"/>
      <c r="BV711" s="282"/>
      <c r="BW711" s="235"/>
      <c r="BX711" s="282"/>
      <c r="BY711" s="235"/>
      <c r="CB711" s="267"/>
      <c r="CD711" s="282"/>
      <c r="CE711" s="291"/>
      <c r="CL711" s="136">
        <v>3</v>
      </c>
      <c r="CM711" s="259">
        <v>42161</v>
      </c>
    </row>
    <row r="712" spans="1:93">
      <c r="A712" s="258">
        <v>1168</v>
      </c>
      <c r="B712" s="235">
        <v>292</v>
      </c>
      <c r="C712" s="235" t="s">
        <v>7576</v>
      </c>
      <c r="D712" s="235"/>
      <c r="E712" s="235"/>
      <c r="F712" s="235"/>
      <c r="G712" s="235"/>
      <c r="H712" s="235" t="s">
        <v>267</v>
      </c>
      <c r="I712" s="235">
        <v>1</v>
      </c>
      <c r="K712" s="235">
        <v>1</v>
      </c>
      <c r="L712" s="235">
        <f t="shared" si="365"/>
        <v>73</v>
      </c>
      <c r="M712" s="235">
        <v>4</v>
      </c>
      <c r="O712" s="248">
        <v>42048</v>
      </c>
      <c r="V712" s="219"/>
      <c r="X712">
        <v>15.55</v>
      </c>
      <c r="AB712" s="220"/>
      <c r="AD712" s="221"/>
      <c r="AF712" s="220"/>
      <c r="AH712" s="220"/>
      <c r="AJ712" s="286"/>
      <c r="AK712" s="285"/>
      <c r="AL712" s="260"/>
      <c r="AN712" s="235">
        <v>70</v>
      </c>
      <c r="AO712" s="242">
        <v>42074</v>
      </c>
      <c r="AP712" s="235">
        <v>106</v>
      </c>
      <c r="AQ712" s="242">
        <v>42110</v>
      </c>
      <c r="AS712" s="297"/>
      <c r="AT712" s="290"/>
      <c r="AU712" s="298"/>
      <c r="BF712" s="282"/>
      <c r="BG712" s="235"/>
      <c r="BL712" s="296"/>
      <c r="BM712" s="235"/>
      <c r="BP712" s="282"/>
      <c r="BQ712" s="235"/>
      <c r="BR712" s="282"/>
      <c r="BS712" s="235"/>
      <c r="BT712" s="282"/>
      <c r="BU712" s="235"/>
      <c r="BV712" s="282"/>
      <c r="BW712" s="235"/>
      <c r="BX712" s="282"/>
      <c r="BY712" s="235"/>
      <c r="CB712" s="267"/>
      <c r="CD712" s="282"/>
      <c r="CE712" s="291"/>
      <c r="CL712" s="136">
        <v>3</v>
      </c>
      <c r="CM712" s="259">
        <v>42161</v>
      </c>
    </row>
    <row r="713" spans="1:93">
      <c r="A713" s="258">
        <v>1169</v>
      </c>
      <c r="B713" s="235">
        <v>293</v>
      </c>
      <c r="C713" s="235" t="s">
        <v>7576</v>
      </c>
      <c r="D713" s="235"/>
      <c r="E713" s="235"/>
      <c r="F713" s="235"/>
      <c r="G713" s="235"/>
      <c r="H713" s="235" t="s">
        <v>267</v>
      </c>
      <c r="I713" s="235">
        <v>1</v>
      </c>
      <c r="K713" s="235">
        <v>1</v>
      </c>
      <c r="L713" s="235">
        <f t="shared" si="365"/>
        <v>73</v>
      </c>
      <c r="M713" s="235">
        <v>5</v>
      </c>
      <c r="O713" s="248">
        <v>42048</v>
      </c>
      <c r="V713" s="219"/>
      <c r="X713">
        <v>15.55</v>
      </c>
      <c r="AB713" s="220"/>
      <c r="AD713" s="221"/>
      <c r="AF713" s="220"/>
      <c r="AH713" s="220"/>
      <c r="AJ713" s="286"/>
      <c r="AK713" s="285"/>
      <c r="AL713" s="260"/>
      <c r="AN713" s="235">
        <v>70</v>
      </c>
      <c r="AO713" s="242">
        <v>42074</v>
      </c>
      <c r="AP713" s="235">
        <v>106</v>
      </c>
      <c r="AQ713" s="242">
        <v>42110</v>
      </c>
      <c r="AS713" s="297"/>
      <c r="AT713" s="290"/>
      <c r="AU713" s="298"/>
      <c r="BF713" s="282"/>
      <c r="BG713" s="235"/>
      <c r="BL713" s="296"/>
      <c r="BM713" s="235"/>
      <c r="BP713" s="282"/>
      <c r="BQ713" s="235"/>
      <c r="BR713" s="282"/>
      <c r="BS713" s="235"/>
      <c r="BT713" s="282"/>
      <c r="BU713" s="235"/>
      <c r="BV713" s="282"/>
      <c r="BW713" s="235"/>
      <c r="BX713" s="282"/>
      <c r="BY713" s="235"/>
      <c r="CB713" s="267"/>
      <c r="CD713" s="282"/>
      <c r="CE713" s="291"/>
      <c r="CL713" s="136">
        <v>2</v>
      </c>
      <c r="CM713" s="259">
        <v>42161</v>
      </c>
    </row>
    <row r="714" spans="1:93">
      <c r="A714" s="258">
        <v>1170</v>
      </c>
      <c r="B714" s="235">
        <v>294</v>
      </c>
      <c r="C714" s="235" t="s">
        <v>7576</v>
      </c>
      <c r="D714" s="235"/>
      <c r="E714" s="235"/>
      <c r="F714" s="235"/>
      <c r="G714" s="235"/>
      <c r="H714" s="235" t="s">
        <v>267</v>
      </c>
      <c r="I714" s="235">
        <v>1</v>
      </c>
      <c r="K714" s="235">
        <v>2</v>
      </c>
      <c r="L714" s="235">
        <f t="shared" si="365"/>
        <v>74</v>
      </c>
      <c r="M714" s="235">
        <v>5</v>
      </c>
      <c r="O714" s="248">
        <v>42048</v>
      </c>
      <c r="V714" s="219"/>
      <c r="X714">
        <v>15.55</v>
      </c>
      <c r="AB714" s="220"/>
      <c r="AD714" s="221"/>
      <c r="AF714" s="220"/>
      <c r="AH714" s="220"/>
      <c r="AJ714" s="286"/>
      <c r="AK714" s="285"/>
      <c r="AL714" s="260"/>
      <c r="AN714" s="235">
        <v>70</v>
      </c>
      <c r="AO714" s="242">
        <v>42074</v>
      </c>
      <c r="AP714" s="235">
        <v>106</v>
      </c>
      <c r="AQ714" s="242">
        <v>42110</v>
      </c>
      <c r="AS714" s="297"/>
      <c r="AT714" s="290"/>
      <c r="AU714" s="298"/>
      <c r="BF714" s="282"/>
      <c r="BG714" s="235"/>
      <c r="BL714" s="296"/>
      <c r="BM714" s="235"/>
      <c r="BP714" s="282"/>
      <c r="BQ714" s="235"/>
      <c r="BR714" s="282"/>
      <c r="BS714" s="235"/>
      <c r="BT714" s="282"/>
      <c r="BU714" s="235"/>
      <c r="BV714" s="282"/>
      <c r="BW714" s="235"/>
      <c r="BX714" s="282"/>
      <c r="BY714" s="235"/>
      <c r="CB714" s="267"/>
      <c r="CD714" s="282"/>
      <c r="CE714" s="291"/>
      <c r="CL714" s="136">
        <v>3</v>
      </c>
      <c r="CM714" s="259">
        <v>42161</v>
      </c>
    </row>
    <row r="715" spans="1:93">
      <c r="A715" s="258">
        <v>1171</v>
      </c>
      <c r="B715" s="235">
        <v>295</v>
      </c>
      <c r="C715" s="235" t="s">
        <v>7576</v>
      </c>
      <c r="D715" s="235"/>
      <c r="E715" s="235"/>
      <c r="F715" s="235"/>
      <c r="G715" s="235"/>
      <c r="H715" s="235" t="s">
        <v>267</v>
      </c>
      <c r="I715" s="235">
        <v>1</v>
      </c>
      <c r="K715" s="235">
        <v>3</v>
      </c>
      <c r="L715" s="235">
        <f t="shared" si="365"/>
        <v>75</v>
      </c>
      <c r="M715" s="235">
        <v>5</v>
      </c>
      <c r="O715" s="248">
        <v>42048</v>
      </c>
      <c r="V715" s="219"/>
      <c r="X715">
        <v>15.55</v>
      </c>
      <c r="AB715" s="220"/>
      <c r="AD715" s="221"/>
      <c r="AF715" s="220"/>
      <c r="AH715" s="220"/>
      <c r="AJ715" s="289"/>
      <c r="AK715" s="285"/>
      <c r="AL715" s="260"/>
      <c r="AN715" s="235">
        <v>70</v>
      </c>
      <c r="AO715" s="242">
        <v>42074</v>
      </c>
      <c r="AP715" s="235">
        <v>106</v>
      </c>
      <c r="AQ715" s="242">
        <v>42110</v>
      </c>
      <c r="AS715" s="297"/>
      <c r="AT715" s="290"/>
      <c r="AU715" s="298"/>
      <c r="BF715" s="282"/>
      <c r="BG715" s="235"/>
      <c r="BL715" s="296"/>
      <c r="BM715" s="235"/>
      <c r="BP715" s="282"/>
      <c r="BQ715" s="235"/>
      <c r="BR715" s="282"/>
      <c r="BS715" s="235"/>
      <c r="BT715" s="282"/>
      <c r="BU715" s="235"/>
      <c r="BV715" s="282"/>
      <c r="BW715" s="235"/>
      <c r="BX715" s="282"/>
      <c r="BY715" s="235"/>
      <c r="CB715" s="267"/>
      <c r="CD715" s="282"/>
      <c r="CE715" s="291"/>
      <c r="CL715" s="136">
        <v>1</v>
      </c>
      <c r="CM715" s="259">
        <v>42161</v>
      </c>
    </row>
    <row r="716" spans="1:93">
      <c r="A716" s="258">
        <v>1172</v>
      </c>
      <c r="B716" s="235">
        <v>296</v>
      </c>
      <c r="C716" s="235" t="s">
        <v>7612</v>
      </c>
      <c r="D716" s="235" t="s">
        <v>7813</v>
      </c>
      <c r="E716" s="235" t="s">
        <v>7612</v>
      </c>
      <c r="F716" s="235" t="s">
        <v>8628</v>
      </c>
      <c r="G716" s="235" t="str">
        <f>IF(MID(C716,1,3)="BGA","Complement","Rapsodyn")</f>
        <v>Rapsodyn</v>
      </c>
      <c r="H716" s="235" t="s">
        <v>267</v>
      </c>
      <c r="I716" s="235">
        <v>1</v>
      </c>
      <c r="J716" s="235">
        <v>9364</v>
      </c>
      <c r="K716" s="235">
        <v>4</v>
      </c>
      <c r="L716" s="235">
        <f t="shared" si="365"/>
        <v>76</v>
      </c>
      <c r="M716" s="235">
        <v>5</v>
      </c>
      <c r="N716" s="235">
        <v>7</v>
      </c>
      <c r="O716" s="248">
        <v>42048</v>
      </c>
      <c r="P716" s="136">
        <v>3</v>
      </c>
      <c r="Q716" s="264">
        <v>42204</v>
      </c>
      <c r="V716" s="219">
        <f>+BR716*AF716/100</f>
        <v>8.3831224410239855</v>
      </c>
      <c r="X716">
        <v>15.55</v>
      </c>
      <c r="AB716" s="220">
        <f>+AF716*BT716/100</f>
        <v>3.8568774920665265</v>
      </c>
      <c r="AD716" s="221">
        <f>+(AF716/AJ716)*10000</f>
        <v>43593.903461017224</v>
      </c>
      <c r="AF716" s="220">
        <f>($P716/$X716)*(((100-$CD716)/100*(100-2)/100))*100</f>
        <v>18.265845550166219</v>
      </c>
      <c r="AH716" s="220">
        <f>($P716/$X716)*(((100-$CD716)/(100-9)*(100-2)/(100-2))*100)</f>
        <v>20.481997701464703</v>
      </c>
      <c r="AJ716">
        <v>4.1900000000000004</v>
      </c>
      <c r="AK716" s="285" t="s">
        <v>8398</v>
      </c>
      <c r="AL716" s="260">
        <v>180</v>
      </c>
      <c r="AN716" s="235">
        <v>70</v>
      </c>
      <c r="AO716" s="242">
        <v>42074</v>
      </c>
      <c r="AP716" s="235">
        <v>104</v>
      </c>
      <c r="AQ716" s="242">
        <v>42108</v>
      </c>
      <c r="AR716" s="136">
        <v>133</v>
      </c>
      <c r="AS716" s="297">
        <f>IF(AR716=0,,AR716)</f>
        <v>133</v>
      </c>
      <c r="AT716" s="290">
        <v>42137</v>
      </c>
      <c r="AU716" s="298"/>
      <c r="BF716" s="282">
        <v>16.362974166870117</v>
      </c>
      <c r="BG716" s="283">
        <v>42236</v>
      </c>
      <c r="BL716" s="296">
        <v>61.700763702392578</v>
      </c>
      <c r="BM716" s="283">
        <v>42236</v>
      </c>
      <c r="BP716" s="282">
        <v>4.4632358551025391</v>
      </c>
      <c r="BQ716" s="283">
        <v>42236</v>
      </c>
      <c r="BR716" s="282">
        <v>45.895069122314453</v>
      </c>
      <c r="BS716" s="283">
        <v>42236</v>
      </c>
      <c r="BT716" s="282">
        <v>21.115242004394531</v>
      </c>
      <c r="BU716" s="283">
        <v>42236</v>
      </c>
      <c r="BV716" s="282">
        <v>53.538162231445313</v>
      </c>
      <c r="BW716" s="283">
        <v>42236</v>
      </c>
      <c r="BX716" s="282">
        <v>6.1729736328125</v>
      </c>
      <c r="BY716" s="283">
        <v>42236</v>
      </c>
      <c r="CB716" s="267">
        <v>7.12</v>
      </c>
      <c r="CD716" s="282">
        <v>3.3898305084745792</v>
      </c>
      <c r="CE716" s="291" t="s">
        <v>8398</v>
      </c>
      <c r="CH716" s="136">
        <v>4</v>
      </c>
      <c r="CI716" s="136">
        <v>6</v>
      </c>
      <c r="CL716" s="136">
        <v>8</v>
      </c>
      <c r="CM716" s="259">
        <v>42161</v>
      </c>
      <c r="CN716" s="137" t="s">
        <v>8391</v>
      </c>
    </row>
    <row r="717" spans="1:93">
      <c r="A717" s="258">
        <v>1173</v>
      </c>
      <c r="B717" s="235">
        <v>297</v>
      </c>
      <c r="C717" s="235" t="s">
        <v>8238</v>
      </c>
      <c r="D717" s="235" t="s">
        <v>7562</v>
      </c>
      <c r="E717" s="235" t="s">
        <v>8461</v>
      </c>
      <c r="F717" s="235" t="s">
        <v>8469</v>
      </c>
      <c r="G717" s="235" t="str">
        <f>IF(MID(C717,1,3)="BGA","Complement","Rapsodyn")</f>
        <v>Rapsodyn</v>
      </c>
      <c r="H717" s="235" t="s">
        <v>267</v>
      </c>
      <c r="I717" s="235">
        <v>1</v>
      </c>
      <c r="J717" s="235">
        <v>9384</v>
      </c>
      <c r="K717" s="235">
        <v>5</v>
      </c>
      <c r="L717" s="235">
        <f t="shared" si="365"/>
        <v>77</v>
      </c>
      <c r="M717" s="235">
        <v>5</v>
      </c>
      <c r="N717" s="235">
        <v>7</v>
      </c>
      <c r="O717" s="248">
        <v>42048</v>
      </c>
      <c r="P717" s="136">
        <v>6.45</v>
      </c>
      <c r="Q717" s="264">
        <v>42204</v>
      </c>
      <c r="R717" s="263"/>
      <c r="V717" s="219">
        <f>+BR717*AF717/100</f>
        <v>18.250117433022584</v>
      </c>
      <c r="X717">
        <v>15.55</v>
      </c>
      <c r="AB717" s="220">
        <f>+AF717*BT717/100</f>
        <v>7.5146280740286109</v>
      </c>
      <c r="AD717" s="221">
        <f>+(AF717/AJ717)*10000</f>
        <v>82739.679195771881</v>
      </c>
      <c r="AF717" s="220">
        <f>($P717/$X717)*(((100-$CD717)/100*(100-2)/100))*100</f>
        <v>38.391211146838153</v>
      </c>
      <c r="AH717" s="220">
        <f>($P717/$X717)*(((100-$CD717)/(100-9)*(100-2)/(100-2))*100)</f>
        <v>43.049126650412823</v>
      </c>
      <c r="AJ717">
        <v>4.6399999999999997</v>
      </c>
      <c r="AK717" s="285" t="s">
        <v>8398</v>
      </c>
      <c r="AL717" s="260">
        <v>170</v>
      </c>
      <c r="AN717" s="235">
        <v>75</v>
      </c>
      <c r="AO717" s="242">
        <v>42079</v>
      </c>
      <c r="AP717" s="235">
        <v>106</v>
      </c>
      <c r="AQ717" s="242">
        <v>42110</v>
      </c>
      <c r="AR717" s="136">
        <v>135</v>
      </c>
      <c r="AS717" s="297">
        <f>IF(AR717=0,,AR717)</f>
        <v>135</v>
      </c>
      <c r="AT717" s="290">
        <v>42139</v>
      </c>
      <c r="AU717" s="298"/>
      <c r="BF717" s="282">
        <v>-0.50289499759674072</v>
      </c>
      <c r="BG717" s="283">
        <v>42236</v>
      </c>
      <c r="BL717" s="296">
        <v>60.566287994384766</v>
      </c>
      <c r="BM717" s="283">
        <v>42236</v>
      </c>
      <c r="BP717" s="282">
        <v>4.2208051681518555</v>
      </c>
      <c r="BQ717" s="283">
        <v>42236</v>
      </c>
      <c r="BR717" s="282">
        <v>47.537227630615234</v>
      </c>
      <c r="BS717" s="283">
        <v>42236</v>
      </c>
      <c r="BT717" s="282">
        <v>19.573823928833008</v>
      </c>
      <c r="BU717" s="283">
        <v>42236</v>
      </c>
      <c r="BV717" s="282">
        <v>24.154804229736328</v>
      </c>
      <c r="BW717" s="283">
        <v>42236</v>
      </c>
      <c r="BX717" s="282">
        <v>6.0323410034179687</v>
      </c>
      <c r="BY717" s="283">
        <v>42236</v>
      </c>
      <c r="CB717" s="267">
        <v>6.85</v>
      </c>
      <c r="CD717" s="282">
        <v>5.5555555555555687</v>
      </c>
      <c r="CE717" s="291" t="s">
        <v>8398</v>
      </c>
      <c r="CH717" s="136">
        <v>2</v>
      </c>
      <c r="CI717" s="136">
        <v>4</v>
      </c>
      <c r="CL717" s="136">
        <v>3</v>
      </c>
      <c r="CM717" s="259">
        <v>42161</v>
      </c>
      <c r="CN717" s="137" t="s">
        <v>8406</v>
      </c>
    </row>
    <row r="718" spans="1:93">
      <c r="A718" s="258">
        <v>1174</v>
      </c>
      <c r="B718" s="235">
        <v>298</v>
      </c>
      <c r="C718" s="235" t="s">
        <v>7746</v>
      </c>
      <c r="D718" s="235" t="s">
        <v>7887</v>
      </c>
      <c r="E718" s="235" t="s">
        <v>7746</v>
      </c>
      <c r="F718" s="235" t="s">
        <v>8560</v>
      </c>
      <c r="G718" s="235" t="str">
        <f>IF(MID(C718,1,3)="BGA","Complement","Rapsodyn")</f>
        <v>Rapsodyn</v>
      </c>
      <c r="H718" s="235" t="s">
        <v>267</v>
      </c>
      <c r="I718" s="235">
        <v>1</v>
      </c>
      <c r="J718" s="235">
        <v>9379</v>
      </c>
      <c r="K718" s="235">
        <v>6</v>
      </c>
      <c r="L718" s="235">
        <f t="shared" si="365"/>
        <v>78</v>
      </c>
      <c r="M718" s="235">
        <v>5</v>
      </c>
      <c r="N718" s="235">
        <v>7</v>
      </c>
      <c r="O718" s="248">
        <v>42048</v>
      </c>
      <c r="P718" s="136">
        <v>4.75</v>
      </c>
      <c r="Q718" s="264">
        <v>42204</v>
      </c>
      <c r="V718" s="219">
        <f>+BR718*AF718/100</f>
        <v>13.144921437413746</v>
      </c>
      <c r="X718">
        <v>15.55</v>
      </c>
      <c r="AB718" s="220">
        <f>+AF718*BT718/100</f>
        <v>6.2172029998141465</v>
      </c>
      <c r="AD718" s="221">
        <f>+(AF718/AJ718)*10000</f>
        <v>55335.92493971061</v>
      </c>
      <c r="AF718" s="220">
        <f>($P718/$X718)*(((100-$CD718)/100*(100-2)/100))*100</f>
        <v>28.331993569131832</v>
      </c>
      <c r="AH718" s="220">
        <f>($P718/$X718)*(((100-$CD718)/(100-9)*(100-2)/(100-2))*100)</f>
        <v>31.769447823650854</v>
      </c>
      <c r="AJ718">
        <v>5.12</v>
      </c>
      <c r="AK718" s="285" t="s">
        <v>8400</v>
      </c>
      <c r="AL718" s="260">
        <v>175</v>
      </c>
      <c r="AN718" s="235">
        <v>70</v>
      </c>
      <c r="AO718" s="242">
        <v>42074</v>
      </c>
      <c r="AP718" s="235">
        <v>104</v>
      </c>
      <c r="AQ718" s="242">
        <v>42108</v>
      </c>
      <c r="AR718" s="136">
        <v>127</v>
      </c>
      <c r="AS718" s="297">
        <f>IF(AR718=0,,AR718)</f>
        <v>127</v>
      </c>
      <c r="AT718" s="290">
        <v>42131</v>
      </c>
      <c r="AU718" s="298"/>
      <c r="BF718" s="282">
        <v>29.161495208740234</v>
      </c>
      <c r="BG718" s="283">
        <v>42236</v>
      </c>
      <c r="BL718" s="296">
        <v>59.840805053710937</v>
      </c>
      <c r="BM718" s="283">
        <v>42236</v>
      </c>
      <c r="BP718" s="282">
        <v>4.0617570877075195</v>
      </c>
      <c r="BQ718" s="283">
        <v>42236</v>
      </c>
      <c r="BR718" s="282">
        <v>46.396034240722656</v>
      </c>
      <c r="BS718" s="283">
        <v>42236</v>
      </c>
      <c r="BT718" s="282">
        <v>21.944107055664063</v>
      </c>
      <c r="BU718" s="283">
        <v>42236</v>
      </c>
      <c r="BV718" s="282">
        <v>73.385848999023438</v>
      </c>
      <c r="BW718" s="283">
        <v>42236</v>
      </c>
      <c r="BX718" s="282">
        <v>6.1945877075195313</v>
      </c>
      <c r="BY718" s="283">
        <v>42236</v>
      </c>
      <c r="CB718" s="267">
        <v>7.04</v>
      </c>
      <c r="CD718" s="282">
        <v>5.3571428571428541</v>
      </c>
      <c r="CE718" s="291" t="s">
        <v>8400</v>
      </c>
      <c r="CH718" s="136">
        <v>1</v>
      </c>
      <c r="CI718" s="136">
        <v>4</v>
      </c>
      <c r="CL718" s="136">
        <v>6</v>
      </c>
      <c r="CM718" s="259">
        <v>42161</v>
      </c>
      <c r="CN718" s="137" t="s">
        <v>8406</v>
      </c>
    </row>
    <row r="719" spans="1:93">
      <c r="A719" s="258">
        <v>1175</v>
      </c>
      <c r="B719" s="235">
        <v>299</v>
      </c>
      <c r="C719" s="235" t="s">
        <v>7651</v>
      </c>
      <c r="D719" s="235" t="s">
        <v>7482</v>
      </c>
      <c r="E719" s="235" t="s">
        <v>7651</v>
      </c>
      <c r="F719" s="235" t="s">
        <v>8563</v>
      </c>
      <c r="G719" s="235" t="str">
        <f>IF(MID(C719,1,3)="BGA","Complement","Rapsodyn")</f>
        <v>Rapsodyn</v>
      </c>
      <c r="H719" s="235" t="s">
        <v>267</v>
      </c>
      <c r="I719" s="235">
        <v>1</v>
      </c>
      <c r="J719" s="235">
        <v>9371</v>
      </c>
      <c r="K719" s="235">
        <v>7</v>
      </c>
      <c r="L719" s="235">
        <f t="shared" si="365"/>
        <v>79</v>
      </c>
      <c r="M719" s="235">
        <v>5</v>
      </c>
      <c r="N719" s="235">
        <v>7</v>
      </c>
      <c r="O719" s="248">
        <v>42048</v>
      </c>
      <c r="P719" s="136">
        <v>4.05</v>
      </c>
      <c r="Q719" s="264">
        <v>42204</v>
      </c>
      <c r="V719" s="219">
        <f>+BR719*AF719/100</f>
        <v>10.503059547399783</v>
      </c>
      <c r="X719">
        <v>15.55</v>
      </c>
      <c r="AB719" s="220">
        <f>+AF719*BT719/100</f>
        <v>5.0225839741207006</v>
      </c>
      <c r="AD719" s="221">
        <f>+(AF719/AJ719)*10000</f>
        <v>64580.285095981133</v>
      </c>
      <c r="AF719" s="220">
        <f>($P719/$X719)*(((100-$CD719)/100*(100-2)/100))*100</f>
        <v>23.700964630225076</v>
      </c>
      <c r="AH719" s="220">
        <f>($P719/$X719)*(((100-$CD719)/(100-9)*(100-2)/(100-2))*100)</f>
        <v>26.576547017520831</v>
      </c>
      <c r="AJ719">
        <v>3.67</v>
      </c>
      <c r="AK719" s="285" t="s">
        <v>8400</v>
      </c>
      <c r="AL719" s="260">
        <v>165</v>
      </c>
      <c r="AN719" s="235">
        <v>72</v>
      </c>
      <c r="AO719" s="242">
        <v>42076</v>
      </c>
      <c r="AP719" s="235">
        <v>106</v>
      </c>
      <c r="AQ719" s="242">
        <v>42110</v>
      </c>
      <c r="AR719" s="136">
        <v>133</v>
      </c>
      <c r="AS719" s="297">
        <f>IF(AR719=0,,AR719)</f>
        <v>133</v>
      </c>
      <c r="AT719" s="290">
        <v>42137</v>
      </c>
      <c r="AU719" s="298"/>
      <c r="BF719" s="282">
        <v>-2.5773088932037354</v>
      </c>
      <c r="BG719" s="283">
        <v>42236</v>
      </c>
      <c r="BL719" s="296">
        <v>59.823310852050781</v>
      </c>
      <c r="BM719" s="283">
        <v>42236</v>
      </c>
      <c r="BP719" s="282">
        <v>4.1228699684143066</v>
      </c>
      <c r="BQ719" s="283">
        <v>42236</v>
      </c>
      <c r="BR719" s="282">
        <v>44.314903259277344</v>
      </c>
      <c r="BS719" s="283">
        <v>42236</v>
      </c>
      <c r="BT719" s="282">
        <v>21.191474914550781</v>
      </c>
      <c r="BU719" s="283">
        <v>42236</v>
      </c>
      <c r="BV719" s="282">
        <v>66.140426635742188</v>
      </c>
      <c r="BW719" s="283">
        <v>42236</v>
      </c>
      <c r="BX719" s="282">
        <v>6.1577301025390625</v>
      </c>
      <c r="BY719" s="283">
        <v>42236</v>
      </c>
      <c r="CB719" s="267">
        <v>6.22</v>
      </c>
      <c r="CD719" s="282">
        <v>7.1428571428571344</v>
      </c>
      <c r="CE719" s="291" t="s">
        <v>8400</v>
      </c>
      <c r="CH719" s="136">
        <v>4</v>
      </c>
      <c r="CI719" s="136">
        <v>8</v>
      </c>
      <c r="CL719" s="136">
        <v>7</v>
      </c>
      <c r="CM719" s="259">
        <v>42161</v>
      </c>
      <c r="CO719" s="137" t="s">
        <v>8405</v>
      </c>
    </row>
    <row r="720" spans="1:93">
      <c r="A720" s="258">
        <v>1176</v>
      </c>
      <c r="B720" s="235">
        <v>300</v>
      </c>
      <c r="C720" s="235" t="s">
        <v>7576</v>
      </c>
      <c r="D720" s="235"/>
      <c r="E720" s="235"/>
      <c r="F720" s="235"/>
      <c r="G720" s="235"/>
      <c r="H720" s="235" t="s">
        <v>267</v>
      </c>
      <c r="I720" s="235">
        <v>1</v>
      </c>
      <c r="K720" s="235">
        <v>8</v>
      </c>
      <c r="L720" s="235">
        <f t="shared" si="365"/>
        <v>80</v>
      </c>
      <c r="M720" s="235">
        <v>5</v>
      </c>
      <c r="O720" s="248">
        <v>42048</v>
      </c>
      <c r="V720" s="219"/>
      <c r="X720">
        <v>15.55</v>
      </c>
      <c r="AB720" s="220"/>
      <c r="AD720" s="221"/>
      <c r="AF720" s="220"/>
      <c r="AH720" s="220"/>
      <c r="AJ720" s="286"/>
      <c r="AK720" s="285"/>
      <c r="AL720" s="260"/>
      <c r="AN720" s="235">
        <v>70</v>
      </c>
      <c r="AO720" s="242">
        <v>42074</v>
      </c>
      <c r="AP720" s="235">
        <v>106</v>
      </c>
      <c r="AQ720" s="242">
        <v>42110</v>
      </c>
      <c r="AS720" s="297"/>
      <c r="AT720" s="290"/>
      <c r="AU720" s="298"/>
      <c r="BF720" s="282"/>
      <c r="BG720" s="235"/>
      <c r="BL720" s="296"/>
      <c r="BM720" s="235"/>
      <c r="BP720" s="282"/>
      <c r="BQ720" s="235"/>
      <c r="BR720" s="282"/>
      <c r="BS720" s="235"/>
      <c r="BT720" s="282"/>
      <c r="BU720" s="235"/>
      <c r="BV720" s="282"/>
      <c r="BW720" s="235"/>
      <c r="BX720" s="282"/>
      <c r="BY720" s="235"/>
      <c r="CB720" s="267"/>
      <c r="CD720" s="282"/>
      <c r="CE720" s="291"/>
      <c r="CL720" s="136">
        <v>4</v>
      </c>
      <c r="CM720" s="259">
        <v>42161</v>
      </c>
    </row>
    <row r="721" spans="1:94">
      <c r="A721" s="258">
        <v>1178</v>
      </c>
      <c r="B721" s="235">
        <v>302</v>
      </c>
      <c r="C721" s="235" t="s">
        <v>7707</v>
      </c>
      <c r="D721" s="235" t="s">
        <v>7533</v>
      </c>
      <c r="E721" s="235" t="s">
        <v>7707</v>
      </c>
      <c r="F721" s="235" t="s">
        <v>8467</v>
      </c>
      <c r="G721" s="235" t="str">
        <f t="shared" ref="G721:G729" si="373">IF(MID(C721,1,3)="BGA","Complement","Rapsodyn")</f>
        <v>Rapsodyn</v>
      </c>
      <c r="H721" s="235" t="s">
        <v>267</v>
      </c>
      <c r="I721" s="235">
        <v>1</v>
      </c>
      <c r="J721" s="235">
        <v>9089</v>
      </c>
      <c r="K721" s="235">
        <v>10</v>
      </c>
      <c r="L721" s="235">
        <f t="shared" si="365"/>
        <v>82</v>
      </c>
      <c r="M721" s="235">
        <v>5</v>
      </c>
      <c r="N721" s="235">
        <v>7</v>
      </c>
      <c r="O721" s="248">
        <v>42048</v>
      </c>
      <c r="P721" s="136">
        <v>6.24</v>
      </c>
      <c r="Q721" s="264">
        <v>42204</v>
      </c>
      <c r="V721" s="219">
        <f t="shared" ref="V721:V724" si="374">+BR721*AF721/100</f>
        <v>18.271830661864449</v>
      </c>
      <c r="X721">
        <v>15.55</v>
      </c>
      <c r="AB721" s="220">
        <f t="shared" ref="AB721:AB724" si="375">+AF721*BT721/100</f>
        <v>7.379858919179247</v>
      </c>
      <c r="AD721" s="221">
        <f t="shared" ref="AD721:AD724" si="376">+(AF721/AJ721)*10000</f>
        <v>90023.476542827237</v>
      </c>
      <c r="AF721" s="220">
        <f t="shared" ref="AF721:AF724" si="377">($P721/$X721)*(((100-$CD721)/100*(100-2)/100))*100</f>
        <v>37.35974276527331</v>
      </c>
      <c r="AH721" s="220">
        <f t="shared" ref="AH721:AH724" si="378">($P721/$X721)*(((100-$CD721)/(100-9)*(100-2)/(100-2))*100)</f>
        <v>41.892512632062477</v>
      </c>
      <c r="AJ721">
        <v>4.1500000000000004</v>
      </c>
      <c r="AK721" s="285" t="s">
        <v>8401</v>
      </c>
      <c r="AL721" s="260">
        <v>150</v>
      </c>
      <c r="AN721" s="235">
        <v>72</v>
      </c>
      <c r="AO721" s="242">
        <v>42076</v>
      </c>
      <c r="AP721" s="235">
        <v>104</v>
      </c>
      <c r="AQ721" s="242">
        <v>42108</v>
      </c>
      <c r="AR721" s="136">
        <v>127</v>
      </c>
      <c r="AS721" s="297">
        <f t="shared" ref="AS721:AS729" si="379">IF(AR721=0,,AR721)</f>
        <v>127</v>
      </c>
      <c r="AT721" s="290">
        <v>42131</v>
      </c>
      <c r="AU721" s="298"/>
      <c r="BF721" s="282">
        <v>-5.8268618583679199</v>
      </c>
      <c r="BG721" s="283">
        <v>42234</v>
      </c>
      <c r="BL721" s="296">
        <v>63.054012298583984</v>
      </c>
      <c r="BM721" s="283">
        <v>42234</v>
      </c>
      <c r="BP721" s="282">
        <v>3.8659920692443848</v>
      </c>
      <c r="BQ721" s="283">
        <v>42234</v>
      </c>
      <c r="BR721" s="282">
        <v>48.907806396484375</v>
      </c>
      <c r="BS721" s="283">
        <v>42234</v>
      </c>
      <c r="BT721" s="282">
        <v>19.753505706787109</v>
      </c>
      <c r="BU721" s="283">
        <v>42234</v>
      </c>
      <c r="BV721" s="282">
        <v>14.170132637023926</v>
      </c>
      <c r="BW721" s="283">
        <v>42234</v>
      </c>
      <c r="BX721" s="282">
        <v>5.7564544677734375</v>
      </c>
      <c r="BY721" s="283">
        <v>42234</v>
      </c>
      <c r="CB721" s="267">
        <v>7.14</v>
      </c>
      <c r="CD721" s="282">
        <v>4.9999999999999964</v>
      </c>
      <c r="CE721" s="291" t="s">
        <v>8401</v>
      </c>
      <c r="CH721" s="136">
        <v>3</v>
      </c>
      <c r="CI721" s="136">
        <v>3</v>
      </c>
      <c r="CL721" s="136">
        <v>2</v>
      </c>
      <c r="CM721" s="259">
        <v>42161</v>
      </c>
      <c r="CN721" s="137" t="s">
        <v>8406</v>
      </c>
    </row>
    <row r="722" spans="1:94">
      <c r="A722" s="258">
        <v>1179</v>
      </c>
      <c r="B722" s="235">
        <v>303</v>
      </c>
      <c r="C722" s="235" t="s">
        <v>7760</v>
      </c>
      <c r="D722" s="235" t="s">
        <v>7837</v>
      </c>
      <c r="E722" s="235" t="s">
        <v>7760</v>
      </c>
      <c r="F722" s="235" t="s">
        <v>8542</v>
      </c>
      <c r="G722" s="235" t="str">
        <f t="shared" si="373"/>
        <v>Rapsodyn</v>
      </c>
      <c r="H722" s="235" t="s">
        <v>267</v>
      </c>
      <c r="I722" s="235">
        <v>1</v>
      </c>
      <c r="J722" s="235">
        <v>9131</v>
      </c>
      <c r="K722" s="235">
        <v>11</v>
      </c>
      <c r="L722" s="235">
        <f t="shared" si="365"/>
        <v>83</v>
      </c>
      <c r="M722" s="235">
        <v>5</v>
      </c>
      <c r="N722" s="235">
        <v>7</v>
      </c>
      <c r="O722" s="248">
        <v>42048</v>
      </c>
      <c r="P722" s="136">
        <v>9</v>
      </c>
      <c r="Q722" s="264">
        <v>42204</v>
      </c>
      <c r="V722" s="219">
        <f t="shared" si="374"/>
        <v>26.575894078508657</v>
      </c>
      <c r="X722">
        <v>15.55</v>
      </c>
      <c r="AB722" s="220">
        <f t="shared" si="375"/>
        <v>8.4123063922381398</v>
      </c>
      <c r="AD722" s="221">
        <f t="shared" si="376"/>
        <v>125226.54194679917</v>
      </c>
      <c r="AF722" s="220">
        <f t="shared" si="377"/>
        <v>52.595147617655655</v>
      </c>
      <c r="AH722" s="220">
        <f t="shared" si="378"/>
        <v>58.976393381538067</v>
      </c>
      <c r="AJ722">
        <v>4.2</v>
      </c>
      <c r="AK722" s="285" t="s">
        <v>8401</v>
      </c>
      <c r="AL722" s="260">
        <v>175</v>
      </c>
      <c r="AN722" s="235">
        <v>75</v>
      </c>
      <c r="AO722" s="242">
        <v>42079</v>
      </c>
      <c r="AP722" s="235">
        <v>104</v>
      </c>
      <c r="AQ722" s="242">
        <v>42108</v>
      </c>
      <c r="AR722" s="136">
        <v>136</v>
      </c>
      <c r="AS722" s="297">
        <f t="shared" si="379"/>
        <v>136</v>
      </c>
      <c r="AT722" s="290">
        <v>42140</v>
      </c>
      <c r="AU722" s="298"/>
      <c r="BF722" s="282">
        <v>-3.7954959869384766</v>
      </c>
      <c r="BG722" s="283">
        <v>42234</v>
      </c>
      <c r="BL722" s="296">
        <v>67.049087524414063</v>
      </c>
      <c r="BM722" s="283">
        <v>42234</v>
      </c>
      <c r="BP722" s="282">
        <v>2.5285019874572754</v>
      </c>
      <c r="BQ722" s="283">
        <v>42234</v>
      </c>
      <c r="BR722" s="282">
        <v>50.5291748046875</v>
      </c>
      <c r="BS722" s="283">
        <v>42234</v>
      </c>
      <c r="BT722" s="282">
        <v>15.994453430175781</v>
      </c>
      <c r="BU722" s="283">
        <v>42234</v>
      </c>
      <c r="BV722" s="282">
        <v>15.715059280395508</v>
      </c>
      <c r="BW722" s="283">
        <v>42234</v>
      </c>
      <c r="BX722" s="282">
        <v>5.2092132568359375</v>
      </c>
      <c r="BY722" s="283">
        <v>42234</v>
      </c>
      <c r="CB722" s="267">
        <v>5.25</v>
      </c>
      <c r="CD722" s="282">
        <v>7.2727272727272796</v>
      </c>
      <c r="CE722" s="291" t="s">
        <v>8401</v>
      </c>
      <c r="CH722" s="136">
        <v>3</v>
      </c>
      <c r="CI722" s="136">
        <v>4</v>
      </c>
      <c r="CL722" s="136">
        <v>1</v>
      </c>
      <c r="CM722" s="259">
        <v>42161</v>
      </c>
      <c r="CN722" s="137" t="s">
        <v>8406</v>
      </c>
    </row>
    <row r="723" spans="1:94">
      <c r="A723" s="258">
        <v>1181</v>
      </c>
      <c r="B723" s="235">
        <v>305</v>
      </c>
      <c r="C723" s="235" t="s">
        <v>7641</v>
      </c>
      <c r="D723" s="235" t="s">
        <v>7473</v>
      </c>
      <c r="E723" s="235" t="s">
        <v>7641</v>
      </c>
      <c r="F723" s="235" t="s">
        <v>8523</v>
      </c>
      <c r="G723" s="235" t="str">
        <f t="shared" si="373"/>
        <v>Rapsodyn</v>
      </c>
      <c r="H723" s="235" t="s">
        <v>267</v>
      </c>
      <c r="I723" s="235">
        <v>1</v>
      </c>
      <c r="J723" s="235">
        <v>9029</v>
      </c>
      <c r="K723" s="235">
        <v>13</v>
      </c>
      <c r="L723" s="235">
        <f t="shared" si="365"/>
        <v>85</v>
      </c>
      <c r="M723" s="235">
        <v>5</v>
      </c>
      <c r="N723" s="235">
        <v>3</v>
      </c>
      <c r="O723" s="248">
        <v>42048</v>
      </c>
      <c r="P723" s="136">
        <v>4.62</v>
      </c>
      <c r="Q723" s="264">
        <v>42204</v>
      </c>
      <c r="V723" s="219">
        <f t="shared" si="374"/>
        <v>12.364083530936476</v>
      </c>
      <c r="X723">
        <v>15.55</v>
      </c>
      <c r="AB723" s="220">
        <f t="shared" si="375"/>
        <v>6.6478041645798269</v>
      </c>
      <c r="AD723" s="221">
        <f t="shared" si="376"/>
        <v>53530.663909814619</v>
      </c>
      <c r="AF723" s="220">
        <f t="shared" si="377"/>
        <v>27.996537224833045</v>
      </c>
      <c r="AH723" s="220">
        <f t="shared" si="378"/>
        <v>31.393291348769953</v>
      </c>
      <c r="AJ723">
        <v>5.23</v>
      </c>
      <c r="AK723" s="285" t="s">
        <v>8398</v>
      </c>
      <c r="AL723" s="260">
        <v>170</v>
      </c>
      <c r="AN723" s="235">
        <v>79</v>
      </c>
      <c r="AO723" s="242">
        <v>42083</v>
      </c>
      <c r="AP723" s="235">
        <v>104</v>
      </c>
      <c r="AQ723" s="242">
        <v>42108</v>
      </c>
      <c r="AR723" s="136">
        <v>132</v>
      </c>
      <c r="AS723" s="297">
        <f t="shared" si="379"/>
        <v>132</v>
      </c>
      <c r="AT723" s="290">
        <v>42136</v>
      </c>
      <c r="AU723" s="298"/>
      <c r="BF723" s="282">
        <v>-6.5039539337158203</v>
      </c>
      <c r="BG723" s="283">
        <v>42235</v>
      </c>
      <c r="BL723" s="296">
        <v>60.564643859863281</v>
      </c>
      <c r="BM723" s="283">
        <v>42235</v>
      </c>
      <c r="BP723" s="282">
        <v>3.3544108867645264</v>
      </c>
      <c r="BQ723" s="283">
        <v>42235</v>
      </c>
      <c r="BR723" s="282">
        <v>44.16290283203125</v>
      </c>
      <c r="BS723" s="283">
        <v>42235</v>
      </c>
      <c r="BT723" s="282">
        <v>23.745094299316406</v>
      </c>
      <c r="BU723" s="283">
        <v>42235</v>
      </c>
      <c r="BV723" s="282">
        <v>69.111839294433594</v>
      </c>
      <c r="BW723" s="283">
        <v>42235</v>
      </c>
      <c r="BX723" s="282">
        <v>6.1686248779296875</v>
      </c>
      <c r="BY723" s="283">
        <v>42235</v>
      </c>
      <c r="CB723" s="267">
        <v>6.42</v>
      </c>
      <c r="CD723" s="282">
        <v>3.8461538461538494</v>
      </c>
      <c r="CE723" s="291" t="s">
        <v>8398</v>
      </c>
      <c r="CH723" s="136">
        <v>1</v>
      </c>
      <c r="CI723" s="136">
        <v>5</v>
      </c>
      <c r="CL723" s="136">
        <v>5</v>
      </c>
      <c r="CM723" s="259">
        <v>42161</v>
      </c>
      <c r="CN723" s="137" t="s">
        <v>8406</v>
      </c>
    </row>
    <row r="724" spans="1:94">
      <c r="A724" s="258">
        <v>1183</v>
      </c>
      <c r="B724" s="235">
        <v>307</v>
      </c>
      <c r="C724" s="235" t="s">
        <v>7631</v>
      </c>
      <c r="D724" s="235" t="s">
        <v>7465</v>
      </c>
      <c r="E724" s="235" t="s">
        <v>7631</v>
      </c>
      <c r="F724" s="235" t="s">
        <v>8611</v>
      </c>
      <c r="G724" s="235" t="str">
        <f t="shared" si="373"/>
        <v>Rapsodyn</v>
      </c>
      <c r="H724" s="235" t="s">
        <v>267</v>
      </c>
      <c r="I724" s="235">
        <v>1</v>
      </c>
      <c r="J724" s="235">
        <v>9021</v>
      </c>
      <c r="K724" s="235">
        <v>15</v>
      </c>
      <c r="L724" s="235">
        <f t="shared" si="365"/>
        <v>87</v>
      </c>
      <c r="M724" s="235">
        <v>5</v>
      </c>
      <c r="N724" s="235">
        <v>7</v>
      </c>
      <c r="O724" s="248">
        <v>42048</v>
      </c>
      <c r="P724" s="136">
        <v>4.32</v>
      </c>
      <c r="Q724" s="264">
        <v>42204</v>
      </c>
      <c r="V724" s="219">
        <f t="shared" si="374"/>
        <v>11.757471477515148</v>
      </c>
      <c r="X724">
        <v>15.55</v>
      </c>
      <c r="AB724" s="220">
        <f t="shared" si="375"/>
        <v>5.183629721340318</v>
      </c>
      <c r="AD724" s="221">
        <f t="shared" si="376"/>
        <v>54752.586169268594</v>
      </c>
      <c r="AF724" s="220">
        <f t="shared" si="377"/>
        <v>25.131437051694284</v>
      </c>
      <c r="AH724" s="220">
        <f t="shared" si="378"/>
        <v>28.180575299051675</v>
      </c>
      <c r="AJ724">
        <v>4.59</v>
      </c>
      <c r="AK724" s="285" t="s">
        <v>8398</v>
      </c>
      <c r="AL724" s="260">
        <v>175</v>
      </c>
      <c r="AN724" s="235">
        <v>70</v>
      </c>
      <c r="AO724" s="242">
        <v>42074</v>
      </c>
      <c r="AP724" s="235">
        <v>110</v>
      </c>
      <c r="AQ724" s="242">
        <v>42114</v>
      </c>
      <c r="AR724" s="136">
        <v>141</v>
      </c>
      <c r="AS724" s="297">
        <f t="shared" si="379"/>
        <v>141</v>
      </c>
      <c r="AT724" s="290">
        <v>42145</v>
      </c>
      <c r="AU724" s="298"/>
      <c r="BF724" s="282">
        <v>37.912391662597656</v>
      </c>
      <c r="BG724" s="283">
        <v>42235</v>
      </c>
      <c r="BL724" s="296">
        <v>59.477287292480469</v>
      </c>
      <c r="BM724" s="283">
        <v>42235</v>
      </c>
      <c r="BP724" s="282">
        <v>3.9157040119171143</v>
      </c>
      <c r="BQ724" s="283">
        <v>42235</v>
      </c>
      <c r="BR724" s="282">
        <v>46.783920288085938</v>
      </c>
      <c r="BS724" s="283">
        <v>42235</v>
      </c>
      <c r="BT724" s="282">
        <v>20.626077651977539</v>
      </c>
      <c r="BU724" s="283">
        <v>42235</v>
      </c>
      <c r="BV724" s="282">
        <v>64.803741455078125</v>
      </c>
      <c r="BW724" s="283">
        <v>42235</v>
      </c>
      <c r="BX724" s="282">
        <v>5.9417724609375</v>
      </c>
      <c r="BY724" s="283">
        <v>42235</v>
      </c>
      <c r="CB724" s="267">
        <v>6.29</v>
      </c>
      <c r="CD724" s="282">
        <v>7.6923076923076987</v>
      </c>
      <c r="CE724" s="291" t="s">
        <v>8398</v>
      </c>
      <c r="CH724" s="136">
        <v>3</v>
      </c>
      <c r="CI724" s="136">
        <v>4</v>
      </c>
      <c r="CL724" s="136">
        <v>6</v>
      </c>
      <c r="CM724" s="259">
        <v>42161</v>
      </c>
      <c r="CN724" s="137" t="s">
        <v>8406</v>
      </c>
    </row>
    <row r="725" spans="1:94">
      <c r="A725" s="258">
        <v>1184</v>
      </c>
      <c r="B725" s="235">
        <v>308</v>
      </c>
      <c r="C725" s="346" t="s">
        <v>8238</v>
      </c>
      <c r="D725" s="235" t="s">
        <v>7562</v>
      </c>
      <c r="E725" s="235" t="s">
        <v>8461</v>
      </c>
      <c r="F725" s="235" t="s">
        <v>8469</v>
      </c>
      <c r="G725" s="235" t="str">
        <f t="shared" si="373"/>
        <v>Rapsodyn</v>
      </c>
      <c r="H725" s="235" t="s">
        <v>267</v>
      </c>
      <c r="I725" s="235">
        <v>1</v>
      </c>
      <c r="J725" s="235">
        <v>9358</v>
      </c>
      <c r="K725" s="235">
        <v>16</v>
      </c>
      <c r="L725" s="235">
        <f t="shared" si="365"/>
        <v>88</v>
      </c>
      <c r="M725" s="235">
        <v>5</v>
      </c>
      <c r="N725" s="235">
        <v>5</v>
      </c>
      <c r="O725" s="248">
        <v>42048</v>
      </c>
      <c r="P725" t="s">
        <v>8379</v>
      </c>
      <c r="Q725" s="264">
        <v>42204</v>
      </c>
      <c r="R725" s="278">
        <v>9.4273127753303978</v>
      </c>
      <c r="S725" s="190">
        <v>42185</v>
      </c>
      <c r="T725" s="277">
        <v>25.382879346774455</v>
      </c>
      <c r="U725" s="190">
        <v>42185</v>
      </c>
      <c r="V725" t="s">
        <v>8379</v>
      </c>
      <c r="X725">
        <v>15.55</v>
      </c>
      <c r="AB725" t="s">
        <v>8379</v>
      </c>
      <c r="AD725" t="s">
        <v>8379</v>
      </c>
      <c r="AF725" t="s">
        <v>8379</v>
      </c>
      <c r="AH725" t="s">
        <v>8379</v>
      </c>
      <c r="AJ725">
        <v>4.4000000000000004</v>
      </c>
      <c r="AK725" s="285" t="s">
        <v>8398</v>
      </c>
      <c r="AL725" s="260">
        <v>165</v>
      </c>
      <c r="AN725" s="235">
        <v>79</v>
      </c>
      <c r="AO725" s="242">
        <v>42083</v>
      </c>
      <c r="AP725" s="235">
        <v>106</v>
      </c>
      <c r="AQ725" s="242">
        <v>42110</v>
      </c>
      <c r="AR725" s="136">
        <v>138</v>
      </c>
      <c r="AS725" s="297">
        <f t="shared" si="379"/>
        <v>138</v>
      </c>
      <c r="AT725" s="290">
        <v>42142</v>
      </c>
      <c r="AU725" s="298"/>
      <c r="BF725" s="282">
        <v>2.3201980590820313</v>
      </c>
      <c r="BG725" s="283">
        <v>42234</v>
      </c>
      <c r="BL725" s="296">
        <v>60.387767791748047</v>
      </c>
      <c r="BM725" s="283">
        <v>42234</v>
      </c>
      <c r="BP725" s="282">
        <v>3.6111080646514893</v>
      </c>
      <c r="BQ725" s="283">
        <v>42234</v>
      </c>
      <c r="BR725" s="282">
        <v>47.262741088867188</v>
      </c>
      <c r="BS725" s="283">
        <v>42234</v>
      </c>
      <c r="BT725" s="282">
        <v>19.20991325378418</v>
      </c>
      <c r="BU725" s="283">
        <v>42234</v>
      </c>
      <c r="BV725" s="282">
        <v>20.092319488525391</v>
      </c>
      <c r="BW725" s="283">
        <v>42234</v>
      </c>
      <c r="BX725" s="282">
        <v>5.6905670166015625</v>
      </c>
      <c r="BY725" s="283">
        <v>42234</v>
      </c>
      <c r="CB725" s="267">
        <v>7.5</v>
      </c>
      <c r="CD725" s="282">
        <v>6.5217391304347796</v>
      </c>
      <c r="CE725" s="291" t="s">
        <v>8398</v>
      </c>
      <c r="CH725" s="136">
        <v>3</v>
      </c>
      <c r="CI725" s="136">
        <v>4</v>
      </c>
      <c r="CL725" s="136">
        <v>2</v>
      </c>
      <c r="CM725" s="259">
        <v>42161</v>
      </c>
      <c r="CP725" s="345" t="s">
        <v>8412</v>
      </c>
    </row>
    <row r="726" spans="1:94">
      <c r="A726" s="258">
        <v>1185</v>
      </c>
      <c r="B726" s="235">
        <v>309</v>
      </c>
      <c r="C726" s="235" t="s">
        <v>7718</v>
      </c>
      <c r="D726" s="235" t="s">
        <v>7542</v>
      </c>
      <c r="E726" s="235" t="s">
        <v>7718</v>
      </c>
      <c r="F726" s="235" t="s">
        <v>8613</v>
      </c>
      <c r="G726" s="235" t="str">
        <f t="shared" si="373"/>
        <v>Rapsodyn</v>
      </c>
      <c r="H726" s="235" t="s">
        <v>267</v>
      </c>
      <c r="I726" s="235">
        <v>1</v>
      </c>
      <c r="J726" s="235">
        <v>9100</v>
      </c>
      <c r="K726" s="235">
        <v>17</v>
      </c>
      <c r="L726" s="235">
        <f t="shared" si="365"/>
        <v>89</v>
      </c>
      <c r="M726" s="235">
        <v>5</v>
      </c>
      <c r="N726" s="235">
        <v>7</v>
      </c>
      <c r="O726" s="248">
        <v>42048</v>
      </c>
      <c r="P726" s="136">
        <v>6.38</v>
      </c>
      <c r="Q726" s="264">
        <v>42204</v>
      </c>
      <c r="V726" s="219">
        <f t="shared" ref="V726:V729" si="380">+BR726*AF726/100</f>
        <v>18.202421786249342</v>
      </c>
      <c r="X726">
        <v>15.55</v>
      </c>
      <c r="AB726" s="220">
        <f t="shared" ref="AB726:AB729" si="381">+AF726*BT726/100</f>
        <v>7.0896052783667587</v>
      </c>
      <c r="AD726" s="221">
        <f t="shared" ref="AD726:AD729" si="382">+(AF726/AJ726)*10000</f>
        <v>72887.835592503208</v>
      </c>
      <c r="AF726" s="220">
        <f t="shared" ref="AF726:AF729" si="383">($P726/$X726)*(((100-$CD726)/100*(100-2)/100))*100</f>
        <v>37.974562343694174</v>
      </c>
      <c r="AH726" s="220">
        <f t="shared" ref="AH726:AH729" si="384">($P726/$X726)*(((100-$CD726)/(100-9)*(100-2)/(100-2))*100)</f>
        <v>42.581926826299807</v>
      </c>
      <c r="AJ726">
        <v>5.21</v>
      </c>
      <c r="AK726" s="285" t="s">
        <v>8398</v>
      </c>
      <c r="AL726" s="260">
        <v>175</v>
      </c>
      <c r="AN726" s="235">
        <v>72</v>
      </c>
      <c r="AO726" s="242">
        <v>42076</v>
      </c>
      <c r="AP726" s="235">
        <v>104</v>
      </c>
      <c r="AQ726" s="242">
        <v>42108</v>
      </c>
      <c r="AR726" s="136">
        <v>131</v>
      </c>
      <c r="AS726" s="297">
        <f t="shared" si="379"/>
        <v>131</v>
      </c>
      <c r="AT726" s="290">
        <v>42135</v>
      </c>
      <c r="AU726" s="298"/>
      <c r="BF726" s="282">
        <v>-2.7053639888763428</v>
      </c>
      <c r="BG726" s="283">
        <v>42235</v>
      </c>
      <c r="BL726" s="296">
        <v>63.480628967285156</v>
      </c>
      <c r="BM726" s="283">
        <v>42235</v>
      </c>
      <c r="BP726" s="282">
        <v>3.6492118835449219</v>
      </c>
      <c r="BQ726" s="283">
        <v>42235</v>
      </c>
      <c r="BR726" s="282">
        <v>47.933197021484375</v>
      </c>
      <c r="BS726" s="283">
        <v>42235</v>
      </c>
      <c r="BT726" s="282">
        <v>18.669353485107422</v>
      </c>
      <c r="BU726" s="283">
        <v>42235</v>
      </c>
      <c r="BV726" s="282">
        <v>10.379707336425781</v>
      </c>
      <c r="BW726" s="283">
        <v>42235</v>
      </c>
      <c r="BX726" s="282">
        <v>5.8838043212890625</v>
      </c>
      <c r="BY726" s="283">
        <v>42235</v>
      </c>
      <c r="CB726" s="267">
        <v>7.38</v>
      </c>
      <c r="CD726" s="282">
        <v>5.5555555555555687</v>
      </c>
      <c r="CE726" s="291" t="s">
        <v>8398</v>
      </c>
      <c r="CH726" s="136">
        <v>3</v>
      </c>
      <c r="CI726" s="136">
        <v>2</v>
      </c>
      <c r="CL726" s="136">
        <v>1</v>
      </c>
      <c r="CM726" s="259">
        <v>42161</v>
      </c>
      <c r="CN726" s="137" t="s">
        <v>8406</v>
      </c>
    </row>
    <row r="727" spans="1:94">
      <c r="A727" s="258">
        <v>1190</v>
      </c>
      <c r="B727" s="235">
        <v>314</v>
      </c>
      <c r="C727" s="235" t="s">
        <v>7614</v>
      </c>
      <c r="D727" s="235" t="s">
        <v>7451</v>
      </c>
      <c r="E727" s="235" t="s">
        <v>7614</v>
      </c>
      <c r="F727" s="235" t="s">
        <v>8474</v>
      </c>
      <c r="G727" s="235" t="str">
        <f t="shared" si="373"/>
        <v>Rapsodyn</v>
      </c>
      <c r="H727" s="235" t="s">
        <v>267</v>
      </c>
      <c r="I727" s="235">
        <v>1</v>
      </c>
      <c r="J727" s="235">
        <v>9007</v>
      </c>
      <c r="K727" s="235">
        <v>22</v>
      </c>
      <c r="L727" s="235">
        <f t="shared" si="365"/>
        <v>94</v>
      </c>
      <c r="M727" s="235">
        <v>5</v>
      </c>
      <c r="N727" s="236">
        <v>9</v>
      </c>
      <c r="O727" s="248">
        <v>42048</v>
      </c>
      <c r="P727" s="136">
        <v>5</v>
      </c>
      <c r="Q727" s="264">
        <v>42204</v>
      </c>
      <c r="V727" s="219">
        <f t="shared" si="380"/>
        <v>14.951169865278214</v>
      </c>
      <c r="X727">
        <v>15.55</v>
      </c>
      <c r="AB727" s="220">
        <f t="shared" si="381"/>
        <v>5.8647999396690951</v>
      </c>
      <c r="AD727" s="221">
        <f t="shared" si="382"/>
        <v>66300.39980494151</v>
      </c>
      <c r="AF727" s="220">
        <f t="shared" si="383"/>
        <v>30.299282710858272</v>
      </c>
      <c r="AH727" s="220">
        <f t="shared" si="384"/>
        <v>33.975423537629823</v>
      </c>
      <c r="AJ727">
        <v>4.57</v>
      </c>
      <c r="AK727" s="285" t="s">
        <v>8398</v>
      </c>
      <c r="AL727" s="260">
        <v>170</v>
      </c>
      <c r="AN727" s="235">
        <v>79</v>
      </c>
      <c r="AO727" s="242">
        <v>42083</v>
      </c>
      <c r="AP727" s="235">
        <v>106</v>
      </c>
      <c r="AQ727" s="242">
        <v>42110</v>
      </c>
      <c r="AR727" s="136">
        <v>133</v>
      </c>
      <c r="AS727" s="297">
        <f t="shared" si="379"/>
        <v>133</v>
      </c>
      <c r="AT727" s="290">
        <v>42137</v>
      </c>
      <c r="AU727" s="298"/>
      <c r="BF727" s="282">
        <v>30.112117767333984</v>
      </c>
      <c r="BG727" s="283">
        <v>42235</v>
      </c>
      <c r="BL727" s="296">
        <v>61.889701843261719</v>
      </c>
      <c r="BM727" s="283">
        <v>42235</v>
      </c>
      <c r="BP727" s="282">
        <v>3.5537679195404053</v>
      </c>
      <c r="BQ727" s="283">
        <v>42235</v>
      </c>
      <c r="BR727" s="282">
        <v>49.344963073730469</v>
      </c>
      <c r="BS727" s="283">
        <v>42235</v>
      </c>
      <c r="BT727" s="282">
        <v>19.356233596801758</v>
      </c>
      <c r="BU727" s="283">
        <v>42235</v>
      </c>
      <c r="BV727" s="282">
        <v>64.722457885742187</v>
      </c>
      <c r="BW727" s="283">
        <v>42235</v>
      </c>
      <c r="BX727" s="282">
        <v>5.6458053588867187</v>
      </c>
      <c r="BY727" s="283">
        <v>42235</v>
      </c>
      <c r="CB727" s="267">
        <v>5.17</v>
      </c>
      <c r="CD727" s="282">
        <v>3.8461538461538494</v>
      </c>
      <c r="CE727" s="291" t="s">
        <v>8398</v>
      </c>
      <c r="CH727" s="136">
        <v>3</v>
      </c>
      <c r="CI727" s="136">
        <v>7</v>
      </c>
      <c r="CL727" s="136">
        <v>6</v>
      </c>
      <c r="CM727" s="259">
        <v>42161</v>
      </c>
      <c r="CO727" s="137" t="s">
        <v>8405</v>
      </c>
    </row>
    <row r="728" spans="1:94">
      <c r="A728" s="258">
        <v>1191</v>
      </c>
      <c r="B728" s="235">
        <v>315</v>
      </c>
      <c r="C728" s="235" t="s">
        <v>7703</v>
      </c>
      <c r="D728" s="235" t="s">
        <v>7529</v>
      </c>
      <c r="E728" s="235" t="s">
        <v>7703</v>
      </c>
      <c r="F728" s="235" t="s">
        <v>8610</v>
      </c>
      <c r="G728" s="235" t="str">
        <f t="shared" si="373"/>
        <v>Rapsodyn</v>
      </c>
      <c r="H728" s="235" t="s">
        <v>267</v>
      </c>
      <c r="I728" s="235">
        <v>1</v>
      </c>
      <c r="J728" s="235">
        <v>9085</v>
      </c>
      <c r="K728" s="235">
        <v>23</v>
      </c>
      <c r="L728" s="235">
        <f t="shared" si="365"/>
        <v>95</v>
      </c>
      <c r="M728" s="235">
        <v>5</v>
      </c>
      <c r="N728" s="235">
        <v>5</v>
      </c>
      <c r="O728" s="248">
        <v>42048</v>
      </c>
      <c r="P728" s="136">
        <v>6</v>
      </c>
      <c r="Q728" s="264">
        <v>42204</v>
      </c>
      <c r="V728" s="219">
        <f t="shared" si="380"/>
        <v>17.241084921381308</v>
      </c>
      <c r="X728">
        <v>15.55</v>
      </c>
      <c r="AB728" s="220">
        <f t="shared" si="381"/>
        <v>7.6990437792811734</v>
      </c>
      <c r="AD728" s="221">
        <f t="shared" si="382"/>
        <v>73783.806627899612</v>
      </c>
      <c r="AF728" s="220">
        <f t="shared" si="383"/>
        <v>37.113254733833507</v>
      </c>
      <c r="AH728" s="220">
        <f t="shared" si="384"/>
        <v>41.616118786536781</v>
      </c>
      <c r="AJ728">
        <v>5.03</v>
      </c>
      <c r="AK728" s="285" t="s">
        <v>8398</v>
      </c>
      <c r="AL728" s="260">
        <v>165</v>
      </c>
      <c r="AN728" s="235">
        <v>75</v>
      </c>
      <c r="AO728" s="242">
        <v>42079</v>
      </c>
      <c r="AP728" s="235">
        <v>104</v>
      </c>
      <c r="AQ728" s="242">
        <v>42108</v>
      </c>
      <c r="AR728" s="136">
        <v>131</v>
      </c>
      <c r="AS728" s="297">
        <f t="shared" si="379"/>
        <v>131</v>
      </c>
      <c r="AT728" s="290">
        <v>42135</v>
      </c>
      <c r="AU728" s="298"/>
      <c r="BF728" s="282">
        <v>-4.1732649803161621</v>
      </c>
      <c r="BG728" s="283">
        <v>42235</v>
      </c>
      <c r="BL728" s="296">
        <v>63.226318359375</v>
      </c>
      <c r="BM728" s="283">
        <v>42235</v>
      </c>
      <c r="BP728" s="282">
        <v>3.5896270275115967</v>
      </c>
      <c r="BQ728" s="283">
        <v>42235</v>
      </c>
      <c r="BR728" s="282">
        <v>46.455329895019531</v>
      </c>
      <c r="BS728" s="283">
        <v>42235</v>
      </c>
      <c r="BT728" s="282">
        <v>20.744728088378906</v>
      </c>
      <c r="BU728" s="283">
        <v>42235</v>
      </c>
      <c r="BV728" s="282">
        <v>16.805328369140625</v>
      </c>
      <c r="BW728" s="283">
        <v>42235</v>
      </c>
      <c r="BX728" s="282">
        <v>5.6329345703125</v>
      </c>
      <c r="BY728" s="283">
        <v>42235</v>
      </c>
      <c r="CB728" s="267">
        <v>5.29</v>
      </c>
      <c r="CD728" s="282">
        <v>1.8518518518518614</v>
      </c>
      <c r="CE728" s="291" t="s">
        <v>8398</v>
      </c>
      <c r="CH728" s="136">
        <v>2</v>
      </c>
      <c r="CI728" s="136">
        <v>4</v>
      </c>
      <c r="CL728" s="136">
        <v>5</v>
      </c>
      <c r="CM728" s="259">
        <v>42161</v>
      </c>
      <c r="CN728" s="137" t="s">
        <v>8406</v>
      </c>
    </row>
    <row r="729" spans="1:94">
      <c r="A729" s="258">
        <v>1196</v>
      </c>
      <c r="B729" s="235">
        <v>320</v>
      </c>
      <c r="C729" s="235" t="s">
        <v>7764</v>
      </c>
      <c r="D729" s="235" t="s">
        <v>7841</v>
      </c>
      <c r="E729" s="235" t="s">
        <v>7764</v>
      </c>
      <c r="F729" s="235" t="s">
        <v>8596</v>
      </c>
      <c r="G729" s="235" t="str">
        <f t="shared" si="373"/>
        <v>Rapsodyn</v>
      </c>
      <c r="H729" s="235" t="s">
        <v>267</v>
      </c>
      <c r="I729" s="235">
        <v>1</v>
      </c>
      <c r="J729" s="235">
        <v>9135</v>
      </c>
      <c r="K729" s="235">
        <v>28</v>
      </c>
      <c r="L729" s="235">
        <f t="shared" si="365"/>
        <v>100</v>
      </c>
      <c r="M729" s="235">
        <v>5</v>
      </c>
      <c r="N729" s="235">
        <v>7</v>
      </c>
      <c r="O729" s="248">
        <v>42048</v>
      </c>
      <c r="P729" s="136">
        <v>6.46</v>
      </c>
      <c r="Q729" s="264">
        <v>42204</v>
      </c>
      <c r="V729" s="219">
        <f t="shared" si="380"/>
        <v>19.030204601447299</v>
      </c>
      <c r="X729">
        <v>15.55</v>
      </c>
      <c r="AB729" s="220">
        <f t="shared" si="381"/>
        <v>7.0789951839631007</v>
      </c>
      <c r="AD729" s="221">
        <f t="shared" si="382"/>
        <v>78958.014864793629</v>
      </c>
      <c r="AF729" s="220">
        <f t="shared" si="383"/>
        <v>38.531511254019293</v>
      </c>
      <c r="AH729" s="220">
        <f t="shared" si="384"/>
        <v>43.206449040165161</v>
      </c>
      <c r="AJ729">
        <v>4.88</v>
      </c>
      <c r="AK729" s="285" t="s">
        <v>8402</v>
      </c>
      <c r="AL729" s="260">
        <v>155</v>
      </c>
      <c r="AN729" s="235">
        <v>79</v>
      </c>
      <c r="AO729" s="242">
        <v>42083</v>
      </c>
      <c r="AP729" s="235">
        <v>104</v>
      </c>
      <c r="AQ729" s="242">
        <v>42108</v>
      </c>
      <c r="AR729" s="136">
        <v>127</v>
      </c>
      <c r="AS729" s="297">
        <f t="shared" si="379"/>
        <v>127</v>
      </c>
      <c r="AT729" s="290">
        <v>42131</v>
      </c>
      <c r="AU729" s="298"/>
      <c r="BF729" s="282">
        <v>-2.7840580940246582</v>
      </c>
      <c r="BG729" s="283">
        <v>42235</v>
      </c>
      <c r="BL729" s="296">
        <v>62.469825744628906</v>
      </c>
      <c r="BM729" s="283">
        <v>42235</v>
      </c>
      <c r="BP729" s="282">
        <v>3.7810490131378174</v>
      </c>
      <c r="BQ729" s="283">
        <v>42235</v>
      </c>
      <c r="BR729" s="282">
        <v>49.388679504394531</v>
      </c>
      <c r="BS729" s="283">
        <v>42235</v>
      </c>
      <c r="BT729" s="282">
        <v>18.371963500976563</v>
      </c>
      <c r="BU729" s="283">
        <v>42235</v>
      </c>
      <c r="BV729" s="282">
        <v>13.724566459655762</v>
      </c>
      <c r="BW729" s="283">
        <v>42235</v>
      </c>
      <c r="BX729" s="282">
        <v>5.451324462890625</v>
      </c>
      <c r="BY729" s="283">
        <v>42235</v>
      </c>
      <c r="CB729" s="267">
        <v>5.56</v>
      </c>
      <c r="CD729" s="282">
        <v>5.3571428571428541</v>
      </c>
      <c r="CE729" s="291" t="s">
        <v>8402</v>
      </c>
      <c r="CH729" s="136">
        <v>2</v>
      </c>
      <c r="CI729" s="136">
        <v>3</v>
      </c>
      <c r="CL729" s="136">
        <v>1</v>
      </c>
      <c r="CM729" s="259">
        <v>42161</v>
      </c>
      <c r="CN729" s="137" t="s">
        <v>8406</v>
      </c>
    </row>
    <row r="730" spans="1:94">
      <c r="A730" s="258">
        <v>1197</v>
      </c>
      <c r="B730" s="235">
        <v>321</v>
      </c>
      <c r="C730" s="235" t="s">
        <v>7576</v>
      </c>
      <c r="D730" s="235"/>
      <c r="E730" s="235"/>
      <c r="F730" s="235"/>
      <c r="G730" s="235"/>
      <c r="H730" s="235" t="s">
        <v>267</v>
      </c>
      <c r="I730" s="235">
        <v>1</v>
      </c>
      <c r="K730" s="235">
        <v>29</v>
      </c>
      <c r="L730" s="235">
        <f t="shared" si="365"/>
        <v>101</v>
      </c>
      <c r="M730" s="235">
        <v>5</v>
      </c>
      <c r="O730" s="248">
        <v>42048</v>
      </c>
      <c r="V730" s="219"/>
      <c r="X730">
        <v>15.55</v>
      </c>
      <c r="AB730" s="220"/>
      <c r="AD730" s="221"/>
      <c r="AF730" s="220"/>
      <c r="AH730" s="220"/>
      <c r="AJ730" s="286"/>
      <c r="AK730" s="285"/>
      <c r="AL730" s="260"/>
      <c r="AN730" s="235">
        <v>70</v>
      </c>
      <c r="AO730" s="242">
        <v>42074</v>
      </c>
      <c r="AP730" s="235">
        <v>106</v>
      </c>
      <c r="AQ730" s="242">
        <v>42110</v>
      </c>
      <c r="AS730" s="297"/>
      <c r="AT730" s="290"/>
      <c r="AU730" s="298"/>
      <c r="BF730" s="282"/>
      <c r="BG730" s="235"/>
      <c r="BL730" s="296"/>
      <c r="BM730" s="235"/>
      <c r="BP730" s="282"/>
      <c r="BQ730" s="235"/>
      <c r="BR730" s="282"/>
      <c r="BS730" s="235"/>
      <c r="BT730" s="282"/>
      <c r="BU730" s="235"/>
      <c r="BV730" s="282"/>
      <c r="BW730" s="235"/>
      <c r="BX730" s="282"/>
      <c r="BY730" s="235"/>
      <c r="CB730" s="267"/>
      <c r="CD730" s="282"/>
      <c r="CE730" s="291"/>
      <c r="CL730" s="136">
        <v>2</v>
      </c>
      <c r="CM730" s="259">
        <v>42161</v>
      </c>
    </row>
    <row r="731" spans="1:94">
      <c r="A731" s="258">
        <v>1198</v>
      </c>
      <c r="B731" s="235">
        <v>322</v>
      </c>
      <c r="C731" s="235" t="s">
        <v>7576</v>
      </c>
      <c r="D731" s="235"/>
      <c r="E731" s="235"/>
      <c r="F731" s="235"/>
      <c r="G731" s="235"/>
      <c r="H731" s="235" t="s">
        <v>267</v>
      </c>
      <c r="I731" s="235">
        <v>1</v>
      </c>
      <c r="K731" s="235">
        <v>30</v>
      </c>
      <c r="L731" s="235">
        <f t="shared" ref="L731:L767" si="385">72+K731</f>
        <v>102</v>
      </c>
      <c r="M731" s="235">
        <v>5</v>
      </c>
      <c r="O731" s="248">
        <v>42048</v>
      </c>
      <c r="V731" s="219"/>
      <c r="X731">
        <v>15.55</v>
      </c>
      <c r="AB731" s="220"/>
      <c r="AD731" s="221"/>
      <c r="AF731" s="220"/>
      <c r="AH731" s="220"/>
      <c r="AJ731" s="286"/>
      <c r="AK731" s="285"/>
      <c r="AL731" s="260"/>
      <c r="AN731" s="235">
        <v>70</v>
      </c>
      <c r="AO731" s="242">
        <v>42074</v>
      </c>
      <c r="AP731" s="235">
        <v>106</v>
      </c>
      <c r="AQ731" s="242">
        <v>42110</v>
      </c>
      <c r="AS731" s="297"/>
      <c r="AT731" s="290"/>
      <c r="AU731" s="298"/>
      <c r="BF731" s="282"/>
      <c r="BG731" s="235"/>
      <c r="BL731" s="296"/>
      <c r="BM731" s="235"/>
      <c r="BP731" s="282"/>
      <c r="BQ731" s="235"/>
      <c r="BR731" s="282"/>
      <c r="BS731" s="235"/>
      <c r="BT731" s="282"/>
      <c r="BU731" s="235"/>
      <c r="BV731" s="282"/>
      <c r="BW731" s="235"/>
      <c r="BX731" s="282"/>
      <c r="BY731" s="235"/>
      <c r="CB731" s="267"/>
      <c r="CD731" s="282"/>
      <c r="CE731" s="291"/>
      <c r="CL731" s="136">
        <v>3</v>
      </c>
      <c r="CM731" s="259">
        <v>42161</v>
      </c>
    </row>
    <row r="732" spans="1:94">
      <c r="A732" s="258">
        <v>1199</v>
      </c>
      <c r="B732" s="235">
        <v>323</v>
      </c>
      <c r="C732" s="235" t="s">
        <v>7777</v>
      </c>
      <c r="D732" s="235" t="s">
        <v>7575</v>
      </c>
      <c r="E732" s="235" t="s">
        <v>7777</v>
      </c>
      <c r="F732" s="235" t="s">
        <v>8457</v>
      </c>
      <c r="G732" s="235" t="str">
        <f t="shared" ref="G732:G744" si="386">IF(MID(C732,1,3)="BGA","Complement","Rapsodyn")</f>
        <v>Rapsodyn</v>
      </c>
      <c r="H732" s="235" t="s">
        <v>267</v>
      </c>
      <c r="I732" s="235">
        <v>1</v>
      </c>
      <c r="J732" s="235">
        <v>9148</v>
      </c>
      <c r="K732" s="235">
        <v>31</v>
      </c>
      <c r="L732" s="235">
        <f t="shared" si="385"/>
        <v>103</v>
      </c>
      <c r="M732" s="235">
        <v>5</v>
      </c>
      <c r="N732" s="235">
        <v>7</v>
      </c>
      <c r="O732" s="248">
        <v>42048</v>
      </c>
      <c r="P732" s="136">
        <v>5.76</v>
      </c>
      <c r="Q732" s="264">
        <v>42204</v>
      </c>
      <c r="V732" s="219">
        <f t="shared" ref="V732:V744" si="387">+BR732*AF732/100</f>
        <v>16.864040436660627</v>
      </c>
      <c r="X732">
        <v>15.55</v>
      </c>
      <c r="AB732" s="220">
        <f t="shared" ref="AB732:AB744" si="388">+AF732*BT732/100</f>
        <v>6.1633619554085906</v>
      </c>
      <c r="AD732" s="221">
        <f t="shared" ref="AD732:AD744" si="389">+(AF732/AJ732)*10000</f>
        <v>72470.165323498353</v>
      </c>
      <c r="AF732" s="220">
        <f t="shared" ref="AF732:AF744" si="390">($P732/$X732)*(((100-$CD732)/100*(100-2)/100))*100</f>
        <v>34.423328528661713</v>
      </c>
      <c r="AH732" s="220">
        <f t="shared" ref="AH732:AH744" si="391">($P732/$X732)*(((100-$CD732)/(100-9)*(100-2)/(100-2))*100)</f>
        <v>38.599830150999907</v>
      </c>
      <c r="AJ732">
        <v>4.75</v>
      </c>
      <c r="AK732" s="285" t="s">
        <v>8403</v>
      </c>
      <c r="AL732" s="260">
        <v>175</v>
      </c>
      <c r="AN732" s="235">
        <v>70</v>
      </c>
      <c r="AO732" s="242">
        <v>42074</v>
      </c>
      <c r="AP732" s="235">
        <v>106</v>
      </c>
      <c r="AQ732" s="242">
        <v>42110</v>
      </c>
      <c r="AR732" s="136">
        <v>133</v>
      </c>
      <c r="AS732" s="297">
        <f t="shared" ref="AS732:AS744" si="392">IF(AR732=0,,AR732)</f>
        <v>133</v>
      </c>
      <c r="AT732" s="290">
        <v>42137</v>
      </c>
      <c r="AU732" s="298"/>
      <c r="BF732" s="282">
        <v>1.1419069766998291</v>
      </c>
      <c r="BG732" s="283">
        <v>42234</v>
      </c>
      <c r="BL732" s="296">
        <v>64.65802001953125</v>
      </c>
      <c r="BM732" s="283">
        <v>42234</v>
      </c>
      <c r="BP732" s="282">
        <v>2.6753950119018555</v>
      </c>
      <c r="BQ732" s="283">
        <v>42234</v>
      </c>
      <c r="BR732" s="282">
        <v>48.990150451660156</v>
      </c>
      <c r="BS732" s="283">
        <v>42234</v>
      </c>
      <c r="BT732" s="282">
        <v>17.904607772827148</v>
      </c>
      <c r="BU732" s="283">
        <v>42234</v>
      </c>
      <c r="BV732" s="282">
        <v>14.504005432128906</v>
      </c>
      <c r="BW732" s="283">
        <v>42234</v>
      </c>
      <c r="BX732" s="282">
        <v>5.37249755859375</v>
      </c>
      <c r="BY732" s="283">
        <v>42234</v>
      </c>
      <c r="CB732" s="267">
        <v>3.98</v>
      </c>
      <c r="CD732" s="282">
        <v>5.1724137931034457</v>
      </c>
      <c r="CE732" s="291" t="s">
        <v>8403</v>
      </c>
      <c r="CH732" s="136">
        <v>2</v>
      </c>
      <c r="CI732" s="136">
        <v>3</v>
      </c>
      <c r="CL732" s="136">
        <v>3</v>
      </c>
      <c r="CM732" s="259">
        <v>42161</v>
      </c>
      <c r="CN732" s="137" t="s">
        <v>8406</v>
      </c>
    </row>
    <row r="733" spans="1:94">
      <c r="A733" s="258">
        <v>1200</v>
      </c>
      <c r="B733" s="235">
        <v>324</v>
      </c>
      <c r="C733" s="235" t="s">
        <v>7615</v>
      </c>
      <c r="D733" s="235" t="s">
        <v>7452</v>
      </c>
      <c r="E733" s="235" t="s">
        <v>7615</v>
      </c>
      <c r="F733" s="235" t="s">
        <v>8529</v>
      </c>
      <c r="G733" s="235" t="str">
        <f t="shared" si="386"/>
        <v>Rapsodyn</v>
      </c>
      <c r="H733" s="235" t="s">
        <v>267</v>
      </c>
      <c r="I733" s="235">
        <v>1</v>
      </c>
      <c r="J733" s="235">
        <v>9008</v>
      </c>
      <c r="K733" s="235">
        <v>32</v>
      </c>
      <c r="L733" s="235">
        <f t="shared" si="385"/>
        <v>104</v>
      </c>
      <c r="M733" s="235">
        <v>5</v>
      </c>
      <c r="N733" s="235">
        <v>7</v>
      </c>
      <c r="O733" s="248">
        <v>42048</v>
      </c>
      <c r="P733" s="136">
        <v>5.36</v>
      </c>
      <c r="Q733" s="264">
        <v>42204</v>
      </c>
      <c r="V733" s="219">
        <f t="shared" si="387"/>
        <v>16.499932544207891</v>
      </c>
      <c r="X733">
        <v>15.55</v>
      </c>
      <c r="AB733" s="220">
        <f t="shared" si="388"/>
        <v>5.8160223508454818</v>
      </c>
      <c r="AD733" s="221">
        <f t="shared" si="389"/>
        <v>80484.471364472891</v>
      </c>
      <c r="AF733" s="220">
        <f t="shared" si="390"/>
        <v>32.032819603060211</v>
      </c>
      <c r="AH733" s="220">
        <f t="shared" si="391"/>
        <v>35.919286390513804</v>
      </c>
      <c r="AJ733">
        <v>3.98</v>
      </c>
      <c r="AK733" s="285" t="s">
        <v>8401</v>
      </c>
      <c r="AL733" s="260">
        <v>170</v>
      </c>
      <c r="AN733" s="235">
        <v>72</v>
      </c>
      <c r="AO733" s="242">
        <v>42076</v>
      </c>
      <c r="AP733" s="235">
        <v>113</v>
      </c>
      <c r="AQ733" s="242">
        <v>42117</v>
      </c>
      <c r="AR733" s="136">
        <v>138</v>
      </c>
      <c r="AS733" s="297">
        <f t="shared" si="392"/>
        <v>138</v>
      </c>
      <c r="AT733" s="290">
        <v>42142</v>
      </c>
      <c r="AU733" s="298"/>
      <c r="BF733" s="282">
        <v>47.214202880859375</v>
      </c>
      <c r="BG733" s="283">
        <v>42234</v>
      </c>
      <c r="BL733" s="296">
        <v>61.635116577148437</v>
      </c>
      <c r="BM733" s="283">
        <v>42234</v>
      </c>
      <c r="BP733" s="282">
        <v>2.8594980239868164</v>
      </c>
      <c r="BQ733" s="283">
        <v>42234</v>
      </c>
      <c r="BR733" s="282">
        <v>51.50946044921875</v>
      </c>
      <c r="BS733" s="283">
        <v>42234</v>
      </c>
      <c r="BT733" s="282">
        <v>18.156448364257813</v>
      </c>
      <c r="BU733" s="283">
        <v>42234</v>
      </c>
      <c r="BV733" s="282">
        <v>58.322952270507813</v>
      </c>
      <c r="BW733" s="283">
        <v>42234</v>
      </c>
      <c r="BX733" s="282">
        <v>5.2782516479492188</v>
      </c>
      <c r="BY733" s="283">
        <v>42234</v>
      </c>
      <c r="CB733" s="267">
        <v>5.0599999999999996</v>
      </c>
      <c r="CD733" s="282">
        <v>5.1724137931034457</v>
      </c>
      <c r="CE733" s="291" t="s">
        <v>8401</v>
      </c>
      <c r="CH733" s="136">
        <v>3</v>
      </c>
      <c r="CI733" s="136">
        <v>2</v>
      </c>
      <c r="CL733" s="136">
        <v>4</v>
      </c>
      <c r="CM733" s="259">
        <v>42161</v>
      </c>
      <c r="CN733" s="137" t="s">
        <v>8406</v>
      </c>
    </row>
    <row r="734" spans="1:94">
      <c r="A734" s="258">
        <v>1201</v>
      </c>
      <c r="B734" s="235">
        <v>325</v>
      </c>
      <c r="C734" s="235" t="s">
        <v>7727</v>
      </c>
      <c r="D734" s="235" t="s">
        <v>7550</v>
      </c>
      <c r="E734" s="235" t="s">
        <v>7727</v>
      </c>
      <c r="F734" s="235" t="s">
        <v>8525</v>
      </c>
      <c r="G734" s="235" t="str">
        <f t="shared" si="386"/>
        <v>Rapsodyn</v>
      </c>
      <c r="H734" s="235" t="s">
        <v>267</v>
      </c>
      <c r="I734" s="235">
        <v>1</v>
      </c>
      <c r="J734" s="235">
        <v>9109</v>
      </c>
      <c r="K734" s="235">
        <v>33</v>
      </c>
      <c r="L734" s="235">
        <f t="shared" si="385"/>
        <v>105</v>
      </c>
      <c r="M734" s="235">
        <v>5</v>
      </c>
      <c r="N734" s="235">
        <v>7</v>
      </c>
      <c r="O734" s="248">
        <v>42048</v>
      </c>
      <c r="P734" s="136">
        <v>5.16</v>
      </c>
      <c r="Q734" s="264">
        <v>42204</v>
      </c>
      <c r="V734" s="219">
        <f t="shared" si="387"/>
        <v>14.183137669799413</v>
      </c>
      <c r="X734">
        <v>15.55</v>
      </c>
      <c r="AB734" s="220">
        <f t="shared" si="388"/>
        <v>5.9933454927401524</v>
      </c>
      <c r="AD734" s="221">
        <f t="shared" si="389"/>
        <v>88695.942251915825</v>
      </c>
      <c r="AF734" s="220">
        <f t="shared" si="390"/>
        <v>30.777491961414789</v>
      </c>
      <c r="AH734" s="220">
        <f t="shared" si="391"/>
        <v>34.511652793692292</v>
      </c>
      <c r="AJ734">
        <v>3.47</v>
      </c>
      <c r="AK734" s="285" t="s">
        <v>8401</v>
      </c>
      <c r="AL734" s="260">
        <v>170</v>
      </c>
      <c r="AN734" s="235">
        <v>72</v>
      </c>
      <c r="AO734" s="242">
        <v>42076</v>
      </c>
      <c r="AP734" s="235">
        <v>110</v>
      </c>
      <c r="AQ734" s="242">
        <v>42114</v>
      </c>
      <c r="AR734" s="136">
        <v>136</v>
      </c>
      <c r="AS734" s="297">
        <f t="shared" si="392"/>
        <v>136</v>
      </c>
      <c r="AT734" s="290">
        <v>42140</v>
      </c>
      <c r="AU734" s="298"/>
      <c r="BF734" s="282">
        <v>-2.7915079593658447</v>
      </c>
      <c r="BG734" s="283">
        <v>42234</v>
      </c>
      <c r="BL734" s="296">
        <v>61.395462036132812</v>
      </c>
      <c r="BM734" s="283">
        <v>42234</v>
      </c>
      <c r="BP734" s="282">
        <v>3.9168410301208496</v>
      </c>
      <c r="BQ734" s="283">
        <v>42234</v>
      </c>
      <c r="BR734" s="282">
        <v>46.08282470703125</v>
      </c>
      <c r="BS734" s="283">
        <v>42234</v>
      </c>
      <c r="BT734" s="282">
        <v>19.47314453125</v>
      </c>
      <c r="BU734" s="283">
        <v>42234</v>
      </c>
      <c r="BV734" s="282">
        <v>14.087191581726074</v>
      </c>
      <c r="BW734" s="283">
        <v>42234</v>
      </c>
      <c r="BX734" s="282">
        <v>5.5468521118164062</v>
      </c>
      <c r="BY734" s="283">
        <v>42234</v>
      </c>
      <c r="CB734" s="267">
        <v>4.62</v>
      </c>
      <c r="CD734" s="282">
        <v>5.3571428571428541</v>
      </c>
      <c r="CE734" s="291" t="s">
        <v>8401</v>
      </c>
      <c r="CH734" s="136">
        <v>2</v>
      </c>
      <c r="CI734" s="136">
        <v>6</v>
      </c>
      <c r="CL734" s="136">
        <v>5</v>
      </c>
      <c r="CM734" s="259">
        <v>42161</v>
      </c>
      <c r="CN734" s="137" t="s">
        <v>8406</v>
      </c>
    </row>
    <row r="735" spans="1:94">
      <c r="A735" s="258">
        <v>1202</v>
      </c>
      <c r="B735" s="235">
        <v>326</v>
      </c>
      <c r="C735" s="235" t="s">
        <v>7706</v>
      </c>
      <c r="D735" s="235" t="s">
        <v>7532</v>
      </c>
      <c r="E735" s="235" t="s">
        <v>7706</v>
      </c>
      <c r="F735" s="235" t="s">
        <v>8612</v>
      </c>
      <c r="G735" s="235" t="str">
        <f t="shared" si="386"/>
        <v>Rapsodyn</v>
      </c>
      <c r="H735" s="235" t="s">
        <v>267</v>
      </c>
      <c r="I735" s="235">
        <v>1</v>
      </c>
      <c r="J735" s="235">
        <v>9088</v>
      </c>
      <c r="K735" s="235">
        <v>34</v>
      </c>
      <c r="L735" s="235">
        <f t="shared" si="385"/>
        <v>106</v>
      </c>
      <c r="M735" s="235">
        <v>5</v>
      </c>
      <c r="N735" s="235">
        <v>7</v>
      </c>
      <c r="O735" s="248">
        <v>42048</v>
      </c>
      <c r="P735" s="136">
        <v>6.43</v>
      </c>
      <c r="Q735" s="264">
        <v>42204</v>
      </c>
      <c r="V735" s="219">
        <f t="shared" si="387"/>
        <v>18.17947393217424</v>
      </c>
      <c r="X735">
        <v>15.55</v>
      </c>
      <c r="AB735" s="220">
        <f t="shared" si="388"/>
        <v>7.0435313534629298</v>
      </c>
      <c r="AD735" s="221">
        <f t="shared" si="389"/>
        <v>83066.090301881704</v>
      </c>
      <c r="AF735" s="220">
        <f t="shared" si="390"/>
        <v>37.62893890675241</v>
      </c>
      <c r="AH735" s="220">
        <f t="shared" si="391"/>
        <v>42.194369709298506</v>
      </c>
      <c r="AJ735">
        <v>4.53</v>
      </c>
      <c r="AK735" s="285" t="s">
        <v>8401</v>
      </c>
      <c r="AL735" s="260">
        <v>175</v>
      </c>
      <c r="AN735" s="235">
        <v>70</v>
      </c>
      <c r="AO735" s="242">
        <v>42074</v>
      </c>
      <c r="AP735" s="235">
        <v>106</v>
      </c>
      <c r="AQ735" s="242">
        <v>42110</v>
      </c>
      <c r="AR735" s="136">
        <v>133</v>
      </c>
      <c r="AS735" s="297">
        <f t="shared" si="392"/>
        <v>133</v>
      </c>
      <c r="AT735" s="290">
        <v>42137</v>
      </c>
      <c r="AU735" s="298"/>
      <c r="BF735" s="282">
        <v>-2.6351239681243896</v>
      </c>
      <c r="BG735" s="283">
        <v>42234</v>
      </c>
      <c r="BL735" s="296">
        <v>61.772891998291016</v>
      </c>
      <c r="BM735" s="283">
        <v>42234</v>
      </c>
      <c r="BP735" s="282">
        <v>3.316382884979248</v>
      </c>
      <c r="BQ735" s="283">
        <v>42234</v>
      </c>
      <c r="BR735" s="282">
        <v>48.312480926513672</v>
      </c>
      <c r="BS735" s="283">
        <v>42234</v>
      </c>
      <c r="BT735" s="282">
        <v>18.718389511108398</v>
      </c>
      <c r="BU735" s="283">
        <v>42234</v>
      </c>
      <c r="BV735" s="282">
        <v>17.305658340454102</v>
      </c>
      <c r="BW735" s="283">
        <v>42234</v>
      </c>
      <c r="BX735" s="282">
        <v>5.4255142211914062</v>
      </c>
      <c r="BY735" s="283">
        <v>42234</v>
      </c>
      <c r="CB735" s="267">
        <v>4.7699999999999996</v>
      </c>
      <c r="CD735" s="282">
        <v>7.1428571428571344</v>
      </c>
      <c r="CE735" s="291" t="s">
        <v>8401</v>
      </c>
      <c r="CH735" s="136">
        <v>3</v>
      </c>
      <c r="CI735" s="136">
        <v>3</v>
      </c>
      <c r="CL735" s="136">
        <v>4</v>
      </c>
      <c r="CM735" s="259">
        <v>42161</v>
      </c>
      <c r="CN735" s="137" t="s">
        <v>8406</v>
      </c>
    </row>
    <row r="736" spans="1:94">
      <c r="A736" s="258">
        <v>1204</v>
      </c>
      <c r="B736" s="235">
        <v>328</v>
      </c>
      <c r="C736" s="235" t="s">
        <v>7765</v>
      </c>
      <c r="D736" s="235" t="s">
        <v>7567</v>
      </c>
      <c r="E736" s="235" t="s">
        <v>7765</v>
      </c>
      <c r="F736" s="235" t="s">
        <v>8607</v>
      </c>
      <c r="G736" s="235" t="str">
        <f t="shared" si="386"/>
        <v>Rapsodyn</v>
      </c>
      <c r="H736" s="235" t="s">
        <v>267</v>
      </c>
      <c r="I736" s="235">
        <v>1</v>
      </c>
      <c r="J736" s="235">
        <v>9136</v>
      </c>
      <c r="K736" s="235">
        <v>36</v>
      </c>
      <c r="L736" s="235">
        <f t="shared" si="385"/>
        <v>108</v>
      </c>
      <c r="M736" s="235">
        <v>5</v>
      </c>
      <c r="N736" s="235">
        <v>7</v>
      </c>
      <c r="O736" s="248">
        <v>42048</v>
      </c>
      <c r="P736" s="136">
        <v>7.18</v>
      </c>
      <c r="Q736" s="264">
        <v>42204</v>
      </c>
      <c r="V736" s="219">
        <f t="shared" si="387"/>
        <v>21.66837874805659</v>
      </c>
      <c r="X736">
        <v>15.55</v>
      </c>
      <c r="AB736" s="220">
        <f t="shared" si="388"/>
        <v>7.0367955457129279</v>
      </c>
      <c r="AD736" s="221">
        <f t="shared" si="389"/>
        <v>98450.678197878558</v>
      </c>
      <c r="AF736" s="220">
        <f t="shared" si="390"/>
        <v>42.826045016077167</v>
      </c>
      <c r="AH736" s="220">
        <f t="shared" si="391"/>
        <v>48.022028499750128</v>
      </c>
      <c r="AJ736">
        <v>4.3499999999999996</v>
      </c>
      <c r="AK736" s="285" t="s">
        <v>8400</v>
      </c>
      <c r="AL736" s="260">
        <v>160</v>
      </c>
      <c r="AN736" s="235">
        <v>72</v>
      </c>
      <c r="AO736" s="242">
        <v>42076</v>
      </c>
      <c r="AP736" s="235">
        <v>110</v>
      </c>
      <c r="AQ736" s="242">
        <v>42114</v>
      </c>
      <c r="AR736" s="136">
        <v>132</v>
      </c>
      <c r="AS736" s="297">
        <f t="shared" si="392"/>
        <v>132</v>
      </c>
      <c r="AT736" s="290">
        <v>42136</v>
      </c>
      <c r="AU736" s="298"/>
      <c r="BF736" s="282">
        <v>-4.5507621765136719</v>
      </c>
      <c r="BG736" s="283">
        <v>42235</v>
      </c>
      <c r="BL736" s="296">
        <v>66.432235717773438</v>
      </c>
      <c r="BM736" s="283">
        <v>42235</v>
      </c>
      <c r="BP736" s="282">
        <v>3.5364179611206055</v>
      </c>
      <c r="BQ736" s="283">
        <v>42235</v>
      </c>
      <c r="BR736" s="282">
        <v>50.596263885498047</v>
      </c>
      <c r="BS736" s="283">
        <v>42235</v>
      </c>
      <c r="BT736" s="282">
        <v>16.431112289428711</v>
      </c>
      <c r="BU736" s="283">
        <v>42235</v>
      </c>
      <c r="BV736" s="282">
        <v>14.58622932434082</v>
      </c>
      <c r="BW736" s="283">
        <v>42235</v>
      </c>
      <c r="BX736" s="282">
        <v>5.63299560546875</v>
      </c>
      <c r="BY736" s="283">
        <v>42235</v>
      </c>
      <c r="CB736" s="267">
        <v>4.41</v>
      </c>
      <c r="CD736" s="282">
        <v>5.3571428571428541</v>
      </c>
      <c r="CE736" s="291" t="s">
        <v>8400</v>
      </c>
      <c r="CH736" s="136">
        <v>2</v>
      </c>
      <c r="CI736" s="136">
        <v>2</v>
      </c>
      <c r="CL736" s="136">
        <v>4</v>
      </c>
      <c r="CM736" s="259">
        <v>42161</v>
      </c>
      <c r="CN736" s="137" t="s">
        <v>8406</v>
      </c>
    </row>
    <row r="737" spans="1:92">
      <c r="A737" s="258">
        <v>1205</v>
      </c>
      <c r="B737" s="235">
        <v>329</v>
      </c>
      <c r="C737" s="235" t="s">
        <v>7710</v>
      </c>
      <c r="D737" s="235" t="s">
        <v>7535</v>
      </c>
      <c r="E737" s="235" t="s">
        <v>7710</v>
      </c>
      <c r="F737" s="235" t="s">
        <v>8587</v>
      </c>
      <c r="G737" s="235" t="str">
        <f t="shared" si="386"/>
        <v>Rapsodyn</v>
      </c>
      <c r="H737" s="235" t="s">
        <v>267</v>
      </c>
      <c r="I737" s="235">
        <v>1</v>
      </c>
      <c r="J737" s="235">
        <v>9092</v>
      </c>
      <c r="K737" s="235">
        <v>37</v>
      </c>
      <c r="L737" s="235">
        <f t="shared" si="385"/>
        <v>109</v>
      </c>
      <c r="M737" s="235">
        <v>5</v>
      </c>
      <c r="N737" s="235">
        <v>5</v>
      </c>
      <c r="O737" s="248">
        <v>42048</v>
      </c>
      <c r="P737" s="136">
        <v>5.92</v>
      </c>
      <c r="Q737" s="264">
        <v>42204</v>
      </c>
      <c r="V737" s="219">
        <f t="shared" si="387"/>
        <v>18.385088627053175</v>
      </c>
      <c r="X737">
        <v>15.55</v>
      </c>
      <c r="AB737" s="220">
        <f t="shared" si="388"/>
        <v>6.0459457312868468</v>
      </c>
      <c r="AD737" s="221">
        <f t="shared" si="389"/>
        <v>75115.779403189634</v>
      </c>
      <c r="AF737" s="220">
        <f t="shared" si="390"/>
        <v>35.379532098902317</v>
      </c>
      <c r="AH737" s="220">
        <f t="shared" si="391"/>
        <v>39.672047655194348</v>
      </c>
      <c r="AJ737">
        <v>4.71</v>
      </c>
      <c r="AK737" s="285" t="s">
        <v>8400</v>
      </c>
      <c r="AL737" s="260">
        <v>160</v>
      </c>
      <c r="AN737" s="235">
        <v>72</v>
      </c>
      <c r="AO737" s="242">
        <v>42076</v>
      </c>
      <c r="AP737" s="235">
        <v>104</v>
      </c>
      <c r="AQ737" s="242">
        <v>42108</v>
      </c>
      <c r="AR737" s="136">
        <v>131</v>
      </c>
      <c r="AS737" s="297">
        <f t="shared" si="392"/>
        <v>131</v>
      </c>
      <c r="AT737" s="290">
        <v>42135</v>
      </c>
      <c r="AU737" s="298"/>
      <c r="BF737" s="282">
        <v>-6.0557842254638672</v>
      </c>
      <c r="BG737" s="283">
        <v>42235</v>
      </c>
      <c r="BL737" s="296">
        <v>68.724029541015625</v>
      </c>
      <c r="BM737" s="283">
        <v>42235</v>
      </c>
      <c r="BP737" s="282">
        <v>2.9786200523376465</v>
      </c>
      <c r="BQ737" s="283">
        <v>42235</v>
      </c>
      <c r="BR737" s="282">
        <v>51.965324401855469</v>
      </c>
      <c r="BS737" s="283">
        <v>42235</v>
      </c>
      <c r="BT737" s="282">
        <v>17.088823318481445</v>
      </c>
      <c r="BU737" s="283">
        <v>42235</v>
      </c>
      <c r="BV737" s="282">
        <v>13.695315361022949</v>
      </c>
      <c r="BW737" s="283">
        <v>42235</v>
      </c>
      <c r="BX737" s="282">
        <v>5.2364120483398437</v>
      </c>
      <c r="BY737" s="283">
        <v>42235</v>
      </c>
      <c r="CB737" s="267">
        <v>4.05</v>
      </c>
      <c r="CD737" s="282">
        <v>5.1724137931034457</v>
      </c>
      <c r="CE737" s="291" t="s">
        <v>8400</v>
      </c>
      <c r="CH737" s="136">
        <v>2</v>
      </c>
      <c r="CI737" s="136">
        <v>2</v>
      </c>
      <c r="CL737" s="136">
        <v>2</v>
      </c>
      <c r="CM737" s="259">
        <v>42161</v>
      </c>
      <c r="CN737" s="137" t="s">
        <v>8406</v>
      </c>
    </row>
    <row r="738" spans="1:92">
      <c r="A738" s="258">
        <v>1206</v>
      </c>
      <c r="B738" s="235">
        <v>330</v>
      </c>
      <c r="C738" s="235" t="s">
        <v>7638</v>
      </c>
      <c r="D738" s="235" t="s">
        <v>7471</v>
      </c>
      <c r="E738" s="235" t="s">
        <v>7638</v>
      </c>
      <c r="F738" s="235" t="s">
        <v>8519</v>
      </c>
      <c r="G738" s="235" t="str">
        <f t="shared" si="386"/>
        <v>Rapsodyn</v>
      </c>
      <c r="H738" s="235" t="s">
        <v>267</v>
      </c>
      <c r="I738" s="235">
        <v>1</v>
      </c>
      <c r="J738" s="235">
        <v>9026</v>
      </c>
      <c r="K738" s="235">
        <v>38</v>
      </c>
      <c r="L738" s="235">
        <f t="shared" si="385"/>
        <v>110</v>
      </c>
      <c r="M738" s="235">
        <v>5</v>
      </c>
      <c r="N738" s="235">
        <v>5</v>
      </c>
      <c r="O738" s="248">
        <v>42048</v>
      </c>
      <c r="P738" s="136">
        <v>3.36</v>
      </c>
      <c r="Q738" s="264">
        <v>42204</v>
      </c>
      <c r="V738" s="219">
        <f t="shared" si="387"/>
        <v>8.9154482019553214</v>
      </c>
      <c r="X738">
        <v>15.55</v>
      </c>
      <c r="AB738" s="220">
        <f t="shared" si="388"/>
        <v>4.6257915735766044</v>
      </c>
      <c r="AD738" s="221">
        <f t="shared" si="389"/>
        <v>39685.460507465534</v>
      </c>
      <c r="AF738" s="220">
        <f t="shared" si="390"/>
        <v>20.041157556270093</v>
      </c>
      <c r="AH738" s="220">
        <f t="shared" si="391"/>
        <v>22.472704144729867</v>
      </c>
      <c r="AJ738">
        <v>5.05</v>
      </c>
      <c r="AK738" s="285" t="s">
        <v>8400</v>
      </c>
      <c r="AL738" s="260">
        <v>185</v>
      </c>
      <c r="AN738" s="235">
        <v>79</v>
      </c>
      <c r="AO738" s="242">
        <v>42083</v>
      </c>
      <c r="AP738" s="235">
        <v>110</v>
      </c>
      <c r="AQ738" s="242">
        <v>42114</v>
      </c>
      <c r="AR738" s="136">
        <v>141</v>
      </c>
      <c r="AS738" s="297">
        <f t="shared" si="392"/>
        <v>141</v>
      </c>
      <c r="AT738" s="290">
        <v>42145</v>
      </c>
      <c r="AU738" s="298"/>
      <c r="BF738" s="282">
        <v>-5.6254668235778809</v>
      </c>
      <c r="BG738" s="283">
        <v>42235</v>
      </c>
      <c r="BL738" s="296">
        <v>58.711181640625</v>
      </c>
      <c r="BM738" s="283">
        <v>42235</v>
      </c>
      <c r="BP738" s="282">
        <v>2.8887689113616943</v>
      </c>
      <c r="BQ738" s="283">
        <v>42235</v>
      </c>
      <c r="BR738" s="282">
        <v>44.485694885253906</v>
      </c>
      <c r="BS738" s="283">
        <v>42235</v>
      </c>
      <c r="BT738" s="282">
        <v>23.081459045410156</v>
      </c>
      <c r="BU738" s="283">
        <v>42235</v>
      </c>
      <c r="BV738" s="282">
        <v>64.431129455566406</v>
      </c>
      <c r="BW738" s="283">
        <v>42235</v>
      </c>
      <c r="BX738" s="282">
        <v>5.7146377563476562</v>
      </c>
      <c r="BY738" s="283">
        <v>42235</v>
      </c>
      <c r="CB738" s="267">
        <v>5.59</v>
      </c>
      <c r="CD738" s="282">
        <v>5.3571428571428541</v>
      </c>
      <c r="CE738" s="291" t="s">
        <v>8400</v>
      </c>
      <c r="CH738" s="136">
        <v>2</v>
      </c>
      <c r="CI738" s="136">
        <v>2</v>
      </c>
      <c r="CL738" s="136">
        <v>8</v>
      </c>
      <c r="CM738" s="259">
        <v>42161</v>
      </c>
      <c r="CN738" s="137" t="s">
        <v>8391</v>
      </c>
    </row>
    <row r="739" spans="1:92">
      <c r="A739" s="258">
        <v>1207</v>
      </c>
      <c r="B739" s="235">
        <v>331</v>
      </c>
      <c r="C739" s="235" t="s">
        <v>7702</v>
      </c>
      <c r="D739" s="235" t="s">
        <v>7528</v>
      </c>
      <c r="E739" s="235" t="s">
        <v>7702</v>
      </c>
      <c r="F739" s="235" t="s">
        <v>8465</v>
      </c>
      <c r="G739" s="235" t="str">
        <f t="shared" si="386"/>
        <v>Rapsodyn</v>
      </c>
      <c r="H739" s="235" t="s">
        <v>267</v>
      </c>
      <c r="I739" s="235">
        <v>1</v>
      </c>
      <c r="J739" s="235">
        <v>9084</v>
      </c>
      <c r="K739" s="235">
        <v>39</v>
      </c>
      <c r="L739" s="235">
        <f t="shared" si="385"/>
        <v>111</v>
      </c>
      <c r="M739" s="235">
        <v>5</v>
      </c>
      <c r="N739" s="235">
        <v>5</v>
      </c>
      <c r="O739" s="248">
        <v>42048</v>
      </c>
      <c r="P739" s="136">
        <v>5.75</v>
      </c>
      <c r="Q739" s="264">
        <v>42204</v>
      </c>
      <c r="V739" s="219">
        <f t="shared" si="387"/>
        <v>15.477327758851661</v>
      </c>
      <c r="X739">
        <v>15.55</v>
      </c>
      <c r="AB739" s="220">
        <f t="shared" si="388"/>
        <v>6.2371589767336779</v>
      </c>
      <c r="AD739" s="221">
        <f t="shared" si="389"/>
        <v>86685.815692177479</v>
      </c>
      <c r="AF739" s="220">
        <f t="shared" si="390"/>
        <v>33.113981594411797</v>
      </c>
      <c r="AH739" s="220">
        <f t="shared" si="391"/>
        <v>37.131623227642734</v>
      </c>
      <c r="AJ739">
        <v>3.82</v>
      </c>
      <c r="AK739" s="285" t="s">
        <v>8400</v>
      </c>
      <c r="AL739" s="260">
        <v>155</v>
      </c>
      <c r="AN739" s="235">
        <v>79</v>
      </c>
      <c r="AO739" s="242">
        <v>42083</v>
      </c>
      <c r="AP739" s="235">
        <v>110</v>
      </c>
      <c r="AQ739" s="242">
        <v>42114</v>
      </c>
      <c r="AR739" s="136">
        <v>134</v>
      </c>
      <c r="AS739" s="297">
        <f t="shared" si="392"/>
        <v>134</v>
      </c>
      <c r="AT739" s="290">
        <v>42138</v>
      </c>
      <c r="AU739" s="298"/>
      <c r="BF739" s="282">
        <v>-2.5969979763031006</v>
      </c>
      <c r="BG739" s="283">
        <v>42235</v>
      </c>
      <c r="BL739" s="296">
        <v>64.483779907226562</v>
      </c>
      <c r="BM739" s="283">
        <v>42235</v>
      </c>
      <c r="BP739" s="282">
        <v>4.0088939666748047</v>
      </c>
      <c r="BQ739" s="283">
        <v>42235</v>
      </c>
      <c r="BR739" s="282">
        <v>46.739555358886719</v>
      </c>
      <c r="BS739" s="283">
        <v>42235</v>
      </c>
      <c r="BT739" s="282">
        <v>18.835424423217773</v>
      </c>
      <c r="BU739" s="283">
        <v>42235</v>
      </c>
      <c r="BV739" s="282">
        <v>16.536178588867188</v>
      </c>
      <c r="BW739" s="283">
        <v>42235</v>
      </c>
      <c r="BX739" s="282">
        <v>5.6571197509765625</v>
      </c>
      <c r="BY739" s="283">
        <v>42235</v>
      </c>
      <c r="CB739" s="267">
        <v>3.95</v>
      </c>
      <c r="CD739" s="282">
        <v>8.6206896551724146</v>
      </c>
      <c r="CE739" s="291" t="s">
        <v>8400</v>
      </c>
      <c r="CH739" s="136">
        <v>1</v>
      </c>
      <c r="CI739" s="136">
        <v>3</v>
      </c>
      <c r="CL739" s="136">
        <v>5</v>
      </c>
      <c r="CM739" s="259">
        <v>42161</v>
      </c>
      <c r="CN739" s="137" t="s">
        <v>8406</v>
      </c>
    </row>
    <row r="740" spans="1:92">
      <c r="A740" s="258">
        <v>1208</v>
      </c>
      <c r="B740" s="235">
        <v>332</v>
      </c>
      <c r="C740" s="235" t="s">
        <v>7789</v>
      </c>
      <c r="D740" s="235" t="s">
        <v>7587</v>
      </c>
      <c r="E740" s="235" t="s">
        <v>7789</v>
      </c>
      <c r="F740" s="235" t="s">
        <v>8541</v>
      </c>
      <c r="G740" s="235" t="str">
        <f t="shared" si="386"/>
        <v>Rapsodyn</v>
      </c>
      <c r="H740" s="235" t="s">
        <v>267</v>
      </c>
      <c r="I740" s="235">
        <v>1</v>
      </c>
      <c r="J740" s="235">
        <v>9160</v>
      </c>
      <c r="K740" s="235">
        <v>40</v>
      </c>
      <c r="L740" s="235">
        <f t="shared" si="385"/>
        <v>112</v>
      </c>
      <c r="M740" s="235">
        <v>5</v>
      </c>
      <c r="N740" s="235">
        <v>7</v>
      </c>
      <c r="O740" s="248">
        <v>42048</v>
      </c>
      <c r="P740" s="136">
        <v>7.52</v>
      </c>
      <c r="Q740" s="264">
        <v>42204</v>
      </c>
      <c r="V740" s="219">
        <f t="shared" si="387"/>
        <v>20.793548018414526</v>
      </c>
      <c r="X740">
        <v>15.55</v>
      </c>
      <c r="AB740" s="220">
        <f t="shared" si="388"/>
        <v>7.6667687064100871</v>
      </c>
      <c r="AD740" s="221">
        <f t="shared" si="389"/>
        <v>86863.867384560275</v>
      </c>
      <c r="AF740" s="220">
        <f t="shared" si="390"/>
        <v>43.084478222741893</v>
      </c>
      <c r="AH740" s="220">
        <f t="shared" si="391"/>
        <v>48.311816800562774</v>
      </c>
      <c r="AJ740">
        <v>4.96</v>
      </c>
      <c r="AK740" s="285" t="s">
        <v>8400</v>
      </c>
      <c r="AL740" s="260">
        <v>175</v>
      </c>
      <c r="AN740" s="235">
        <v>65</v>
      </c>
      <c r="AO740" s="242">
        <v>42069</v>
      </c>
      <c r="AP740" s="235">
        <v>106</v>
      </c>
      <c r="AQ740" s="242">
        <v>42110</v>
      </c>
      <c r="AR740" s="136">
        <v>127</v>
      </c>
      <c r="AS740" s="297">
        <f t="shared" si="392"/>
        <v>127</v>
      </c>
      <c r="AT740" s="290">
        <v>42131</v>
      </c>
      <c r="AU740" s="298"/>
      <c r="BF740" s="282">
        <v>-2.7236309051513672</v>
      </c>
      <c r="BG740" s="283">
        <v>42235</v>
      </c>
      <c r="BL740" s="296">
        <v>63.666046142578125</v>
      </c>
      <c r="BM740" s="283">
        <v>42235</v>
      </c>
      <c r="BP740" s="282">
        <v>3.5811400413513184</v>
      </c>
      <c r="BQ740" s="283">
        <v>42235</v>
      </c>
      <c r="BR740" s="282">
        <v>48.262271881103516</v>
      </c>
      <c r="BS740" s="283">
        <v>42235</v>
      </c>
      <c r="BT740" s="282">
        <v>17.794734954833984</v>
      </c>
      <c r="BU740" s="283">
        <v>42235</v>
      </c>
      <c r="BV740" s="282">
        <v>12.945803642272949</v>
      </c>
      <c r="BW740" s="283">
        <v>42235</v>
      </c>
      <c r="BX740" s="282">
        <v>5.6185379028320312</v>
      </c>
      <c r="BY740" s="283">
        <v>42235</v>
      </c>
      <c r="CB740" s="267">
        <v>4.16</v>
      </c>
      <c r="CD740" s="282">
        <v>9.0909090909090917</v>
      </c>
      <c r="CE740" s="291" t="s">
        <v>8400</v>
      </c>
      <c r="CH740" s="136">
        <v>2</v>
      </c>
      <c r="CI740" s="136">
        <v>4</v>
      </c>
      <c r="CL740" s="136">
        <v>4</v>
      </c>
      <c r="CM740" s="259">
        <v>42161</v>
      </c>
      <c r="CN740" s="137" t="s">
        <v>8406</v>
      </c>
    </row>
    <row r="741" spans="1:92">
      <c r="A741" s="258">
        <v>1209</v>
      </c>
      <c r="B741" s="235">
        <v>333</v>
      </c>
      <c r="C741" s="235" t="s">
        <v>7666</v>
      </c>
      <c r="D741" s="235" t="s">
        <v>7495</v>
      </c>
      <c r="E741" s="235" t="s">
        <v>7666</v>
      </c>
      <c r="F741" s="235" t="s">
        <v>8479</v>
      </c>
      <c r="G741" s="235" t="str">
        <f t="shared" si="386"/>
        <v>Rapsodyn</v>
      </c>
      <c r="H741" s="235" t="s">
        <v>267</v>
      </c>
      <c r="I741" s="235">
        <v>1</v>
      </c>
      <c r="J741" s="235">
        <v>9049</v>
      </c>
      <c r="K741" s="235">
        <v>41</v>
      </c>
      <c r="L741" s="235">
        <f t="shared" si="385"/>
        <v>113</v>
      </c>
      <c r="M741" s="235">
        <v>5</v>
      </c>
      <c r="N741" s="235">
        <v>5</v>
      </c>
      <c r="O741" s="248">
        <v>42048</v>
      </c>
      <c r="P741" s="136">
        <v>5.94</v>
      </c>
      <c r="Q741" s="264">
        <v>42204</v>
      </c>
      <c r="V741" s="219">
        <f t="shared" si="387"/>
        <v>18.211775781564011</v>
      </c>
      <c r="X741">
        <v>15.55</v>
      </c>
      <c r="AB741" s="220">
        <f t="shared" si="388"/>
        <v>6.63820405515985</v>
      </c>
      <c r="AD741" s="221">
        <f t="shared" si="389"/>
        <v>73549.785403983682</v>
      </c>
      <c r="AF741" s="220">
        <f t="shared" si="390"/>
        <v>36.701342916587862</v>
      </c>
      <c r="AH741" s="220">
        <f t="shared" si="391"/>
        <v>41.154230675698436</v>
      </c>
      <c r="AJ741">
        <v>4.99</v>
      </c>
      <c r="AK741" s="285" t="s">
        <v>8399</v>
      </c>
      <c r="AL741" s="260">
        <v>170</v>
      </c>
      <c r="AN741" s="235">
        <v>75</v>
      </c>
      <c r="AO741" s="242">
        <v>42079</v>
      </c>
      <c r="AP741" s="235">
        <v>106</v>
      </c>
      <c r="AQ741" s="242">
        <v>42110</v>
      </c>
      <c r="AR741" s="136">
        <v>133</v>
      </c>
      <c r="AS741" s="297">
        <f t="shared" si="392"/>
        <v>133</v>
      </c>
      <c r="AT741" s="290">
        <v>42137</v>
      </c>
      <c r="AU741" s="298"/>
      <c r="BF741" s="282">
        <v>0.29884499311447144</v>
      </c>
      <c r="BG741" s="283">
        <v>42235</v>
      </c>
      <c r="BL741" s="296">
        <v>64.806716918945313</v>
      </c>
      <c r="BM741" s="283">
        <v>42235</v>
      </c>
      <c r="BP741" s="282">
        <v>2.7418808937072754</v>
      </c>
      <c r="BQ741" s="283">
        <v>42235</v>
      </c>
      <c r="BR741" s="282">
        <v>49.621551513671875</v>
      </c>
      <c r="BS741" s="283">
        <v>42235</v>
      </c>
      <c r="BT741" s="282">
        <v>18.087087631225586</v>
      </c>
      <c r="BU741" s="283">
        <v>42235</v>
      </c>
      <c r="BV741" s="282">
        <v>15.976714134216309</v>
      </c>
      <c r="BW741" s="283">
        <v>42235</v>
      </c>
      <c r="BX741" s="282">
        <v>5.273101806640625</v>
      </c>
      <c r="BY741" s="283">
        <v>42235</v>
      </c>
      <c r="CB741" s="267">
        <v>3.7</v>
      </c>
      <c r="CD741" s="282">
        <v>1.9607843137254832</v>
      </c>
      <c r="CE741" s="291" t="s">
        <v>8399</v>
      </c>
      <c r="CH741" s="136">
        <v>2</v>
      </c>
      <c r="CI741" s="136">
        <v>3</v>
      </c>
      <c r="CL741" s="136">
        <v>3</v>
      </c>
      <c r="CM741" s="259">
        <v>42161</v>
      </c>
      <c r="CN741" s="137" t="s">
        <v>8406</v>
      </c>
    </row>
    <row r="742" spans="1:92">
      <c r="A742" s="258">
        <v>1211</v>
      </c>
      <c r="B742" s="235">
        <v>335</v>
      </c>
      <c r="C742" s="235" t="s">
        <v>7626</v>
      </c>
      <c r="D742" s="235" t="s">
        <v>7460</v>
      </c>
      <c r="E742" s="235" t="s">
        <v>7626</v>
      </c>
      <c r="F742" s="235" t="s">
        <v>8484</v>
      </c>
      <c r="G742" s="235" t="str">
        <f t="shared" si="386"/>
        <v>Rapsodyn</v>
      </c>
      <c r="H742" s="235" t="s">
        <v>267</v>
      </c>
      <c r="I742" s="235">
        <v>1</v>
      </c>
      <c r="J742" s="235">
        <v>9018</v>
      </c>
      <c r="K742" s="235">
        <v>43</v>
      </c>
      <c r="L742" s="235">
        <f t="shared" si="385"/>
        <v>115</v>
      </c>
      <c r="M742" s="235">
        <v>5</v>
      </c>
      <c r="N742" s="235">
        <v>7</v>
      </c>
      <c r="O742" s="248">
        <v>42048</v>
      </c>
      <c r="P742" s="136">
        <v>4.5999999999999996</v>
      </c>
      <c r="Q742" s="264">
        <v>42204</v>
      </c>
      <c r="V742" s="219">
        <f t="shared" si="387"/>
        <v>12.707301466812332</v>
      </c>
      <c r="X742">
        <v>15.55</v>
      </c>
      <c r="AB742" s="220">
        <f t="shared" si="388"/>
        <v>5.4612364542109813</v>
      </c>
      <c r="AD742" s="221">
        <f t="shared" si="389"/>
        <v>54724.594049550156</v>
      </c>
      <c r="AF742" s="220">
        <f t="shared" si="390"/>
        <v>26.760326490230025</v>
      </c>
      <c r="AH742" s="220">
        <f t="shared" si="391"/>
        <v>30.00709406843465</v>
      </c>
      <c r="AJ742">
        <v>4.8899999999999997</v>
      </c>
      <c r="AK742" s="285" t="s">
        <v>8399</v>
      </c>
      <c r="AL742" s="260">
        <v>160</v>
      </c>
      <c r="AN742" s="235">
        <v>75</v>
      </c>
      <c r="AO742" s="242">
        <v>42079</v>
      </c>
      <c r="AP742" s="235">
        <v>106</v>
      </c>
      <c r="AQ742" s="242">
        <v>42110</v>
      </c>
      <c r="AR742" s="136">
        <v>133</v>
      </c>
      <c r="AS742" s="297">
        <f t="shared" si="392"/>
        <v>133</v>
      </c>
      <c r="AT742" s="290">
        <v>42137</v>
      </c>
      <c r="AU742" s="298"/>
      <c r="BF742" s="282">
        <v>-1.27913498878479</v>
      </c>
      <c r="BG742" s="283">
        <v>42235</v>
      </c>
      <c r="BL742" s="296">
        <v>64.630508422851563</v>
      </c>
      <c r="BM742" s="283">
        <v>42235</v>
      </c>
      <c r="BP742" s="282">
        <v>2.9568789005279541</v>
      </c>
      <c r="BQ742" s="283">
        <v>42235</v>
      </c>
      <c r="BR742" s="282">
        <v>47.485599517822266</v>
      </c>
      <c r="BS742" s="283">
        <v>42235</v>
      </c>
      <c r="BT742" s="282">
        <v>20.407958984375</v>
      </c>
      <c r="BU742" s="283">
        <v>42235</v>
      </c>
      <c r="BV742" s="282">
        <v>48.668243408203125</v>
      </c>
      <c r="BW742" s="283">
        <v>42235</v>
      </c>
      <c r="BX742" s="282">
        <v>5.713134765625</v>
      </c>
      <c r="BY742" s="283">
        <v>42235</v>
      </c>
      <c r="CB742" s="267">
        <v>4</v>
      </c>
      <c r="CD742" s="282">
        <v>7.6923076923076987</v>
      </c>
      <c r="CE742" s="291" t="s">
        <v>8399</v>
      </c>
      <c r="CH742" s="136">
        <v>2</v>
      </c>
      <c r="CI742" s="136">
        <v>2</v>
      </c>
      <c r="CL742" s="136">
        <v>4</v>
      </c>
      <c r="CM742" s="259">
        <v>42161</v>
      </c>
      <c r="CN742" s="137" t="s">
        <v>8406</v>
      </c>
    </row>
    <row r="743" spans="1:92">
      <c r="A743" s="258">
        <v>1215</v>
      </c>
      <c r="B743" s="235">
        <v>339</v>
      </c>
      <c r="C743" s="235" t="s">
        <v>7741</v>
      </c>
      <c r="D743" s="235" t="s">
        <v>8416</v>
      </c>
      <c r="E743" s="235" t="s">
        <v>7741</v>
      </c>
      <c r="F743" s="235" t="s">
        <v>8623</v>
      </c>
      <c r="G743" s="235" t="str">
        <f t="shared" si="386"/>
        <v>Rapsodyn</v>
      </c>
      <c r="H743" s="235" t="s">
        <v>267</v>
      </c>
      <c r="I743" s="235">
        <v>1</v>
      </c>
      <c r="J743" s="235">
        <v>9120</v>
      </c>
      <c r="K743" s="235">
        <v>47</v>
      </c>
      <c r="L743" s="235">
        <f t="shared" si="385"/>
        <v>119</v>
      </c>
      <c r="M743" s="235">
        <v>5</v>
      </c>
      <c r="N743" s="235">
        <v>7</v>
      </c>
      <c r="O743" s="248">
        <v>42048</v>
      </c>
      <c r="P743" s="136">
        <v>3.6</v>
      </c>
      <c r="Q743" s="264">
        <v>42204</v>
      </c>
      <c r="V743" s="219">
        <f t="shared" si="387"/>
        <v>10.124488489008055</v>
      </c>
      <c r="X743">
        <v>15.55</v>
      </c>
      <c r="AB743" s="220">
        <f t="shared" si="388"/>
        <v>4.7490473701728027</v>
      </c>
      <c r="AD743" s="221">
        <f t="shared" si="389"/>
        <v>42775.457944741094</v>
      </c>
      <c r="AF743" s="220">
        <f t="shared" si="390"/>
        <v>21.815483551817955</v>
      </c>
      <c r="AH743" s="220">
        <f t="shared" si="391"/>
        <v>24.462304947093472</v>
      </c>
      <c r="AJ743">
        <v>5.0999999999999996</v>
      </c>
      <c r="AK743" s="285" t="s">
        <v>8399</v>
      </c>
      <c r="AL743" s="260">
        <v>155</v>
      </c>
      <c r="AN743" s="235">
        <v>72</v>
      </c>
      <c r="AO743" s="242">
        <v>42076</v>
      </c>
      <c r="AP743" s="235">
        <v>104</v>
      </c>
      <c r="AQ743" s="242">
        <v>42108</v>
      </c>
      <c r="AR743" s="136">
        <v>127</v>
      </c>
      <c r="AS743" s="297">
        <f t="shared" si="392"/>
        <v>127</v>
      </c>
      <c r="AT743" s="290">
        <v>42131</v>
      </c>
      <c r="AU743" s="298"/>
      <c r="BF743" s="282">
        <v>36.516578674316406</v>
      </c>
      <c r="BG743" s="283">
        <v>42234</v>
      </c>
      <c r="BL743" s="296">
        <v>59.160514831542969</v>
      </c>
      <c r="BM743" s="283">
        <v>42234</v>
      </c>
      <c r="BP743" s="282">
        <v>3.112555980682373</v>
      </c>
      <c r="BQ743" s="283">
        <v>42234</v>
      </c>
      <c r="BR743" s="282">
        <v>46.409645080566406</v>
      </c>
      <c r="BS743" s="283">
        <v>42234</v>
      </c>
      <c r="BT743" s="282">
        <v>21.769159317016602</v>
      </c>
      <c r="BU743" s="283">
        <v>42234</v>
      </c>
      <c r="BV743" s="282">
        <v>82.240814208984375</v>
      </c>
      <c r="BW743" s="283">
        <v>42234</v>
      </c>
      <c r="BX743" s="282">
        <v>5.6575164794921875</v>
      </c>
      <c r="BY743" s="283">
        <v>42234</v>
      </c>
      <c r="CB743" s="267">
        <v>4.42</v>
      </c>
      <c r="CD743" s="282">
        <v>3.8461538461538494</v>
      </c>
      <c r="CE743" s="291" t="s">
        <v>8399</v>
      </c>
      <c r="CH743" s="136">
        <v>3</v>
      </c>
      <c r="CI743" s="136">
        <v>2</v>
      </c>
      <c r="CL743" s="136">
        <v>5</v>
      </c>
      <c r="CM743" s="259">
        <v>42161</v>
      </c>
      <c r="CN743" s="137" t="s">
        <v>8406</v>
      </c>
    </row>
    <row r="744" spans="1:92">
      <c r="A744" s="258">
        <v>1216</v>
      </c>
      <c r="B744" s="235">
        <v>340</v>
      </c>
      <c r="C744" s="235" t="s">
        <v>7609</v>
      </c>
      <c r="D744" s="235" t="s">
        <v>7448</v>
      </c>
      <c r="E744" s="235" t="s">
        <v>7609</v>
      </c>
      <c r="F744" s="235" t="s">
        <v>8513</v>
      </c>
      <c r="G744" s="235" t="str">
        <f t="shared" si="386"/>
        <v>Rapsodyn</v>
      </c>
      <c r="H744" s="235" t="s">
        <v>267</v>
      </c>
      <c r="I744" s="235">
        <v>1</v>
      </c>
      <c r="J744" s="235">
        <v>9004</v>
      </c>
      <c r="K744" s="235">
        <v>48</v>
      </c>
      <c r="L744" s="235">
        <f t="shared" si="385"/>
        <v>120</v>
      </c>
      <c r="M744" s="235">
        <v>5</v>
      </c>
      <c r="N744" s="235">
        <v>9</v>
      </c>
      <c r="O744" s="248">
        <v>42048</v>
      </c>
      <c r="P744" s="136">
        <v>2.85</v>
      </c>
      <c r="Q744" s="264">
        <v>42204</v>
      </c>
      <c r="V744" s="219">
        <f t="shared" si="387"/>
        <v>7.8782285790133244</v>
      </c>
      <c r="X744">
        <v>15.55</v>
      </c>
      <c r="AB744" s="220">
        <f t="shared" si="388"/>
        <v>3.8205888361509803</v>
      </c>
      <c r="AD744" s="221">
        <f t="shared" si="389"/>
        <v>35408.324942019739</v>
      </c>
      <c r="AF744" s="220">
        <f t="shared" si="390"/>
        <v>16.925179322285434</v>
      </c>
      <c r="AH744" s="220">
        <f t="shared" si="391"/>
        <v>18.978671588120022</v>
      </c>
      <c r="AJ744">
        <v>4.78</v>
      </c>
      <c r="AK744" s="285" t="s">
        <v>8399</v>
      </c>
      <c r="AL744" s="260">
        <v>165</v>
      </c>
      <c r="AN744" s="235">
        <v>70</v>
      </c>
      <c r="AO744" s="242">
        <v>42074</v>
      </c>
      <c r="AP744" s="235">
        <v>106</v>
      </c>
      <c r="AQ744" s="242">
        <v>42110</v>
      </c>
      <c r="AR744" s="136">
        <v>143</v>
      </c>
      <c r="AS744" s="297">
        <f t="shared" si="392"/>
        <v>143</v>
      </c>
      <c r="AT744" s="290">
        <v>42147</v>
      </c>
      <c r="AU744" s="298"/>
      <c r="BF744" s="282">
        <v>40.769561767578125</v>
      </c>
      <c r="BG744" s="283">
        <v>42234</v>
      </c>
      <c r="BL744" s="296">
        <v>59.655616760253906</v>
      </c>
      <c r="BM744" s="283">
        <v>42234</v>
      </c>
      <c r="BP744" s="282">
        <v>3.2027668952941895</v>
      </c>
      <c r="BQ744" s="283">
        <v>42234</v>
      </c>
      <c r="BR744" s="282">
        <v>46.547386169433594</v>
      </c>
      <c r="BS744" s="283">
        <v>42234</v>
      </c>
      <c r="BT744" s="282">
        <v>22.573402404785156</v>
      </c>
      <c r="BU744" s="283">
        <v>42234</v>
      </c>
      <c r="BV744" s="282">
        <v>82.051284790039062</v>
      </c>
      <c r="BW744" s="283">
        <v>42234</v>
      </c>
      <c r="BX744" s="282">
        <v>5.6760482788085938</v>
      </c>
      <c r="BY744" s="283">
        <v>42234</v>
      </c>
      <c r="CB744" s="267">
        <v>5.6</v>
      </c>
      <c r="CD744" s="282">
        <v>5.7692307692307656</v>
      </c>
      <c r="CE744" s="291" t="s">
        <v>8399</v>
      </c>
      <c r="CH744" s="136">
        <v>3</v>
      </c>
      <c r="CI744" s="136">
        <v>2</v>
      </c>
      <c r="CL744" s="136">
        <v>4</v>
      </c>
      <c r="CM744" s="259">
        <v>42161</v>
      </c>
      <c r="CN744" s="137" t="s">
        <v>8406</v>
      </c>
    </row>
    <row r="745" spans="1:92">
      <c r="A745" s="258">
        <v>1219</v>
      </c>
      <c r="B745" s="235">
        <v>343</v>
      </c>
      <c r="C745" s="235" t="s">
        <v>7576</v>
      </c>
      <c r="D745" s="235"/>
      <c r="E745" s="235"/>
      <c r="F745" s="235"/>
      <c r="G745" s="235"/>
      <c r="H745" s="235" t="s">
        <v>267</v>
      </c>
      <c r="I745" s="235">
        <v>1</v>
      </c>
      <c r="K745" s="235">
        <v>51</v>
      </c>
      <c r="L745" s="235">
        <f t="shared" si="385"/>
        <v>123</v>
      </c>
      <c r="M745" s="235">
        <v>5</v>
      </c>
      <c r="O745" s="248">
        <v>42048</v>
      </c>
      <c r="V745" s="219"/>
      <c r="X745">
        <v>15.55</v>
      </c>
      <c r="AB745" s="220"/>
      <c r="AD745" s="221"/>
      <c r="AF745" s="220"/>
      <c r="AH745" s="220"/>
      <c r="AJ745" s="286"/>
      <c r="AK745" s="285"/>
      <c r="AL745" s="260"/>
      <c r="AN745" s="235">
        <v>70</v>
      </c>
      <c r="AO745" s="242">
        <v>42074</v>
      </c>
      <c r="AP745" s="235">
        <v>106</v>
      </c>
      <c r="AQ745" s="242">
        <v>42110</v>
      </c>
      <c r="AS745" s="297"/>
      <c r="AT745" s="290"/>
      <c r="AU745" s="298"/>
      <c r="BF745" s="282"/>
      <c r="BG745" s="235"/>
      <c r="BL745" s="296"/>
      <c r="BM745" s="235"/>
      <c r="BP745" s="282"/>
      <c r="BQ745" s="235"/>
      <c r="BR745" s="282"/>
      <c r="BS745" s="235"/>
      <c r="BT745" s="282"/>
      <c r="BU745" s="235"/>
      <c r="BV745" s="282"/>
      <c r="BW745" s="235"/>
      <c r="BX745" s="282"/>
      <c r="BY745" s="235"/>
      <c r="CB745" s="267"/>
      <c r="CD745" s="282"/>
      <c r="CE745" s="291"/>
      <c r="CL745" s="136">
        <v>3</v>
      </c>
      <c r="CM745" s="259">
        <v>42161</v>
      </c>
    </row>
    <row r="746" spans="1:92">
      <c r="A746" s="258">
        <v>1220</v>
      </c>
      <c r="B746" s="235">
        <v>344</v>
      </c>
      <c r="C746" s="235" t="s">
        <v>7576</v>
      </c>
      <c r="D746" s="235"/>
      <c r="E746" s="235"/>
      <c r="F746" s="235"/>
      <c r="G746" s="235"/>
      <c r="H746" s="235" t="s">
        <v>267</v>
      </c>
      <c r="I746" s="235">
        <v>1</v>
      </c>
      <c r="K746" s="235">
        <v>52</v>
      </c>
      <c r="L746" s="235">
        <f t="shared" si="385"/>
        <v>124</v>
      </c>
      <c r="M746" s="235">
        <v>5</v>
      </c>
      <c r="O746" s="248">
        <v>42048</v>
      </c>
      <c r="V746" s="219"/>
      <c r="X746">
        <v>15.55</v>
      </c>
      <c r="AB746" s="220"/>
      <c r="AD746" s="221"/>
      <c r="AF746" s="220"/>
      <c r="AH746" s="220"/>
      <c r="AJ746" s="286"/>
      <c r="AK746" s="285"/>
      <c r="AL746" s="260"/>
      <c r="AN746" s="235">
        <v>70</v>
      </c>
      <c r="AO746" s="242">
        <v>42074</v>
      </c>
      <c r="AP746" s="235">
        <v>106</v>
      </c>
      <c r="AQ746" s="242">
        <v>42110</v>
      </c>
      <c r="AS746" s="297"/>
      <c r="AT746" s="290"/>
      <c r="AU746" s="298"/>
      <c r="BF746" s="282"/>
      <c r="BG746" s="235"/>
      <c r="BL746" s="296"/>
      <c r="BM746" s="235"/>
      <c r="BP746" s="282"/>
      <c r="BQ746" s="235"/>
      <c r="BR746" s="282"/>
      <c r="BS746" s="235"/>
      <c r="BT746" s="282"/>
      <c r="BU746" s="235"/>
      <c r="BV746" s="282"/>
      <c r="BW746" s="235"/>
      <c r="BX746" s="282"/>
      <c r="BY746" s="235"/>
      <c r="CB746" s="267"/>
      <c r="CD746" s="282"/>
      <c r="CE746" s="291"/>
      <c r="CL746" s="136">
        <v>3</v>
      </c>
      <c r="CM746" s="259">
        <v>42161</v>
      </c>
    </row>
    <row r="747" spans="1:92">
      <c r="A747" s="258">
        <v>1223</v>
      </c>
      <c r="B747" s="235">
        <v>347</v>
      </c>
      <c r="C747" s="235" t="s">
        <v>7775</v>
      </c>
      <c r="D747" s="235" t="s">
        <v>7573</v>
      </c>
      <c r="E747" s="235" t="s">
        <v>7775</v>
      </c>
      <c r="F747" s="235" t="s">
        <v>8571</v>
      </c>
      <c r="G747" s="235" t="str">
        <f t="shared" ref="G747:G754" si="393">IF(MID(C747,1,3)="BGA","Complement","Rapsodyn")</f>
        <v>Rapsodyn</v>
      </c>
      <c r="H747" s="235" t="s">
        <v>267</v>
      </c>
      <c r="I747" s="235">
        <v>1</v>
      </c>
      <c r="J747" s="235">
        <v>9146</v>
      </c>
      <c r="K747" s="235">
        <v>55</v>
      </c>
      <c r="L747" s="235">
        <f t="shared" si="385"/>
        <v>127</v>
      </c>
      <c r="M747" s="235">
        <v>5</v>
      </c>
      <c r="N747" s="235">
        <v>7</v>
      </c>
      <c r="O747" s="248">
        <v>42048</v>
      </c>
      <c r="P747" s="136">
        <v>6.72</v>
      </c>
      <c r="Q747" s="264">
        <v>42204</v>
      </c>
      <c r="V747" s="219">
        <f t="shared" ref="V747:V754" si="394">+BR747*AF747/100</f>
        <v>19.885682887204094</v>
      </c>
      <c r="X747">
        <v>15.55</v>
      </c>
      <c r="AB747" s="220">
        <f t="shared" ref="AB747:AB754" si="395">+AF747*BT747/100</f>
        <v>7.7496837451251848</v>
      </c>
      <c r="AD747" s="221">
        <f t="shared" ref="AD747:AD754" si="396">+(AF747/AJ747)*10000</f>
        <v>90562.154947521674</v>
      </c>
      <c r="AF747" s="220">
        <f t="shared" ref="AF747:AF754" si="397">($P747/$X747)*(((100-$CD747)/100*(100-2)/100))*100</f>
        <v>40.752969726384755</v>
      </c>
      <c r="AH747" s="220">
        <f t="shared" ref="AH747:AH754" si="398">($P747/$X747)*(((100-$CD747)/(100-9)*(100-2)/(100-2))*100)</f>
        <v>45.697431852864717</v>
      </c>
      <c r="AJ747">
        <v>4.5</v>
      </c>
      <c r="AK747" s="285" t="s">
        <v>8399</v>
      </c>
      <c r="AL747" s="260">
        <v>165</v>
      </c>
      <c r="AN747" s="235">
        <v>75</v>
      </c>
      <c r="AO747" s="242">
        <v>42079</v>
      </c>
      <c r="AP747" s="235">
        <v>104</v>
      </c>
      <c r="AQ747" s="249">
        <v>42108</v>
      </c>
      <c r="AR747" s="136">
        <v>133</v>
      </c>
      <c r="AS747" s="297">
        <f t="shared" ref="AS747:AS754" si="399">IF(AR747=0,,AR747)</f>
        <v>133</v>
      </c>
      <c r="AT747" s="290">
        <v>42137</v>
      </c>
      <c r="AU747" s="298"/>
      <c r="BF747" s="282">
        <v>-5.5842380523681641</v>
      </c>
      <c r="BG747" s="283">
        <v>42234</v>
      </c>
      <c r="BL747" s="296">
        <v>63.347270965576172</v>
      </c>
      <c r="BM747" s="283">
        <v>42234</v>
      </c>
      <c r="BP747" s="282">
        <v>3.5728499889373779</v>
      </c>
      <c r="BQ747" s="283">
        <v>42234</v>
      </c>
      <c r="BR747" s="282">
        <v>48.795665740966797</v>
      </c>
      <c r="BS747" s="283">
        <v>42234</v>
      </c>
      <c r="BT747" s="282">
        <v>19.016242980957031</v>
      </c>
      <c r="BU747" s="283">
        <v>42234</v>
      </c>
      <c r="BV747" s="282">
        <v>13.564963340759277</v>
      </c>
      <c r="BW747" s="283">
        <v>42234</v>
      </c>
      <c r="BX747" s="282">
        <v>5.3125457763671875</v>
      </c>
      <c r="BY747" s="283">
        <v>42234</v>
      </c>
      <c r="CB747" s="267">
        <v>3.98</v>
      </c>
      <c r="CD747" s="282">
        <v>3.7735849056603805</v>
      </c>
      <c r="CE747" s="291" t="s">
        <v>8399</v>
      </c>
      <c r="CH747" s="136">
        <v>1</v>
      </c>
      <c r="CI747" s="136">
        <v>3</v>
      </c>
      <c r="CL747" s="136">
        <v>1</v>
      </c>
      <c r="CM747" s="259">
        <v>42161</v>
      </c>
      <c r="CN747" s="137" t="s">
        <v>8406</v>
      </c>
    </row>
    <row r="748" spans="1:92">
      <c r="A748" s="258">
        <v>1229</v>
      </c>
      <c r="B748" s="235">
        <v>353</v>
      </c>
      <c r="C748" s="235" t="s">
        <v>7719</v>
      </c>
      <c r="D748" s="235" t="s">
        <v>7543</v>
      </c>
      <c r="E748" s="235" t="s">
        <v>7719</v>
      </c>
      <c r="F748" s="235" t="s">
        <v>8518</v>
      </c>
      <c r="G748" s="235" t="str">
        <f t="shared" si="393"/>
        <v>Rapsodyn</v>
      </c>
      <c r="H748" s="235" t="s">
        <v>267</v>
      </c>
      <c r="I748" s="235">
        <v>1</v>
      </c>
      <c r="J748" s="235">
        <v>9101</v>
      </c>
      <c r="K748" s="235">
        <v>61</v>
      </c>
      <c r="L748" s="235">
        <f t="shared" si="385"/>
        <v>133</v>
      </c>
      <c r="M748" s="235">
        <v>5</v>
      </c>
      <c r="N748" s="236">
        <v>9</v>
      </c>
      <c r="O748" s="248">
        <v>42048</v>
      </c>
      <c r="P748" s="136">
        <v>6.9</v>
      </c>
      <c r="Q748" s="264">
        <v>42204</v>
      </c>
      <c r="V748" s="219">
        <f t="shared" si="394"/>
        <v>19.590804801199557</v>
      </c>
      <c r="X748">
        <v>15.55</v>
      </c>
      <c r="AB748" s="220">
        <f t="shared" si="395"/>
        <v>7.3119123640044315</v>
      </c>
      <c r="AD748" s="221">
        <f t="shared" si="396"/>
        <v>93836.479129955595</v>
      </c>
      <c r="AF748" s="220">
        <f t="shared" si="397"/>
        <v>40.537358984140823</v>
      </c>
      <c r="AH748" s="220">
        <f t="shared" si="398"/>
        <v>45.455661565531308</v>
      </c>
      <c r="AJ748">
        <v>4.32</v>
      </c>
      <c r="AK748" s="285" t="s">
        <v>8402</v>
      </c>
      <c r="AL748" s="260">
        <v>155</v>
      </c>
      <c r="AN748" s="235">
        <v>72</v>
      </c>
      <c r="AO748" s="242">
        <v>42076</v>
      </c>
      <c r="AP748" s="235">
        <v>104</v>
      </c>
      <c r="AQ748" s="242">
        <v>42108</v>
      </c>
      <c r="AR748" s="136">
        <v>133</v>
      </c>
      <c r="AS748" s="297">
        <f t="shared" si="399"/>
        <v>133</v>
      </c>
      <c r="AT748" s="290">
        <v>42137</v>
      </c>
      <c r="AU748" s="298"/>
      <c r="BF748" s="282">
        <v>-3.6959969997406006</v>
      </c>
      <c r="BG748" s="283">
        <v>42234</v>
      </c>
      <c r="BL748" s="296">
        <v>64.782073974609375</v>
      </c>
      <c r="BM748" s="283">
        <v>42234</v>
      </c>
      <c r="BP748" s="282">
        <v>3.5523231029510498</v>
      </c>
      <c r="BQ748" s="283">
        <v>42234</v>
      </c>
      <c r="BR748" s="282">
        <v>48.327777862548828</v>
      </c>
      <c r="BS748" s="283">
        <v>42234</v>
      </c>
      <c r="BT748" s="282">
        <v>18.037466049194336</v>
      </c>
      <c r="BU748" s="283">
        <v>42234</v>
      </c>
      <c r="BV748" s="282">
        <v>12.400169372558594</v>
      </c>
      <c r="BW748" s="283">
        <v>42234</v>
      </c>
      <c r="BX748" s="282">
        <v>5.3742828369140625</v>
      </c>
      <c r="BY748" s="283">
        <v>42234</v>
      </c>
      <c r="CB748" s="267">
        <v>2.68</v>
      </c>
      <c r="CD748" s="282">
        <v>6.7796610169491585</v>
      </c>
      <c r="CE748" s="291" t="s">
        <v>8402</v>
      </c>
      <c r="CH748" s="136">
        <v>2</v>
      </c>
      <c r="CI748" s="136">
        <v>5</v>
      </c>
      <c r="CL748" s="136">
        <v>3</v>
      </c>
      <c r="CM748" s="259">
        <v>42161</v>
      </c>
      <c r="CN748" s="137" t="s">
        <v>8406</v>
      </c>
    </row>
    <row r="749" spans="1:92">
      <c r="A749" s="258">
        <v>1230</v>
      </c>
      <c r="B749" s="235">
        <v>354</v>
      </c>
      <c r="C749" s="235" t="s">
        <v>7780</v>
      </c>
      <c r="D749" s="235" t="s">
        <v>7578</v>
      </c>
      <c r="E749" s="235" t="s">
        <v>7780</v>
      </c>
      <c r="F749" s="235" t="s">
        <v>8551</v>
      </c>
      <c r="G749" s="235" t="str">
        <f t="shared" si="393"/>
        <v>Rapsodyn</v>
      </c>
      <c r="H749" s="235" t="s">
        <v>267</v>
      </c>
      <c r="I749" s="235">
        <v>1</v>
      </c>
      <c r="J749" s="235">
        <v>9151</v>
      </c>
      <c r="K749" s="235">
        <v>62</v>
      </c>
      <c r="L749" s="235">
        <f t="shared" si="385"/>
        <v>134</v>
      </c>
      <c r="M749" s="235">
        <v>5</v>
      </c>
      <c r="N749" s="235">
        <v>7</v>
      </c>
      <c r="O749" s="248">
        <v>42048</v>
      </c>
      <c r="P749" s="136">
        <v>6.08</v>
      </c>
      <c r="Q749" s="264">
        <v>42204</v>
      </c>
      <c r="V749" s="219">
        <f t="shared" si="394"/>
        <v>17.9039306411516</v>
      </c>
      <c r="X749">
        <v>15.55</v>
      </c>
      <c r="AB749" s="220">
        <f t="shared" si="395"/>
        <v>7.0401085570693036</v>
      </c>
      <c r="AD749" s="221">
        <f t="shared" si="396"/>
        <v>80214.155158933572</v>
      </c>
      <c r="AF749" s="220">
        <f t="shared" si="397"/>
        <v>36.898511373109443</v>
      </c>
      <c r="AH749" s="220">
        <f t="shared" si="398"/>
        <v>41.37532111808639</v>
      </c>
      <c r="AJ749">
        <v>4.5999999999999996</v>
      </c>
      <c r="AK749" s="285" t="s">
        <v>8402</v>
      </c>
      <c r="AL749" s="260">
        <v>160</v>
      </c>
      <c r="AN749" s="235">
        <v>72</v>
      </c>
      <c r="AO749" s="242">
        <v>42076</v>
      </c>
      <c r="AP749" s="235">
        <v>104</v>
      </c>
      <c r="AQ749" s="242">
        <v>42108</v>
      </c>
      <c r="AR749" s="136">
        <v>131</v>
      </c>
      <c r="AS749" s="297">
        <f t="shared" si="399"/>
        <v>131</v>
      </c>
      <c r="AT749" s="290">
        <v>42135</v>
      </c>
      <c r="AU749" s="298"/>
      <c r="BF749" s="282">
        <v>-1.0401420593261719</v>
      </c>
      <c r="BG749" s="283">
        <v>42234</v>
      </c>
      <c r="BL749" s="296">
        <v>66.881675720214844</v>
      </c>
      <c r="BM749" s="283">
        <v>42234</v>
      </c>
      <c r="BP749" s="282">
        <v>3.5454649925231934</v>
      </c>
      <c r="BQ749" s="283">
        <v>42234</v>
      </c>
      <c r="BR749" s="282">
        <v>48.5220947265625</v>
      </c>
      <c r="BS749" s="283">
        <v>42234</v>
      </c>
      <c r="BT749" s="282">
        <v>19.079654693603516</v>
      </c>
      <c r="BU749" s="283">
        <v>42234</v>
      </c>
      <c r="BV749" s="282">
        <v>12.35203742980957</v>
      </c>
      <c r="BW749" s="283">
        <v>42234</v>
      </c>
      <c r="BX749" s="282">
        <v>5.4282379150390625</v>
      </c>
      <c r="BY749" s="283">
        <v>42234</v>
      </c>
      <c r="CB749" s="267">
        <v>4</v>
      </c>
      <c r="CD749" s="282">
        <v>3.7037037037037068</v>
      </c>
      <c r="CE749" s="291" t="s">
        <v>8402</v>
      </c>
      <c r="CH749" s="136">
        <v>1</v>
      </c>
      <c r="CI749" s="136">
        <v>3</v>
      </c>
      <c r="CL749" s="136">
        <v>1</v>
      </c>
      <c r="CM749" s="259">
        <v>42161</v>
      </c>
      <c r="CN749" s="137" t="s">
        <v>8406</v>
      </c>
    </row>
    <row r="750" spans="1:92">
      <c r="A750" s="258">
        <v>1231</v>
      </c>
      <c r="B750" s="235">
        <v>355</v>
      </c>
      <c r="C750" s="235" t="s">
        <v>7644</v>
      </c>
      <c r="D750" s="235" t="s">
        <v>7476</v>
      </c>
      <c r="E750" s="235" t="s">
        <v>7644</v>
      </c>
      <c r="F750" s="235" t="s">
        <v>8620</v>
      </c>
      <c r="G750" s="235" t="str">
        <f t="shared" si="393"/>
        <v>Rapsodyn</v>
      </c>
      <c r="H750" s="235" t="s">
        <v>267</v>
      </c>
      <c r="I750" s="235">
        <v>1</v>
      </c>
      <c r="J750" s="235">
        <v>9032</v>
      </c>
      <c r="K750" s="235">
        <v>63</v>
      </c>
      <c r="L750" s="235">
        <f t="shared" si="385"/>
        <v>135</v>
      </c>
      <c r="M750" s="235">
        <v>5</v>
      </c>
      <c r="N750" s="235">
        <v>7</v>
      </c>
      <c r="O750" s="248">
        <v>42048</v>
      </c>
      <c r="P750" s="136">
        <v>4.66</v>
      </c>
      <c r="Q750" s="264">
        <v>42204</v>
      </c>
      <c r="V750" s="219">
        <f t="shared" si="394"/>
        <v>12.132258948042937</v>
      </c>
      <c r="X750">
        <v>15.55</v>
      </c>
      <c r="AB750" s="220">
        <f t="shared" si="395"/>
        <v>5.9047349020754165</v>
      </c>
      <c r="AD750" s="221">
        <f t="shared" si="396"/>
        <v>53500.137144543587</v>
      </c>
      <c r="AF750" s="220">
        <f t="shared" si="397"/>
        <v>27.766571178018122</v>
      </c>
      <c r="AH750" s="220">
        <f t="shared" si="398"/>
        <v>31.135424061469084</v>
      </c>
      <c r="AJ750">
        <v>5.19</v>
      </c>
      <c r="AK750" s="285" t="s">
        <v>8401</v>
      </c>
      <c r="AL750" s="260">
        <v>175</v>
      </c>
      <c r="AN750" s="235">
        <v>70</v>
      </c>
      <c r="AO750" s="242">
        <v>42074</v>
      </c>
      <c r="AP750" s="235">
        <v>106</v>
      </c>
      <c r="AQ750" s="242">
        <v>42110</v>
      </c>
      <c r="AR750" s="136">
        <v>132</v>
      </c>
      <c r="AS750" s="297">
        <f t="shared" si="399"/>
        <v>132</v>
      </c>
      <c r="AT750" s="290">
        <v>42136</v>
      </c>
      <c r="AU750" s="298"/>
      <c r="BF750" s="282">
        <v>-5.9029498100280762</v>
      </c>
      <c r="BG750" s="283">
        <v>42234</v>
      </c>
      <c r="BL750" s="296">
        <v>56.118141174316406</v>
      </c>
      <c r="BM750" s="283">
        <v>42234</v>
      </c>
      <c r="BP750" s="282">
        <v>3.9450280666351318</v>
      </c>
      <c r="BQ750" s="283">
        <v>42234</v>
      </c>
      <c r="BR750" s="282">
        <v>43.693759918212891</v>
      </c>
      <c r="BS750" s="283">
        <v>42234</v>
      </c>
      <c r="BT750" s="282">
        <v>21.265625</v>
      </c>
      <c r="BU750" s="283">
        <v>42234</v>
      </c>
      <c r="BV750" s="282">
        <v>20.510725021362305</v>
      </c>
      <c r="BW750" s="283">
        <v>42234</v>
      </c>
      <c r="BX750" s="282">
        <v>5.4468841552734375</v>
      </c>
      <c r="BY750" s="283">
        <v>42234</v>
      </c>
      <c r="CB750" s="267">
        <v>4</v>
      </c>
      <c r="CD750" s="282">
        <v>5.4545454545454515</v>
      </c>
      <c r="CE750" s="291" t="s">
        <v>8401</v>
      </c>
      <c r="CH750" s="136">
        <v>2</v>
      </c>
      <c r="CI750" s="136">
        <v>4</v>
      </c>
      <c r="CL750" s="136">
        <v>5</v>
      </c>
      <c r="CM750" s="259">
        <v>42161</v>
      </c>
      <c r="CN750" s="137" t="s">
        <v>8406</v>
      </c>
    </row>
    <row r="751" spans="1:92">
      <c r="A751" s="258">
        <v>1233</v>
      </c>
      <c r="B751" s="235">
        <v>357</v>
      </c>
      <c r="C751" s="235" t="s">
        <v>7657</v>
      </c>
      <c r="D751" s="235" t="s">
        <v>7487</v>
      </c>
      <c r="E751" s="235" t="s">
        <v>7657</v>
      </c>
      <c r="F751" s="235" t="s">
        <v>8442</v>
      </c>
      <c r="G751" s="235" t="str">
        <f t="shared" si="393"/>
        <v>Rapsodyn</v>
      </c>
      <c r="H751" s="235" t="s">
        <v>267</v>
      </c>
      <c r="I751" s="235">
        <v>1</v>
      </c>
      <c r="J751" s="235">
        <v>9040</v>
      </c>
      <c r="K751" s="235">
        <v>65</v>
      </c>
      <c r="L751" s="235">
        <f t="shared" si="385"/>
        <v>137</v>
      </c>
      <c r="M751" s="235">
        <v>5</v>
      </c>
      <c r="N751" s="235">
        <v>7</v>
      </c>
      <c r="O751" s="248">
        <v>42048</v>
      </c>
      <c r="P751" s="136">
        <v>5.5</v>
      </c>
      <c r="Q751" s="264">
        <v>42204</v>
      </c>
      <c r="V751" s="219">
        <f t="shared" si="394"/>
        <v>16.559622675659572</v>
      </c>
      <c r="X751">
        <v>15.55</v>
      </c>
      <c r="AB751" s="220">
        <f t="shared" si="395"/>
        <v>6.1535657931754058</v>
      </c>
      <c r="AD751" s="221">
        <f t="shared" si="396"/>
        <v>83235.717261928148</v>
      </c>
      <c r="AF751" s="220">
        <f t="shared" si="397"/>
        <v>34.043408360128616</v>
      </c>
      <c r="AH751" s="220">
        <f t="shared" si="398"/>
        <v>38.17381516049408</v>
      </c>
      <c r="AJ751">
        <v>4.09</v>
      </c>
      <c r="AK751" s="285" t="s">
        <v>8399</v>
      </c>
      <c r="AL751" s="260">
        <v>155</v>
      </c>
      <c r="AN751" s="235">
        <v>72</v>
      </c>
      <c r="AO751" s="242">
        <v>42076</v>
      </c>
      <c r="AP751" s="235">
        <v>106</v>
      </c>
      <c r="AQ751" s="242">
        <v>42110</v>
      </c>
      <c r="AR751" s="136">
        <v>143</v>
      </c>
      <c r="AS751" s="297">
        <f t="shared" si="399"/>
        <v>143</v>
      </c>
      <c r="AT751" s="290">
        <v>42147</v>
      </c>
      <c r="AU751" s="298"/>
      <c r="BF751" s="282">
        <v>-5.0917677879333496</v>
      </c>
      <c r="BG751" s="283">
        <v>42235</v>
      </c>
      <c r="BL751" s="296">
        <v>62.194007873535156</v>
      </c>
      <c r="BM751" s="283">
        <v>42235</v>
      </c>
      <c r="BP751" s="282">
        <v>3.9296979904174805</v>
      </c>
      <c r="BQ751" s="283">
        <v>42235</v>
      </c>
      <c r="BR751" s="282">
        <v>48.642669677734375</v>
      </c>
      <c r="BS751" s="283">
        <v>42235</v>
      </c>
      <c r="BT751" s="282">
        <v>18.075645446777344</v>
      </c>
      <c r="BU751" s="283">
        <v>42235</v>
      </c>
      <c r="BV751" s="282">
        <v>17.713113784790039</v>
      </c>
      <c r="BW751" s="283">
        <v>42235</v>
      </c>
      <c r="BX751" s="282">
        <v>5.510162353515625</v>
      </c>
      <c r="BY751" s="283">
        <v>42235</v>
      </c>
      <c r="CB751" s="267">
        <v>2.96</v>
      </c>
      <c r="CD751" s="282">
        <v>1.7857142857142794</v>
      </c>
      <c r="CE751" s="291" t="s">
        <v>8399</v>
      </c>
      <c r="CH751" s="136">
        <v>2</v>
      </c>
      <c r="CI751" s="136">
        <v>4</v>
      </c>
      <c r="CL751" s="136">
        <v>3</v>
      </c>
      <c r="CM751" s="259">
        <v>42161</v>
      </c>
      <c r="CN751" s="137" t="s">
        <v>8406</v>
      </c>
    </row>
    <row r="752" spans="1:92">
      <c r="A752" s="258">
        <v>1234</v>
      </c>
      <c r="B752" s="235">
        <v>358</v>
      </c>
      <c r="C752" s="235" t="s">
        <v>7704</v>
      </c>
      <c r="D752" s="235" t="s">
        <v>7530</v>
      </c>
      <c r="E752" s="235" t="s">
        <v>7704</v>
      </c>
      <c r="F752" s="235" t="s">
        <v>8576</v>
      </c>
      <c r="G752" s="235" t="str">
        <f t="shared" si="393"/>
        <v>Rapsodyn</v>
      </c>
      <c r="H752" s="235" t="s">
        <v>267</v>
      </c>
      <c r="I752" s="235">
        <v>1</v>
      </c>
      <c r="J752" s="235">
        <v>9086</v>
      </c>
      <c r="K752" s="235">
        <v>66</v>
      </c>
      <c r="L752" s="235">
        <f t="shared" si="385"/>
        <v>138</v>
      </c>
      <c r="M752" s="235">
        <v>5</v>
      </c>
      <c r="N752" s="235">
        <v>7</v>
      </c>
      <c r="O752" s="248">
        <v>42048</v>
      </c>
      <c r="P752" s="136">
        <v>6.13</v>
      </c>
      <c r="Q752" s="264">
        <v>42204</v>
      </c>
      <c r="V752" s="219">
        <f t="shared" si="394"/>
        <v>18.344519963999549</v>
      </c>
      <c r="X752">
        <v>15.55</v>
      </c>
      <c r="AB752" s="220">
        <f t="shared" si="395"/>
        <v>6.7681296931102857</v>
      </c>
      <c r="AD752" s="221">
        <f t="shared" si="396"/>
        <v>99398.278115744572</v>
      </c>
      <c r="AF752" s="220">
        <f t="shared" si="397"/>
        <v>37.174956015288473</v>
      </c>
      <c r="AH752" s="220">
        <f t="shared" si="398"/>
        <v>41.68530613959237</v>
      </c>
      <c r="AJ752">
        <v>3.74</v>
      </c>
      <c r="AK752" s="285" t="s">
        <v>8399</v>
      </c>
      <c r="AL752" s="260">
        <v>155</v>
      </c>
      <c r="AN752" s="235">
        <v>79</v>
      </c>
      <c r="AO752" s="242">
        <v>42083</v>
      </c>
      <c r="AP752" s="235">
        <v>106</v>
      </c>
      <c r="AQ752" s="242">
        <v>42110</v>
      </c>
      <c r="AR752" s="136">
        <v>137</v>
      </c>
      <c r="AS752" s="297">
        <f t="shared" si="399"/>
        <v>137</v>
      </c>
      <c r="AT752" s="290">
        <v>42141</v>
      </c>
      <c r="AU752" s="298"/>
      <c r="BF752" s="282">
        <v>-3.6155719757080078</v>
      </c>
      <c r="BG752" s="283">
        <v>42235</v>
      </c>
      <c r="BL752" s="296">
        <v>63.174732208251953</v>
      </c>
      <c r="BM752" s="283">
        <v>42235</v>
      </c>
      <c r="BP752" s="282">
        <v>3.4381420612335205</v>
      </c>
      <c r="BQ752" s="283">
        <v>42235</v>
      </c>
      <c r="BR752" s="282">
        <v>49.346446990966797</v>
      </c>
      <c r="BS752" s="283">
        <v>42235</v>
      </c>
      <c r="BT752" s="282">
        <v>18.206153869628906</v>
      </c>
      <c r="BU752" s="283">
        <v>42235</v>
      </c>
      <c r="BV752" s="282">
        <v>15.025067329406738</v>
      </c>
      <c r="BW752" s="283">
        <v>42235</v>
      </c>
      <c r="BX752" s="282">
        <v>5.6953887939453125</v>
      </c>
      <c r="BY752" s="283">
        <v>42235</v>
      </c>
      <c r="CB752" s="267">
        <v>4.28</v>
      </c>
      <c r="CD752" s="282">
        <v>3.7735849056603805</v>
      </c>
      <c r="CE752" s="291" t="s">
        <v>8399</v>
      </c>
      <c r="CH752" s="136">
        <v>2</v>
      </c>
      <c r="CI752" s="136">
        <v>3</v>
      </c>
      <c r="CL752" s="136">
        <v>2</v>
      </c>
      <c r="CM752" s="259">
        <v>42161</v>
      </c>
      <c r="CN752" s="137" t="s">
        <v>8406</v>
      </c>
    </row>
    <row r="753" spans="1:93">
      <c r="A753" s="258">
        <v>1235</v>
      </c>
      <c r="B753" s="235">
        <v>359</v>
      </c>
      <c r="C753" s="235" t="s">
        <v>7630</v>
      </c>
      <c r="D753" s="235" t="s">
        <v>7464</v>
      </c>
      <c r="E753" s="235" t="s">
        <v>7630</v>
      </c>
      <c r="F753" s="235" t="s">
        <v>8567</v>
      </c>
      <c r="G753" s="235" t="str">
        <f t="shared" si="393"/>
        <v>Rapsodyn</v>
      </c>
      <c r="H753" s="235" t="s">
        <v>267</v>
      </c>
      <c r="I753" s="235">
        <v>1</v>
      </c>
      <c r="J753" s="235">
        <v>9020</v>
      </c>
      <c r="K753" s="235">
        <v>67</v>
      </c>
      <c r="L753" s="235">
        <f t="shared" si="385"/>
        <v>139</v>
      </c>
      <c r="M753" s="235">
        <v>5</v>
      </c>
      <c r="N753" s="235">
        <v>9</v>
      </c>
      <c r="O753" s="248">
        <v>42048</v>
      </c>
      <c r="P753" s="136">
        <v>4.7</v>
      </c>
      <c r="Q753" s="264">
        <v>42204</v>
      </c>
      <c r="V753" s="219">
        <f t="shared" si="394"/>
        <v>13.25045745245877</v>
      </c>
      <c r="X753">
        <v>15.55</v>
      </c>
      <c r="AB753" s="220">
        <f t="shared" si="395"/>
        <v>5.5982299736164727</v>
      </c>
      <c r="AD753" s="221">
        <f t="shared" si="396"/>
        <v>58694.045206311253</v>
      </c>
      <c r="AF753" s="220">
        <f t="shared" si="397"/>
        <v>28.114447653823092</v>
      </c>
      <c r="AH753" s="220">
        <f t="shared" si="398"/>
        <v>31.525507573248589</v>
      </c>
      <c r="AJ753">
        <v>4.79</v>
      </c>
      <c r="AK753" s="285" t="s">
        <v>8400</v>
      </c>
      <c r="AL753" s="260">
        <v>170</v>
      </c>
      <c r="AN753" s="235">
        <v>72</v>
      </c>
      <c r="AO753" s="242">
        <v>42076</v>
      </c>
      <c r="AP753" s="235">
        <v>110</v>
      </c>
      <c r="AQ753" s="242">
        <v>42114</v>
      </c>
      <c r="AR753" s="136">
        <v>131</v>
      </c>
      <c r="AS753" s="297">
        <f t="shared" si="399"/>
        <v>131</v>
      </c>
      <c r="AT753" s="290">
        <v>42135</v>
      </c>
      <c r="AU753" s="298"/>
      <c r="BF753" s="282">
        <v>14.266570091247559</v>
      </c>
      <c r="BG753" s="283">
        <v>42235</v>
      </c>
      <c r="BL753" s="296">
        <v>62.175296783447266</v>
      </c>
      <c r="BM753" s="283">
        <v>42235</v>
      </c>
      <c r="BP753" s="282">
        <v>3.1225368976593018</v>
      </c>
      <c r="BQ753" s="283">
        <v>42235</v>
      </c>
      <c r="BR753" s="282">
        <v>47.130420684814453</v>
      </c>
      <c r="BS753" s="283">
        <v>42235</v>
      </c>
      <c r="BT753" s="282">
        <v>19.912288665771484</v>
      </c>
      <c r="BU753" s="283">
        <v>42235</v>
      </c>
      <c r="BV753" s="282">
        <v>55.447845458984375</v>
      </c>
      <c r="BW753" s="283">
        <v>42235</v>
      </c>
      <c r="BX753" s="282">
        <v>5.823394775390625</v>
      </c>
      <c r="BY753" s="283">
        <v>42235</v>
      </c>
      <c r="CB753" s="267">
        <v>3.35</v>
      </c>
      <c r="CD753" s="282">
        <v>5.0847457627118757</v>
      </c>
      <c r="CE753" s="291" t="s">
        <v>8400</v>
      </c>
      <c r="CH753" s="136">
        <v>2</v>
      </c>
      <c r="CI753" s="136">
        <v>4</v>
      </c>
      <c r="CL753" s="136">
        <v>3</v>
      </c>
      <c r="CM753" s="259">
        <v>42161</v>
      </c>
      <c r="CN753" s="137" t="s">
        <v>8406</v>
      </c>
    </row>
    <row r="754" spans="1:93">
      <c r="A754" s="258">
        <v>1237</v>
      </c>
      <c r="B754" s="235">
        <v>361</v>
      </c>
      <c r="C754" s="235" t="s">
        <v>7687</v>
      </c>
      <c r="D754" s="235" t="s">
        <v>7513</v>
      </c>
      <c r="E754" s="235" t="s">
        <v>7687</v>
      </c>
      <c r="F754" s="235" t="s">
        <v>8514</v>
      </c>
      <c r="G754" s="235" t="str">
        <f t="shared" si="393"/>
        <v>Rapsodyn</v>
      </c>
      <c r="H754" s="235" t="s">
        <v>267</v>
      </c>
      <c r="I754" s="235">
        <v>1</v>
      </c>
      <c r="J754" s="235">
        <v>9069</v>
      </c>
      <c r="K754" s="235">
        <v>69</v>
      </c>
      <c r="L754" s="235">
        <f t="shared" si="385"/>
        <v>141</v>
      </c>
      <c r="M754" s="235">
        <v>5</v>
      </c>
      <c r="N754" s="235">
        <v>7</v>
      </c>
      <c r="O754" s="248">
        <v>42048</v>
      </c>
      <c r="P754" s="136">
        <v>5.64</v>
      </c>
      <c r="Q754" s="264">
        <v>42204</v>
      </c>
      <c r="V754" s="219">
        <f t="shared" si="394"/>
        <v>16.842026957717358</v>
      </c>
      <c r="X754">
        <v>15.55</v>
      </c>
      <c r="AB754" s="220">
        <f t="shared" si="395"/>
        <v>6.2930972690643614</v>
      </c>
      <c r="AD754" s="221">
        <f t="shared" si="396"/>
        <v>72310.635353494246</v>
      </c>
      <c r="AF754" s="220">
        <f t="shared" si="397"/>
        <v>34.275241157556273</v>
      </c>
      <c r="AH754" s="220">
        <f t="shared" si="398"/>
        <v>38.433775686876288</v>
      </c>
      <c r="AJ754">
        <v>4.74</v>
      </c>
      <c r="AK754" s="285" t="s">
        <v>8403</v>
      </c>
      <c r="AL754" s="260">
        <v>160</v>
      </c>
      <c r="AN754" s="235">
        <v>70</v>
      </c>
      <c r="AO754" s="242">
        <v>42074</v>
      </c>
      <c r="AP754" s="235">
        <v>104</v>
      </c>
      <c r="AQ754" s="242">
        <v>42108</v>
      </c>
      <c r="AR754" s="136">
        <v>127</v>
      </c>
      <c r="AS754" s="297">
        <f t="shared" si="399"/>
        <v>127</v>
      </c>
      <c r="AT754" s="290">
        <v>42131</v>
      </c>
      <c r="AU754" s="298"/>
      <c r="BF754" s="282">
        <v>-2.8435020446777344</v>
      </c>
      <c r="BG754" s="283">
        <v>42235</v>
      </c>
      <c r="BL754" s="296">
        <v>62.350704193115234</v>
      </c>
      <c r="BM754" s="283">
        <v>42235</v>
      </c>
      <c r="BP754" s="282">
        <v>3.3281440734863281</v>
      </c>
      <c r="BQ754" s="283">
        <v>42235</v>
      </c>
      <c r="BR754" s="282">
        <v>49.137588500976563</v>
      </c>
      <c r="BS754" s="283">
        <v>42235</v>
      </c>
      <c r="BT754" s="282">
        <v>18.360475540161133</v>
      </c>
      <c r="BU754" s="283">
        <v>42235</v>
      </c>
      <c r="BV754" s="282">
        <v>15.667917251586914</v>
      </c>
      <c r="BW754" s="283">
        <v>42235</v>
      </c>
      <c r="BX754" s="282">
        <v>5.32403564453125</v>
      </c>
      <c r="BY754" s="283">
        <v>42235</v>
      </c>
      <c r="CB754" s="267">
        <v>3.49</v>
      </c>
      <c r="CD754" s="282">
        <v>3.5714285714285587</v>
      </c>
      <c r="CE754" s="291" t="s">
        <v>8403</v>
      </c>
      <c r="CH754" s="136">
        <v>2</v>
      </c>
      <c r="CI754" s="136">
        <v>2</v>
      </c>
      <c r="CL754" s="136">
        <v>1</v>
      </c>
      <c r="CM754" s="259">
        <v>42161</v>
      </c>
      <c r="CN754" s="137" t="s">
        <v>8406</v>
      </c>
    </row>
    <row r="755" spans="1:93">
      <c r="A755" s="258">
        <v>1241</v>
      </c>
      <c r="B755" s="235">
        <v>365</v>
      </c>
      <c r="C755" s="235" t="s">
        <v>7576</v>
      </c>
      <c r="D755" s="235"/>
      <c r="E755" s="235"/>
      <c r="F755" s="235"/>
      <c r="G755" s="235"/>
      <c r="H755" s="235" t="s">
        <v>267</v>
      </c>
      <c r="I755" s="235">
        <v>1</v>
      </c>
      <c r="K755" s="235">
        <v>73</v>
      </c>
      <c r="L755" s="235">
        <f t="shared" si="385"/>
        <v>145</v>
      </c>
      <c r="M755" s="235">
        <v>5</v>
      </c>
      <c r="O755" s="248">
        <v>42048</v>
      </c>
      <c r="V755" s="219"/>
      <c r="X755">
        <v>15.55</v>
      </c>
      <c r="AB755" s="220"/>
      <c r="AD755" s="221"/>
      <c r="AF755" s="220"/>
      <c r="AH755" s="220"/>
      <c r="AJ755" s="286"/>
      <c r="AK755" s="285"/>
      <c r="AL755" s="260"/>
      <c r="AN755" s="235">
        <v>70</v>
      </c>
      <c r="AO755" s="242">
        <v>42074</v>
      </c>
      <c r="AP755" s="235">
        <v>106</v>
      </c>
      <c r="AQ755" s="242">
        <v>42110</v>
      </c>
      <c r="AS755" s="297"/>
      <c r="AT755" s="290"/>
      <c r="AU755" s="298"/>
      <c r="BF755" s="282"/>
      <c r="BG755" s="235"/>
      <c r="BL755" s="296"/>
      <c r="BM755" s="235"/>
      <c r="BP755" s="282"/>
      <c r="BQ755" s="235"/>
      <c r="BR755" s="282"/>
      <c r="BS755" s="235"/>
      <c r="BT755" s="282"/>
      <c r="BU755" s="235"/>
      <c r="BV755" s="282"/>
      <c r="BW755" s="235"/>
      <c r="BX755" s="282"/>
      <c r="BY755" s="235"/>
      <c r="CB755" s="267"/>
      <c r="CD755" s="282"/>
      <c r="CE755" s="291"/>
      <c r="CL755" s="136">
        <v>3</v>
      </c>
      <c r="CM755" s="259">
        <v>42161</v>
      </c>
    </row>
    <row r="756" spans="1:93">
      <c r="A756" s="258">
        <v>1242</v>
      </c>
      <c r="B756" s="235">
        <v>366</v>
      </c>
      <c r="C756" s="235" t="s">
        <v>7576</v>
      </c>
      <c r="D756" s="235"/>
      <c r="E756" s="235"/>
      <c r="F756" s="235"/>
      <c r="G756" s="235"/>
      <c r="H756" s="235" t="s">
        <v>267</v>
      </c>
      <c r="I756" s="235">
        <v>1</v>
      </c>
      <c r="K756" s="235">
        <v>73</v>
      </c>
      <c r="L756" s="235">
        <f t="shared" si="385"/>
        <v>145</v>
      </c>
      <c r="M756" s="235">
        <v>6</v>
      </c>
      <c r="O756" s="248">
        <v>42048</v>
      </c>
      <c r="V756" s="219"/>
      <c r="X756">
        <v>15.55</v>
      </c>
      <c r="AB756" s="220"/>
      <c r="AD756" s="221"/>
      <c r="AF756" s="220"/>
      <c r="AH756" s="220"/>
      <c r="AJ756" s="286"/>
      <c r="AK756" s="285"/>
      <c r="AL756" s="260"/>
      <c r="AN756" s="235">
        <v>70</v>
      </c>
      <c r="AO756" s="242">
        <v>42074</v>
      </c>
      <c r="AP756" s="235">
        <v>106</v>
      </c>
      <c r="AQ756" s="242">
        <v>42110</v>
      </c>
      <c r="AS756" s="297"/>
      <c r="AT756" s="290"/>
      <c r="AU756" s="298"/>
      <c r="BF756" s="282"/>
      <c r="BG756" s="235"/>
      <c r="BL756" s="296"/>
      <c r="BM756" s="235"/>
      <c r="BP756" s="282"/>
      <c r="BQ756" s="235"/>
      <c r="BR756" s="282"/>
      <c r="BS756" s="235"/>
      <c r="BT756" s="282"/>
      <c r="BU756" s="235"/>
      <c r="BV756" s="282"/>
      <c r="BW756" s="235"/>
      <c r="BX756" s="282"/>
      <c r="BY756" s="235"/>
      <c r="CB756" s="267"/>
      <c r="CD756" s="282"/>
      <c r="CE756" s="291"/>
      <c r="CL756" s="136">
        <v>3</v>
      </c>
      <c r="CM756" s="259">
        <v>42161</v>
      </c>
    </row>
    <row r="757" spans="1:93">
      <c r="A757" s="258">
        <v>1246</v>
      </c>
      <c r="B757" s="235">
        <v>370</v>
      </c>
      <c r="C757" s="235" t="s">
        <v>7713</v>
      </c>
      <c r="D757" s="235" t="s">
        <v>7537</v>
      </c>
      <c r="E757" s="235" t="s">
        <v>7713</v>
      </c>
      <c r="F757" s="235" t="s">
        <v>8546</v>
      </c>
      <c r="G757" s="235" t="str">
        <f t="shared" ref="G757:G768" si="400">IF(MID(C757,1,3)="BGA","Complement","Rapsodyn")</f>
        <v>Rapsodyn</v>
      </c>
      <c r="H757" s="235" t="s">
        <v>267</v>
      </c>
      <c r="I757" s="235">
        <v>1</v>
      </c>
      <c r="J757" s="235">
        <v>9095</v>
      </c>
      <c r="K757" s="235">
        <v>69</v>
      </c>
      <c r="L757" s="235">
        <f t="shared" si="385"/>
        <v>141</v>
      </c>
      <c r="M757" s="235">
        <v>6</v>
      </c>
      <c r="N757" s="235">
        <v>7</v>
      </c>
      <c r="O757" s="248">
        <v>42048</v>
      </c>
      <c r="P757" s="136">
        <v>4.2300000000000004</v>
      </c>
      <c r="Q757" s="264">
        <v>42204</v>
      </c>
      <c r="V757" s="219">
        <f t="shared" ref="V757:V768" si="401">+BR757*AF757/100</f>
        <v>12.025073096148356</v>
      </c>
      <c r="X757">
        <v>15.55</v>
      </c>
      <c r="AB757" s="220">
        <f t="shared" ref="AB757:AB768" si="402">+AF757*BT757/100</f>
        <v>4.7787553975606674</v>
      </c>
      <c r="AD757" s="221">
        <f t="shared" ref="AD757:AD768" si="403">+(AF757/AJ757)*10000</f>
        <v>49603.120860573246</v>
      </c>
      <c r="AF757" s="220">
        <f t="shared" ref="AF757:AF768" si="404">($P757/$X757)*(((100-$CD757)/100*(100-2)/100))*100</f>
        <v>24.851163551147199</v>
      </c>
      <c r="AH757" s="220">
        <f t="shared" ref="AH757:AH768" si="405">($P757/$X757)*(((100-$CD757)/(100-9)*(100-2)/(100-2))*100)</f>
        <v>27.86629687278224</v>
      </c>
      <c r="AJ757">
        <v>5.01</v>
      </c>
      <c r="AK757" s="285" t="s">
        <v>8403</v>
      </c>
      <c r="AL757" s="260">
        <v>155</v>
      </c>
      <c r="AN757" s="235">
        <v>72</v>
      </c>
      <c r="AO757" s="242">
        <v>42076</v>
      </c>
      <c r="AP757" s="235">
        <v>104</v>
      </c>
      <c r="AQ757" s="242">
        <v>42108</v>
      </c>
      <c r="AR757" s="136">
        <v>127</v>
      </c>
      <c r="AS757" s="297">
        <f t="shared" ref="AS757:AS768" si="406">IF(AR757=0,,AR757)</f>
        <v>127</v>
      </c>
      <c r="AT757" s="290">
        <v>42131</v>
      </c>
      <c r="AU757" s="298"/>
      <c r="BF757" s="282">
        <v>-2.415442943572998</v>
      </c>
      <c r="BG757" s="283">
        <v>42235</v>
      </c>
      <c r="BL757" s="296">
        <v>64.596405029296875</v>
      </c>
      <c r="BM757" s="283">
        <v>42235</v>
      </c>
      <c r="BP757" s="282">
        <v>3.0324819087982178</v>
      </c>
      <c r="BQ757" s="283">
        <v>42235</v>
      </c>
      <c r="BR757" s="282">
        <v>48.388370513916016</v>
      </c>
      <c r="BS757" s="283">
        <v>42235</v>
      </c>
      <c r="BT757" s="282">
        <v>19.229503631591797</v>
      </c>
      <c r="BU757" s="283">
        <v>42235</v>
      </c>
      <c r="BV757" s="282">
        <v>19.383064270019531</v>
      </c>
      <c r="BW757" s="283">
        <v>42235</v>
      </c>
      <c r="BX757" s="282">
        <v>5.2466049194335937</v>
      </c>
      <c r="BY757" s="283">
        <v>42235</v>
      </c>
      <c r="CB757" s="267">
        <v>2.8</v>
      </c>
      <c r="CD757" s="282">
        <v>6.7796610169491585</v>
      </c>
      <c r="CE757" s="291" t="s">
        <v>8403</v>
      </c>
      <c r="CH757" s="136">
        <v>2</v>
      </c>
      <c r="CI757" s="136">
        <v>6</v>
      </c>
      <c r="CL757" s="136">
        <v>5</v>
      </c>
      <c r="CM757" s="259">
        <v>42161</v>
      </c>
      <c r="CN757" s="137" t="s">
        <v>8406</v>
      </c>
    </row>
    <row r="758" spans="1:93">
      <c r="A758" s="258">
        <v>1247</v>
      </c>
      <c r="B758" s="235">
        <v>371</v>
      </c>
      <c r="C758" s="235" t="s">
        <v>7648</v>
      </c>
      <c r="D758" s="235" t="s">
        <v>7480</v>
      </c>
      <c r="E758" s="235" t="s">
        <v>7648</v>
      </c>
      <c r="F758" s="235" t="s">
        <v>8618</v>
      </c>
      <c r="G758" s="235" t="str">
        <f t="shared" si="400"/>
        <v>Rapsodyn</v>
      </c>
      <c r="H758" s="235" t="s">
        <v>267</v>
      </c>
      <c r="I758" s="235">
        <v>1</v>
      </c>
      <c r="J758" s="235">
        <v>9034</v>
      </c>
      <c r="K758" s="235">
        <v>68</v>
      </c>
      <c r="L758" s="235">
        <f t="shared" si="385"/>
        <v>140</v>
      </c>
      <c r="M758" s="235">
        <v>6</v>
      </c>
      <c r="N758" s="235">
        <v>7</v>
      </c>
      <c r="O758" s="248">
        <v>42048</v>
      </c>
      <c r="P758" s="136">
        <v>4.24</v>
      </c>
      <c r="Q758" s="264">
        <v>42204</v>
      </c>
      <c r="V758" s="219">
        <f t="shared" si="401"/>
        <v>11.709753580885057</v>
      </c>
      <c r="X758">
        <v>15.55</v>
      </c>
      <c r="AB758" s="220">
        <f t="shared" si="402"/>
        <v>4.9885692081799817</v>
      </c>
      <c r="AD758" s="221">
        <f t="shared" si="403"/>
        <v>65145.606713643931</v>
      </c>
      <c r="AF758" s="220">
        <f t="shared" si="404"/>
        <v>25.015912978039268</v>
      </c>
      <c r="AH758" s="220">
        <f t="shared" si="405"/>
        <v>28.051034960797566</v>
      </c>
      <c r="AJ758">
        <v>3.84</v>
      </c>
      <c r="AK758" s="285" t="s">
        <v>8400</v>
      </c>
      <c r="AL758" s="260">
        <v>160</v>
      </c>
      <c r="AN758" s="235">
        <v>75</v>
      </c>
      <c r="AO758" s="242">
        <v>42079</v>
      </c>
      <c r="AP758" s="235">
        <v>106</v>
      </c>
      <c r="AQ758" s="242">
        <v>42110</v>
      </c>
      <c r="AR758" s="136">
        <v>133</v>
      </c>
      <c r="AS758" s="297">
        <f t="shared" si="406"/>
        <v>133</v>
      </c>
      <c r="AT758" s="290">
        <v>42137</v>
      </c>
      <c r="AU758" s="298"/>
      <c r="BF758" s="282">
        <v>-0.58002698421478271</v>
      </c>
      <c r="BG758" s="283">
        <v>42234</v>
      </c>
      <c r="BL758" s="296">
        <v>58.959342956542969</v>
      </c>
      <c r="BM758" s="283">
        <v>42234</v>
      </c>
      <c r="BP758" s="282">
        <v>2.4890329837799072</v>
      </c>
      <c r="BQ758" s="283">
        <v>42234</v>
      </c>
      <c r="BR758" s="282">
        <v>46.809219360351563</v>
      </c>
      <c r="BS758" s="283">
        <v>42234</v>
      </c>
      <c r="BT758" s="282">
        <v>19.941583633422852</v>
      </c>
      <c r="BU758" s="283">
        <v>42234</v>
      </c>
      <c r="BV758" s="282">
        <v>57.136619567871094</v>
      </c>
      <c r="BW758" s="283">
        <v>42234</v>
      </c>
      <c r="BX758" s="282">
        <v>5.8586883544921875</v>
      </c>
      <c r="BY758" s="283">
        <v>42234</v>
      </c>
      <c r="CB758" s="267">
        <v>2.68</v>
      </c>
      <c r="CD758" s="282">
        <v>6.3829787234042508</v>
      </c>
      <c r="CE758" s="291" t="s">
        <v>8400</v>
      </c>
      <c r="CH758" s="136">
        <v>2</v>
      </c>
      <c r="CI758" s="136">
        <v>7</v>
      </c>
      <c r="CL758" s="136">
        <v>6</v>
      </c>
      <c r="CM758" s="259">
        <v>42161</v>
      </c>
      <c r="CO758" s="137" t="s">
        <v>8405</v>
      </c>
    </row>
    <row r="759" spans="1:93">
      <c r="A759" s="258">
        <v>1248</v>
      </c>
      <c r="B759" s="235">
        <v>372</v>
      </c>
      <c r="C759" s="235" t="s">
        <v>7751</v>
      </c>
      <c r="D759" s="235" t="s">
        <v>7559</v>
      </c>
      <c r="E759" s="235" t="s">
        <v>7751</v>
      </c>
      <c r="F759" s="235" t="s">
        <v>8552</v>
      </c>
      <c r="G759" s="235" t="str">
        <f t="shared" si="400"/>
        <v>Rapsodyn</v>
      </c>
      <c r="H759" s="235" t="s">
        <v>267</v>
      </c>
      <c r="I759" s="235">
        <v>1</v>
      </c>
      <c r="J759" s="235">
        <v>9123</v>
      </c>
      <c r="K759" s="235">
        <v>67</v>
      </c>
      <c r="L759" s="235">
        <f t="shared" si="385"/>
        <v>139</v>
      </c>
      <c r="M759" s="235">
        <v>6</v>
      </c>
      <c r="N759" s="235">
        <v>9</v>
      </c>
      <c r="O759" s="248">
        <v>42048</v>
      </c>
      <c r="P759" s="136">
        <v>4.3099999999999996</v>
      </c>
      <c r="Q759" s="264">
        <v>42204</v>
      </c>
      <c r="V759" s="219">
        <f t="shared" si="401"/>
        <v>12.21050761350609</v>
      </c>
      <c r="X759">
        <v>15.55</v>
      </c>
      <c r="AB759" s="220">
        <f t="shared" si="402"/>
        <v>5.389091684926786</v>
      </c>
      <c r="AD759" s="221">
        <f t="shared" si="403"/>
        <v>63974.219506610396</v>
      </c>
      <c r="AF759" s="220">
        <f t="shared" si="404"/>
        <v>25.653662022150765</v>
      </c>
      <c r="AH759" s="220">
        <f t="shared" si="405"/>
        <v>28.76616059895802</v>
      </c>
      <c r="AJ759">
        <v>4.01</v>
      </c>
      <c r="AK759" s="285" t="s">
        <v>8400</v>
      </c>
      <c r="AL759" s="260">
        <v>165</v>
      </c>
      <c r="AN759" s="235">
        <v>75</v>
      </c>
      <c r="AO759" s="242">
        <v>42079</v>
      </c>
      <c r="AP759" s="235">
        <v>110</v>
      </c>
      <c r="AQ759" s="242">
        <v>42114</v>
      </c>
      <c r="AR759" s="136">
        <v>133</v>
      </c>
      <c r="AS759" s="297">
        <f t="shared" si="406"/>
        <v>133</v>
      </c>
      <c r="AT759" s="290">
        <v>42137</v>
      </c>
      <c r="AU759" s="298"/>
      <c r="BF759" s="282">
        <v>35.001091003417969</v>
      </c>
      <c r="BG759" s="283">
        <v>42234</v>
      </c>
      <c r="BL759" s="296">
        <v>60.524635314941406</v>
      </c>
      <c r="BM759" s="283">
        <v>42234</v>
      </c>
      <c r="BP759" s="282">
        <v>3.1172330379486084</v>
      </c>
      <c r="BQ759" s="283">
        <v>42234</v>
      </c>
      <c r="BR759" s="282">
        <v>47.597522735595703</v>
      </c>
      <c r="BS759" s="283">
        <v>42234</v>
      </c>
      <c r="BT759" s="282">
        <v>21.007104873657227</v>
      </c>
      <c r="BU759" s="283">
        <v>42234</v>
      </c>
      <c r="BV759" s="282">
        <v>42.979141235351563</v>
      </c>
      <c r="BW759" s="283">
        <v>42234</v>
      </c>
      <c r="BX759" s="282">
        <v>5.5317916870117187</v>
      </c>
      <c r="BY759" s="283">
        <v>42234</v>
      </c>
      <c r="CB759" s="267">
        <v>3.31</v>
      </c>
      <c r="CD759" s="282">
        <v>5.5555555555555687</v>
      </c>
      <c r="CE759" s="291" t="s">
        <v>8400</v>
      </c>
      <c r="CH759" s="136">
        <v>2</v>
      </c>
      <c r="CI759" s="136">
        <v>5</v>
      </c>
      <c r="CL759" s="136">
        <v>5</v>
      </c>
      <c r="CM759" s="259">
        <v>42161</v>
      </c>
      <c r="CN759" s="137" t="s">
        <v>8406</v>
      </c>
    </row>
    <row r="760" spans="1:93">
      <c r="A760" s="258">
        <v>1249</v>
      </c>
      <c r="B760" s="235">
        <v>373</v>
      </c>
      <c r="C760" s="235" t="s">
        <v>7752</v>
      </c>
      <c r="D760" s="235" t="s">
        <v>7560</v>
      </c>
      <c r="E760" s="235" t="s">
        <v>7752</v>
      </c>
      <c r="F760" s="235" t="s">
        <v>8485</v>
      </c>
      <c r="G760" s="235" t="str">
        <f t="shared" si="400"/>
        <v>Rapsodyn</v>
      </c>
      <c r="H760" s="235" t="s">
        <v>267</v>
      </c>
      <c r="I760" s="235">
        <v>1</v>
      </c>
      <c r="J760" s="235">
        <v>9124</v>
      </c>
      <c r="K760" s="235">
        <v>66</v>
      </c>
      <c r="L760" s="235">
        <f t="shared" si="385"/>
        <v>138</v>
      </c>
      <c r="M760" s="235">
        <v>6</v>
      </c>
      <c r="N760" s="235">
        <v>7</v>
      </c>
      <c r="O760" s="248">
        <v>42048</v>
      </c>
      <c r="P760" s="136">
        <v>5.52</v>
      </c>
      <c r="Q760" s="264">
        <v>42204</v>
      </c>
      <c r="V760" s="219">
        <f t="shared" si="401"/>
        <v>16.452396284261912</v>
      </c>
      <c r="X760">
        <v>15.55</v>
      </c>
      <c r="AB760" s="220">
        <f t="shared" si="402"/>
        <v>5.9956573152296269</v>
      </c>
      <c r="AD760" s="221">
        <f t="shared" si="403"/>
        <v>78060.334514915477</v>
      </c>
      <c r="AF760" s="220">
        <f t="shared" si="404"/>
        <v>33.019521499809251</v>
      </c>
      <c r="AH760" s="220">
        <f t="shared" si="405"/>
        <v>37.025702511560041</v>
      </c>
      <c r="AJ760">
        <v>4.2300000000000004</v>
      </c>
      <c r="AK760" s="285" t="s">
        <v>8399</v>
      </c>
      <c r="AL760" s="260">
        <v>170</v>
      </c>
      <c r="AN760" s="235">
        <v>65</v>
      </c>
      <c r="AO760" s="242">
        <v>42069</v>
      </c>
      <c r="AP760" s="235">
        <v>104</v>
      </c>
      <c r="AQ760" s="242">
        <v>42108</v>
      </c>
      <c r="AR760" s="136">
        <v>127</v>
      </c>
      <c r="AS760" s="297">
        <f t="shared" si="406"/>
        <v>127</v>
      </c>
      <c r="AT760" s="290">
        <v>42131</v>
      </c>
      <c r="AU760" s="298"/>
      <c r="BF760" s="282">
        <v>2.0181829929351807</v>
      </c>
      <c r="BG760" s="283">
        <v>42235</v>
      </c>
      <c r="BL760" s="296">
        <v>62.890949249267578</v>
      </c>
      <c r="BM760" s="283">
        <v>42235</v>
      </c>
      <c r="BP760" s="282">
        <v>3.8222479820251465</v>
      </c>
      <c r="BQ760" s="283">
        <v>42235</v>
      </c>
      <c r="BR760" s="282">
        <v>49.826271057128906</v>
      </c>
      <c r="BS760" s="283">
        <v>42235</v>
      </c>
      <c r="BT760" s="282">
        <v>18.157917022705078</v>
      </c>
      <c r="BU760" s="283">
        <v>42235</v>
      </c>
      <c r="BV760" s="282">
        <v>14.610033988952637</v>
      </c>
      <c r="BW760" s="283">
        <v>42235</v>
      </c>
      <c r="BX760" s="282">
        <v>5.5426788330078125</v>
      </c>
      <c r="BY760" s="283">
        <v>42235</v>
      </c>
      <c r="CB760" s="267">
        <v>3.4</v>
      </c>
      <c r="CD760" s="282">
        <v>5.0847457627118757</v>
      </c>
      <c r="CE760" s="291" t="s">
        <v>8399</v>
      </c>
      <c r="CH760" s="136">
        <v>3</v>
      </c>
      <c r="CI760" s="136">
        <v>7</v>
      </c>
      <c r="CL760" s="136">
        <v>4</v>
      </c>
      <c r="CM760" s="259">
        <v>42161</v>
      </c>
      <c r="CO760" s="137" t="s">
        <v>8405</v>
      </c>
    </row>
    <row r="761" spans="1:93">
      <c r="A761" s="258">
        <v>1251</v>
      </c>
      <c r="B761" s="235">
        <v>375</v>
      </c>
      <c r="C761" s="235" t="s">
        <v>7635</v>
      </c>
      <c r="D761" s="235" t="s">
        <v>7468</v>
      </c>
      <c r="E761" s="235" t="s">
        <v>7635</v>
      </c>
      <c r="F761" s="235" t="s">
        <v>8507</v>
      </c>
      <c r="G761" s="235" t="str">
        <f t="shared" si="400"/>
        <v>Rapsodyn</v>
      </c>
      <c r="H761" s="235" t="s">
        <v>267</v>
      </c>
      <c r="I761" s="235">
        <v>1</v>
      </c>
      <c r="J761" s="235">
        <v>9023</v>
      </c>
      <c r="K761" s="235">
        <v>64</v>
      </c>
      <c r="L761" s="235">
        <f t="shared" si="385"/>
        <v>136</v>
      </c>
      <c r="M761" s="235">
        <v>6</v>
      </c>
      <c r="N761" s="236">
        <v>9</v>
      </c>
      <c r="O761" s="248">
        <v>42048</v>
      </c>
      <c r="P761" s="136">
        <v>5.23</v>
      </c>
      <c r="Q761" s="264">
        <v>42204</v>
      </c>
      <c r="V761" s="219">
        <f t="shared" si="401"/>
        <v>16.006895839273696</v>
      </c>
      <c r="X761">
        <v>15.55</v>
      </c>
      <c r="AB761" s="220">
        <f t="shared" si="402"/>
        <v>5.4719794853744226</v>
      </c>
      <c r="AD761" s="221">
        <f t="shared" si="403"/>
        <v>78730.237285238574</v>
      </c>
      <c r="AF761" s="220">
        <f t="shared" si="404"/>
        <v>31.255904202239716</v>
      </c>
      <c r="AH761" s="220">
        <f t="shared" si="405"/>
        <v>35.048109668355821</v>
      </c>
      <c r="AJ761">
        <v>3.97</v>
      </c>
      <c r="AK761" s="285" t="s">
        <v>8401</v>
      </c>
      <c r="AL761" s="260">
        <v>165</v>
      </c>
      <c r="AN761" s="235">
        <v>75</v>
      </c>
      <c r="AO761" s="242">
        <v>42079</v>
      </c>
      <c r="AP761" s="235">
        <v>110</v>
      </c>
      <c r="AQ761" s="242">
        <v>42114</v>
      </c>
      <c r="AR761" s="136">
        <v>134</v>
      </c>
      <c r="AS761" s="297">
        <f t="shared" si="406"/>
        <v>134</v>
      </c>
      <c r="AT761" s="290">
        <v>42138</v>
      </c>
      <c r="AU761" s="298"/>
      <c r="BF761" s="282">
        <v>38.193672180175781</v>
      </c>
      <c r="BG761" s="283">
        <v>42234</v>
      </c>
      <c r="BL761" s="296">
        <v>58.99169921875</v>
      </c>
      <c r="BM761" s="283">
        <v>42234</v>
      </c>
      <c r="BP761" s="282">
        <v>3.7793951034545898</v>
      </c>
      <c r="BQ761" s="283">
        <v>42234</v>
      </c>
      <c r="BR761" s="282">
        <v>51.212390899658203</v>
      </c>
      <c r="BS761" s="283">
        <v>42234</v>
      </c>
      <c r="BT761" s="282">
        <v>17.507026672363281</v>
      </c>
      <c r="BU761" s="283">
        <v>42234</v>
      </c>
      <c r="BV761" s="282">
        <v>50.786735534667969</v>
      </c>
      <c r="BW761" s="283">
        <v>42234</v>
      </c>
      <c r="BX761" s="282">
        <v>5.2352371215820312</v>
      </c>
      <c r="BY761" s="283">
        <v>42234</v>
      </c>
      <c r="CB761" s="267">
        <v>4.4400000000000004</v>
      </c>
      <c r="CD761" s="282">
        <v>5.1724137931034457</v>
      </c>
      <c r="CE761" s="291" t="s">
        <v>8401</v>
      </c>
      <c r="CH761" s="136">
        <v>2</v>
      </c>
      <c r="CI761" s="136">
        <v>5</v>
      </c>
      <c r="CL761" s="136">
        <v>5</v>
      </c>
      <c r="CM761" s="259">
        <v>42161</v>
      </c>
      <c r="CN761" s="137" t="s">
        <v>8406</v>
      </c>
    </row>
    <row r="762" spans="1:93">
      <c r="A762" s="258">
        <v>1254</v>
      </c>
      <c r="B762" s="235">
        <v>378</v>
      </c>
      <c r="C762" s="235" t="s">
        <v>7658</v>
      </c>
      <c r="D762" s="235" t="s">
        <v>7488</v>
      </c>
      <c r="E762" s="235" t="s">
        <v>7658</v>
      </c>
      <c r="F762" s="235" t="s">
        <v>8566</v>
      </c>
      <c r="G762" s="235" t="str">
        <f t="shared" si="400"/>
        <v>Rapsodyn</v>
      </c>
      <c r="H762" s="235" t="s">
        <v>267</v>
      </c>
      <c r="I762" s="235">
        <v>1</v>
      </c>
      <c r="J762" s="235">
        <v>9041</v>
      </c>
      <c r="K762" s="235">
        <v>61</v>
      </c>
      <c r="L762" s="235">
        <f t="shared" si="385"/>
        <v>133</v>
      </c>
      <c r="M762" s="235">
        <v>6</v>
      </c>
      <c r="N762" s="236">
        <v>9</v>
      </c>
      <c r="O762" s="248">
        <v>42048</v>
      </c>
      <c r="P762" s="136">
        <v>6.95</v>
      </c>
      <c r="Q762" s="264">
        <v>42204</v>
      </c>
      <c r="V762" s="219">
        <f t="shared" si="401"/>
        <v>20.086103999539585</v>
      </c>
      <c r="X762">
        <v>15.55</v>
      </c>
      <c r="AB762" s="220">
        <f t="shared" si="402"/>
        <v>7.3498060643174634</v>
      </c>
      <c r="AD762" s="221">
        <f t="shared" si="403"/>
        <v>98603.343441885969</v>
      </c>
      <c r="AF762" s="220">
        <f t="shared" si="404"/>
        <v>41.610610932475879</v>
      </c>
      <c r="AH762" s="220">
        <f t="shared" si="405"/>
        <v>46.659128652697788</v>
      </c>
      <c r="AJ762">
        <v>4.22</v>
      </c>
      <c r="AK762" s="285" t="s">
        <v>8402</v>
      </c>
      <c r="AL762" s="260">
        <v>155</v>
      </c>
      <c r="AN762" s="235">
        <v>72</v>
      </c>
      <c r="AO762" s="242">
        <v>42076</v>
      </c>
      <c r="AP762" s="235">
        <v>110</v>
      </c>
      <c r="AQ762" s="242">
        <v>42114</v>
      </c>
      <c r="AR762" s="136">
        <v>131</v>
      </c>
      <c r="AS762" s="297">
        <f t="shared" si="406"/>
        <v>131</v>
      </c>
      <c r="AT762" s="290">
        <v>42135</v>
      </c>
      <c r="AU762" s="298"/>
      <c r="BF762" s="282">
        <v>0.66528701782226563</v>
      </c>
      <c r="BG762" s="283">
        <v>42234</v>
      </c>
      <c r="BL762" s="296">
        <v>64.226799011230469</v>
      </c>
      <c r="BM762" s="283">
        <v>42234</v>
      </c>
      <c r="BP762" s="282">
        <v>4.3858871459960937</v>
      </c>
      <c r="BQ762" s="283">
        <v>42234</v>
      </c>
      <c r="BR762" s="282">
        <v>48.271591186523438</v>
      </c>
      <c r="BS762" s="283">
        <v>42234</v>
      </c>
      <c r="BT762" s="282">
        <v>17.663297653198242</v>
      </c>
      <c r="BU762" s="283">
        <v>42234</v>
      </c>
      <c r="BV762" s="282">
        <v>11.948159217834473</v>
      </c>
      <c r="BW762" s="283">
        <v>42234</v>
      </c>
      <c r="BX762" s="282">
        <v>5.380035400390625</v>
      </c>
      <c r="BY762" s="283">
        <v>42234</v>
      </c>
      <c r="CB762" s="267">
        <v>3.74</v>
      </c>
      <c r="CD762" s="282">
        <v>4.9999999999999964</v>
      </c>
      <c r="CE762" s="291" t="s">
        <v>8402</v>
      </c>
      <c r="CH762" s="136">
        <v>1</v>
      </c>
      <c r="CI762" s="136">
        <v>4</v>
      </c>
      <c r="CL762" s="136">
        <v>2</v>
      </c>
      <c r="CM762" s="259">
        <v>42161</v>
      </c>
      <c r="CN762" s="137" t="s">
        <v>8406</v>
      </c>
    </row>
    <row r="763" spans="1:93">
      <c r="A763" s="258">
        <v>1255</v>
      </c>
      <c r="B763" s="235">
        <v>379</v>
      </c>
      <c r="C763" s="235" t="s">
        <v>7627</v>
      </c>
      <c r="D763" s="235" t="s">
        <v>7461</v>
      </c>
      <c r="E763" s="235" t="s">
        <v>7627</v>
      </c>
      <c r="F763" s="235" t="s">
        <v>8440</v>
      </c>
      <c r="G763" s="235" t="str">
        <f t="shared" si="400"/>
        <v>Rapsodyn</v>
      </c>
      <c r="H763" s="235" t="s">
        <v>267</v>
      </c>
      <c r="I763" s="235">
        <v>1</v>
      </c>
      <c r="J763" s="235">
        <v>9019</v>
      </c>
      <c r="K763" s="235">
        <v>60</v>
      </c>
      <c r="L763" s="235">
        <f t="shared" si="385"/>
        <v>132</v>
      </c>
      <c r="M763" s="235">
        <v>6</v>
      </c>
      <c r="N763" s="235">
        <v>7</v>
      </c>
      <c r="O763" s="248">
        <v>42048</v>
      </c>
      <c r="P763" s="136">
        <v>4.34</v>
      </c>
      <c r="Q763" s="264">
        <v>42204</v>
      </c>
      <c r="V763" s="219">
        <f t="shared" si="401"/>
        <v>12.130340515326321</v>
      </c>
      <c r="X763">
        <v>15.55</v>
      </c>
      <c r="AB763" s="220">
        <f t="shared" si="402"/>
        <v>5.2445971841148422</v>
      </c>
      <c r="AD763" s="221">
        <f t="shared" si="403"/>
        <v>57948.662052427921</v>
      </c>
      <c r="AF763" s="220">
        <f t="shared" si="404"/>
        <v>25.961000599487711</v>
      </c>
      <c r="AH763" s="220">
        <f t="shared" si="405"/>
        <v>29.110787844233801</v>
      </c>
      <c r="AJ763">
        <v>4.4800000000000004</v>
      </c>
      <c r="AK763" s="285" t="s">
        <v>8399</v>
      </c>
      <c r="AL763" s="260">
        <v>175</v>
      </c>
      <c r="AN763" s="235">
        <v>72</v>
      </c>
      <c r="AO763" s="242">
        <v>42076</v>
      </c>
      <c r="AP763" s="235">
        <v>110</v>
      </c>
      <c r="AQ763" s="242">
        <v>42114</v>
      </c>
      <c r="AR763" s="136">
        <v>141</v>
      </c>
      <c r="AS763" s="297">
        <f t="shared" si="406"/>
        <v>141</v>
      </c>
      <c r="AT763" s="290">
        <v>42145</v>
      </c>
      <c r="AU763" s="298"/>
      <c r="BF763" s="282">
        <v>32.553863525390625</v>
      </c>
      <c r="BG763" s="283">
        <v>42234</v>
      </c>
      <c r="BL763" s="296">
        <v>59.235675811767578</v>
      </c>
      <c r="BM763" s="283">
        <v>42234</v>
      </c>
      <c r="BP763" s="282">
        <v>3.1813631057739258</v>
      </c>
      <c r="BQ763" s="283">
        <v>42234</v>
      </c>
      <c r="BR763" s="282">
        <v>46.725242614746094</v>
      </c>
      <c r="BS763" s="283">
        <v>42234</v>
      </c>
      <c r="BT763" s="282">
        <v>20.20182991027832</v>
      </c>
      <c r="BU763" s="283">
        <v>42234</v>
      </c>
      <c r="BV763" s="282">
        <v>55.492698669433594</v>
      </c>
      <c r="BW763" s="283">
        <v>42234</v>
      </c>
      <c r="BX763" s="282">
        <v>5.4948654174804687</v>
      </c>
      <c r="BY763" s="283">
        <v>42234</v>
      </c>
      <c r="CB763" s="267">
        <v>3.72</v>
      </c>
      <c r="CD763" s="282">
        <v>5.0847457627118757</v>
      </c>
      <c r="CE763" s="291" t="s">
        <v>8399</v>
      </c>
      <c r="CH763" s="136">
        <v>3</v>
      </c>
      <c r="CI763" s="136">
        <v>3</v>
      </c>
      <c r="CL763" s="136">
        <v>4</v>
      </c>
      <c r="CM763" s="259">
        <v>42161</v>
      </c>
      <c r="CN763" s="137" t="s">
        <v>8406</v>
      </c>
    </row>
    <row r="764" spans="1:93">
      <c r="A764" s="258">
        <v>1256</v>
      </c>
      <c r="B764" s="235">
        <v>380</v>
      </c>
      <c r="C764" s="235" t="s">
        <v>7619</v>
      </c>
      <c r="D764" s="235" t="s">
        <v>7455</v>
      </c>
      <c r="E764" s="235" t="s">
        <v>7619</v>
      </c>
      <c r="F764" s="235" t="s">
        <v>8574</v>
      </c>
      <c r="G764" s="235" t="str">
        <f t="shared" si="400"/>
        <v>Rapsodyn</v>
      </c>
      <c r="H764" s="235" t="s">
        <v>267</v>
      </c>
      <c r="I764" s="235">
        <v>1</v>
      </c>
      <c r="J764" s="235">
        <v>9012</v>
      </c>
      <c r="K764" s="235">
        <v>59</v>
      </c>
      <c r="L764" s="235">
        <f t="shared" si="385"/>
        <v>131</v>
      </c>
      <c r="M764" s="235">
        <v>6</v>
      </c>
      <c r="N764" s="235">
        <v>9</v>
      </c>
      <c r="O764" s="248">
        <v>42048</v>
      </c>
      <c r="P764" s="136">
        <v>4.3499999999999996</v>
      </c>
      <c r="Q764" s="264">
        <v>42204</v>
      </c>
      <c r="V764" s="219">
        <f t="shared" si="401"/>
        <v>11.812945635878386</v>
      </c>
      <c r="X764">
        <v>15.55</v>
      </c>
      <c r="AB764" s="220">
        <f t="shared" si="402"/>
        <v>5.4509888827455768</v>
      </c>
      <c r="AD764" s="221">
        <f t="shared" si="403"/>
        <v>53275.199696540643</v>
      </c>
      <c r="AF764" s="220">
        <f t="shared" si="404"/>
        <v>25.891747052518753</v>
      </c>
      <c r="AH764" s="220">
        <f t="shared" si="405"/>
        <v>29.033131927022595</v>
      </c>
      <c r="AJ764">
        <v>4.8600000000000003</v>
      </c>
      <c r="AK764" s="285" t="s">
        <v>8399</v>
      </c>
      <c r="AL764" s="260">
        <v>150</v>
      </c>
      <c r="AN764" s="235">
        <v>72</v>
      </c>
      <c r="AO764" s="242">
        <v>42076</v>
      </c>
      <c r="AP764" s="235">
        <v>104</v>
      </c>
      <c r="AQ764" s="242">
        <v>42108</v>
      </c>
      <c r="AR764" s="136">
        <v>132</v>
      </c>
      <c r="AS764" s="297">
        <f t="shared" si="406"/>
        <v>132</v>
      </c>
      <c r="AT764" s="290">
        <v>42136</v>
      </c>
      <c r="AU764" s="298"/>
      <c r="BF764" s="282">
        <v>34.254817962646484</v>
      </c>
      <c r="BG764" s="283">
        <v>42234</v>
      </c>
      <c r="BL764" s="296">
        <v>56.603569030761719</v>
      </c>
      <c r="BM764" s="283">
        <v>42234</v>
      </c>
      <c r="BP764" s="282">
        <v>2.9817049503326416</v>
      </c>
      <c r="BQ764" s="283">
        <v>42234</v>
      </c>
      <c r="BR764" s="282">
        <v>45.624366760253906</v>
      </c>
      <c r="BS764" s="283">
        <v>42234</v>
      </c>
      <c r="BT764" s="282">
        <v>21.052997589111328</v>
      </c>
      <c r="BU764" s="283">
        <v>42234</v>
      </c>
      <c r="BV764" s="282">
        <v>64.081932067871094</v>
      </c>
      <c r="BW764" s="283">
        <v>42234</v>
      </c>
      <c r="BX764" s="282">
        <v>5.6113662719726562</v>
      </c>
      <c r="BY764" s="283">
        <v>42234</v>
      </c>
      <c r="CB764" s="267">
        <v>2.88</v>
      </c>
      <c r="CD764" s="282">
        <v>5.5555555555555687</v>
      </c>
      <c r="CE764" s="291" t="s">
        <v>8399</v>
      </c>
      <c r="CH764" s="136">
        <v>1</v>
      </c>
      <c r="CI764" s="136">
        <v>2</v>
      </c>
      <c r="CL764" s="136">
        <v>5</v>
      </c>
      <c r="CM764" s="259">
        <v>42161</v>
      </c>
      <c r="CN764" s="137" t="s">
        <v>8406</v>
      </c>
    </row>
    <row r="765" spans="1:93">
      <c r="A765" s="258">
        <v>1259</v>
      </c>
      <c r="B765" s="235">
        <v>383</v>
      </c>
      <c r="C765" s="235" t="s">
        <v>7736</v>
      </c>
      <c r="D765" s="235" t="s">
        <v>7884</v>
      </c>
      <c r="E765" s="235" t="s">
        <v>7736</v>
      </c>
      <c r="F765" s="235" t="s">
        <v>8570</v>
      </c>
      <c r="G765" s="235" t="str">
        <f t="shared" si="400"/>
        <v>Rapsodyn</v>
      </c>
      <c r="H765" s="235" t="s">
        <v>267</v>
      </c>
      <c r="I765" s="235">
        <v>1</v>
      </c>
      <c r="J765" s="235">
        <v>9116</v>
      </c>
      <c r="K765" s="235">
        <v>56</v>
      </c>
      <c r="L765" s="235">
        <f t="shared" si="385"/>
        <v>128</v>
      </c>
      <c r="M765" s="235">
        <v>6</v>
      </c>
      <c r="N765" s="235">
        <v>7</v>
      </c>
      <c r="O765" s="248">
        <v>42048</v>
      </c>
      <c r="P765" s="136">
        <v>4.18</v>
      </c>
      <c r="Q765" s="264">
        <v>42204</v>
      </c>
      <c r="V765" s="219">
        <f t="shared" si="401"/>
        <v>11.468861752488808</v>
      </c>
      <c r="X765">
        <v>15.55</v>
      </c>
      <c r="AB765" s="220">
        <f t="shared" si="402"/>
        <v>4.7300836378477236</v>
      </c>
      <c r="AD765" s="221">
        <f t="shared" si="403"/>
        <v>60486.24279064346</v>
      </c>
      <c r="AF765" s="220">
        <f t="shared" si="404"/>
        <v>24.557414573001243</v>
      </c>
      <c r="AH765" s="220">
        <f t="shared" si="405"/>
        <v>27.536908020858093</v>
      </c>
      <c r="AJ765">
        <v>4.0599999999999996</v>
      </c>
      <c r="AK765" s="285" t="s">
        <v>8403</v>
      </c>
      <c r="AL765" s="260">
        <v>165</v>
      </c>
      <c r="AN765" s="235">
        <v>79</v>
      </c>
      <c r="AO765" s="242">
        <v>42083</v>
      </c>
      <c r="AP765" s="235">
        <v>113</v>
      </c>
      <c r="AQ765" s="242">
        <v>42117</v>
      </c>
      <c r="AR765" s="136">
        <v>141</v>
      </c>
      <c r="AS765" s="297">
        <f t="shared" si="406"/>
        <v>141</v>
      </c>
      <c r="AT765" s="290">
        <v>42145</v>
      </c>
      <c r="AU765" s="298"/>
      <c r="BF765" s="282">
        <v>40.190830230712891</v>
      </c>
      <c r="BG765" s="283">
        <v>42234</v>
      </c>
      <c r="BL765" s="296">
        <v>60.705711364746094</v>
      </c>
      <c r="BM765" s="283">
        <v>42234</v>
      </c>
      <c r="BP765" s="282">
        <v>2.7680659294128418</v>
      </c>
      <c r="BQ765" s="283">
        <v>42234</v>
      </c>
      <c r="BR765" s="282">
        <v>46.702236175537109</v>
      </c>
      <c r="BS765" s="283">
        <v>42234</v>
      </c>
      <c r="BT765" s="282">
        <v>19.261325836181641</v>
      </c>
      <c r="BU765" s="283">
        <v>42234</v>
      </c>
      <c r="BV765" s="282">
        <v>62.205558776855469</v>
      </c>
      <c r="BW765" s="283">
        <v>42234</v>
      </c>
      <c r="BX765" s="282">
        <v>5.5745925903320312</v>
      </c>
      <c r="BY765" s="283">
        <v>42234</v>
      </c>
      <c r="CB765" s="267">
        <v>2.89</v>
      </c>
      <c r="CD765" s="282">
        <v>6.7796610169491585</v>
      </c>
      <c r="CE765" s="291" t="s">
        <v>8403</v>
      </c>
      <c r="CH765" s="136">
        <v>2</v>
      </c>
      <c r="CI765" s="136">
        <v>8</v>
      </c>
      <c r="CL765" s="136">
        <v>7</v>
      </c>
      <c r="CM765" s="259">
        <v>42161</v>
      </c>
      <c r="CO765" s="137" t="s">
        <v>8405</v>
      </c>
    </row>
    <row r="766" spans="1:93">
      <c r="A766" s="258">
        <v>1260</v>
      </c>
      <c r="B766" s="235">
        <v>384</v>
      </c>
      <c r="C766" s="235" t="s">
        <v>8238</v>
      </c>
      <c r="D766" s="235" t="s">
        <v>7562</v>
      </c>
      <c r="E766" s="235" t="s">
        <v>8461</v>
      </c>
      <c r="F766" s="235" t="s">
        <v>8469</v>
      </c>
      <c r="G766" s="235" t="str">
        <f t="shared" si="400"/>
        <v>Rapsodyn</v>
      </c>
      <c r="H766" s="235" t="s">
        <v>267</v>
      </c>
      <c r="I766" s="235">
        <v>1</v>
      </c>
      <c r="J766" s="235">
        <v>9355</v>
      </c>
      <c r="K766" s="235">
        <v>55</v>
      </c>
      <c r="L766" s="235">
        <f t="shared" si="385"/>
        <v>127</v>
      </c>
      <c r="M766" s="235">
        <v>6</v>
      </c>
      <c r="N766" s="235">
        <v>7</v>
      </c>
      <c r="O766" s="248">
        <v>42048</v>
      </c>
      <c r="P766" s="136">
        <v>6.18</v>
      </c>
      <c r="Q766" s="264">
        <v>42204</v>
      </c>
      <c r="R766" s="263"/>
      <c r="V766" s="219">
        <f t="shared" si="401"/>
        <v>17.692157479358983</v>
      </c>
      <c r="X766">
        <v>15.55</v>
      </c>
      <c r="AB766" s="220">
        <f t="shared" si="402"/>
        <v>7.1592749130241273</v>
      </c>
      <c r="AD766" s="221">
        <f t="shared" si="403"/>
        <v>77516.848675499976</v>
      </c>
      <c r="AF766" s="220">
        <f t="shared" si="404"/>
        <v>36.898019969537991</v>
      </c>
      <c r="AH766" s="220">
        <f t="shared" si="405"/>
        <v>41.374770093673462</v>
      </c>
      <c r="AJ766">
        <v>4.76</v>
      </c>
      <c r="AK766" s="285" t="s">
        <v>8403</v>
      </c>
      <c r="AL766" s="260">
        <v>165</v>
      </c>
      <c r="AN766" s="235">
        <v>79</v>
      </c>
      <c r="AO766" s="242">
        <v>42083</v>
      </c>
      <c r="AP766" s="235">
        <v>106</v>
      </c>
      <c r="AQ766" s="242">
        <v>42110</v>
      </c>
      <c r="AR766" s="136">
        <v>135</v>
      </c>
      <c r="AS766" s="297">
        <f t="shared" si="406"/>
        <v>135</v>
      </c>
      <c r="AT766" s="290">
        <v>42139</v>
      </c>
      <c r="AU766" s="298"/>
      <c r="BF766" s="282">
        <v>0.4113520085811615</v>
      </c>
      <c r="BG766" s="283">
        <v>42234</v>
      </c>
      <c r="BL766" s="296">
        <v>60.094757080078125</v>
      </c>
      <c r="BM766" s="283">
        <v>42234</v>
      </c>
      <c r="BP766" s="282">
        <v>3.65625</v>
      </c>
      <c r="BQ766" s="283">
        <v>42234</v>
      </c>
      <c r="BR766" s="282">
        <v>47.948799133300781</v>
      </c>
      <c r="BS766" s="283">
        <v>42234</v>
      </c>
      <c r="BT766" s="282">
        <v>19.402870178222656</v>
      </c>
      <c r="BU766" s="283">
        <v>42234</v>
      </c>
      <c r="BV766" s="282">
        <v>13.238417625427246</v>
      </c>
      <c r="BW766" s="283">
        <v>42234</v>
      </c>
      <c r="BX766" s="282">
        <v>5.4241790771484375</v>
      </c>
      <c r="BY766" s="283">
        <v>42234</v>
      </c>
      <c r="CB766" s="267">
        <v>3.76</v>
      </c>
      <c r="CD766" s="282">
        <v>5.2631578947368389</v>
      </c>
      <c r="CE766" s="291" t="s">
        <v>8403</v>
      </c>
      <c r="CH766" s="136">
        <v>3</v>
      </c>
      <c r="CI766" s="136">
        <v>5</v>
      </c>
      <c r="CL766" s="136">
        <v>3</v>
      </c>
      <c r="CM766" s="259">
        <v>42161</v>
      </c>
      <c r="CN766" s="137" t="s">
        <v>8406</v>
      </c>
    </row>
    <row r="767" spans="1:93">
      <c r="A767" s="258">
        <v>1261</v>
      </c>
      <c r="B767" s="235">
        <v>385</v>
      </c>
      <c r="C767" s="235" t="s">
        <v>7786</v>
      </c>
      <c r="D767" s="235" t="s">
        <v>7584</v>
      </c>
      <c r="E767" s="235" t="s">
        <v>7786</v>
      </c>
      <c r="F767" s="235" t="s">
        <v>8438</v>
      </c>
      <c r="G767" s="235" t="str">
        <f t="shared" si="400"/>
        <v>Rapsodyn</v>
      </c>
      <c r="H767" s="235" t="s">
        <v>267</v>
      </c>
      <c r="I767" s="235">
        <v>1</v>
      </c>
      <c r="J767" s="235">
        <v>9157</v>
      </c>
      <c r="K767" s="235">
        <v>54</v>
      </c>
      <c r="L767" s="235">
        <f t="shared" si="385"/>
        <v>126</v>
      </c>
      <c r="M767" s="235">
        <v>6</v>
      </c>
      <c r="N767" s="235">
        <v>5</v>
      </c>
      <c r="O767" s="248">
        <v>42048</v>
      </c>
      <c r="P767" s="136">
        <v>6.9</v>
      </c>
      <c r="Q767" s="264">
        <v>42204</v>
      </c>
      <c r="V767" s="219">
        <f t="shared" si="401"/>
        <v>21.411923161685962</v>
      </c>
      <c r="X767">
        <v>15.55</v>
      </c>
      <c r="AB767" s="220">
        <f t="shared" si="402"/>
        <v>7.0808776049275846</v>
      </c>
      <c r="AD767" s="221">
        <f t="shared" si="403"/>
        <v>96706.14650842952</v>
      </c>
      <c r="AF767" s="220">
        <f t="shared" si="404"/>
        <v>41.196818412590972</v>
      </c>
      <c r="AH767" s="220">
        <f t="shared" si="405"/>
        <v>46.195131657984938</v>
      </c>
      <c r="AJ767">
        <v>4.26</v>
      </c>
      <c r="AK767" s="285" t="s">
        <v>8399</v>
      </c>
      <c r="AL767" s="260">
        <v>165</v>
      </c>
      <c r="AN767" s="235">
        <v>70</v>
      </c>
      <c r="AO767" s="242">
        <v>42074</v>
      </c>
      <c r="AP767" s="235">
        <v>106</v>
      </c>
      <c r="AQ767" s="242">
        <v>42110</v>
      </c>
      <c r="AR767" s="136">
        <v>133</v>
      </c>
      <c r="AS767" s="297">
        <f t="shared" si="406"/>
        <v>133</v>
      </c>
      <c r="AT767" s="290">
        <v>42137</v>
      </c>
      <c r="AU767" s="298"/>
      <c r="BF767" s="282">
        <v>-5.5727019309997559</v>
      </c>
      <c r="BG767" s="283">
        <v>42234</v>
      </c>
      <c r="BL767" s="296">
        <v>63.173797607421875</v>
      </c>
      <c r="BM767" s="283">
        <v>42234</v>
      </c>
      <c r="BP767" s="282">
        <v>3.4635879993438721</v>
      </c>
      <c r="BQ767" s="283">
        <v>42234</v>
      </c>
      <c r="BR767" s="282">
        <v>51.974700927734375</v>
      </c>
      <c r="BS767" s="283">
        <v>42234</v>
      </c>
      <c r="BT767" s="282">
        <v>17.187923431396484</v>
      </c>
      <c r="BU767" s="283">
        <v>42234</v>
      </c>
      <c r="BV767" s="282">
        <v>10.02277946472168</v>
      </c>
      <c r="BW767" s="283">
        <v>42234</v>
      </c>
      <c r="BX767" s="282">
        <v>5.4487457275390625</v>
      </c>
      <c r="BY767" s="283">
        <v>42234</v>
      </c>
      <c r="CB767" s="267">
        <v>5.09</v>
      </c>
      <c r="CD767" s="282">
        <v>5.2631578947368389</v>
      </c>
      <c r="CE767" s="291" t="s">
        <v>8399</v>
      </c>
      <c r="CH767" s="136">
        <v>2</v>
      </c>
      <c r="CI767" s="136">
        <v>4</v>
      </c>
      <c r="CL767" s="136">
        <v>4</v>
      </c>
      <c r="CM767" s="259">
        <v>42161</v>
      </c>
      <c r="CN767" s="137" t="s">
        <v>8406</v>
      </c>
    </row>
    <row r="768" spans="1:93">
      <c r="A768" s="258">
        <v>1262</v>
      </c>
      <c r="B768" s="235">
        <v>386</v>
      </c>
      <c r="C768" s="235" t="s">
        <v>7787</v>
      </c>
      <c r="D768" s="235" t="s">
        <v>7585</v>
      </c>
      <c r="E768" s="235" t="s">
        <v>7787</v>
      </c>
      <c r="F768" s="235" t="s">
        <v>8616</v>
      </c>
      <c r="G768" s="235" t="str">
        <f t="shared" si="400"/>
        <v>Rapsodyn</v>
      </c>
      <c r="H768" s="235" t="s">
        <v>267</v>
      </c>
      <c r="I768" s="235">
        <v>1</v>
      </c>
      <c r="J768" s="235">
        <v>9158</v>
      </c>
      <c r="K768" s="235">
        <v>53</v>
      </c>
      <c r="L768" s="235">
        <f t="shared" ref="L768:L806" si="407">72+K768</f>
        <v>125</v>
      </c>
      <c r="M768" s="235">
        <v>6</v>
      </c>
      <c r="N768" s="235">
        <v>7</v>
      </c>
      <c r="O768" s="248">
        <v>42048</v>
      </c>
      <c r="P768" s="136">
        <v>7.17</v>
      </c>
      <c r="Q768" s="264">
        <v>42204</v>
      </c>
      <c r="V768" s="219">
        <f t="shared" si="401"/>
        <v>21.592621098337027</v>
      </c>
      <c r="X768">
        <v>15.55</v>
      </c>
      <c r="AB768" s="220">
        <f t="shared" si="402"/>
        <v>6.8970724056355515</v>
      </c>
      <c r="AD768" s="221">
        <f t="shared" si="403"/>
        <v>82433.666274224903</v>
      </c>
      <c r="AF768" s="220">
        <f t="shared" si="404"/>
        <v>42.123603466128934</v>
      </c>
      <c r="AH768" s="220">
        <f t="shared" si="405"/>
        <v>47.234361365921664</v>
      </c>
      <c r="AJ768">
        <v>5.1100000000000003</v>
      </c>
      <c r="AK768" s="285" t="s">
        <v>8399</v>
      </c>
      <c r="AL768" s="260">
        <v>170</v>
      </c>
      <c r="AN768" s="235">
        <v>79</v>
      </c>
      <c r="AO768" s="242">
        <v>42083</v>
      </c>
      <c r="AP768" s="235">
        <v>106</v>
      </c>
      <c r="AQ768" s="242">
        <v>42110</v>
      </c>
      <c r="AR768" s="136">
        <v>131</v>
      </c>
      <c r="AS768" s="297">
        <f t="shared" si="406"/>
        <v>131</v>
      </c>
      <c r="AT768" s="290">
        <v>42135</v>
      </c>
      <c r="AU768" s="298"/>
      <c r="BF768" s="282">
        <v>-2.763498067855835</v>
      </c>
      <c r="BG768" s="283">
        <v>42234</v>
      </c>
      <c r="BL768" s="296">
        <v>63.193145751953125</v>
      </c>
      <c r="BM768" s="283">
        <v>42234</v>
      </c>
      <c r="BP768" s="282">
        <v>3.9192490577697754</v>
      </c>
      <c r="BQ768" s="283">
        <v>42234</v>
      </c>
      <c r="BR768" s="282">
        <v>51.260147094726563</v>
      </c>
      <c r="BS768" s="283">
        <v>42234</v>
      </c>
      <c r="BT768" s="282">
        <v>16.373414993286133</v>
      </c>
      <c r="BU768" s="283">
        <v>42234</v>
      </c>
      <c r="BV768" s="282">
        <v>14.552348136901855</v>
      </c>
      <c r="BW768" s="283">
        <v>42234</v>
      </c>
      <c r="BX768" s="282">
        <v>5.2834548950195312</v>
      </c>
      <c r="BY768" s="283">
        <v>42234</v>
      </c>
      <c r="CB768" s="267">
        <v>3.15</v>
      </c>
      <c r="CD768" s="282">
        <v>6.7796610169491585</v>
      </c>
      <c r="CE768" s="291" t="s">
        <v>8399</v>
      </c>
      <c r="CH768" s="136">
        <v>2</v>
      </c>
      <c r="CI768" s="136">
        <v>2</v>
      </c>
      <c r="CL768" s="136">
        <v>4</v>
      </c>
      <c r="CM768" s="259">
        <v>42161</v>
      </c>
      <c r="CN768" s="137" t="s">
        <v>8406</v>
      </c>
    </row>
    <row r="769" spans="1:93">
      <c r="A769" s="258">
        <v>1263</v>
      </c>
      <c r="B769" s="235">
        <v>387</v>
      </c>
      <c r="C769" s="235" t="s">
        <v>7576</v>
      </c>
      <c r="D769" s="235"/>
      <c r="E769" s="235"/>
      <c r="F769" s="235"/>
      <c r="G769" s="235"/>
      <c r="H769" s="235" t="s">
        <v>267</v>
      </c>
      <c r="I769" s="235">
        <v>1</v>
      </c>
      <c r="K769" s="235">
        <v>52</v>
      </c>
      <c r="L769" s="235">
        <f t="shared" si="407"/>
        <v>124</v>
      </c>
      <c r="M769" s="235">
        <v>6</v>
      </c>
      <c r="O769" s="248">
        <v>42048</v>
      </c>
      <c r="V769" s="219"/>
      <c r="X769">
        <v>15.55</v>
      </c>
      <c r="AB769" s="220"/>
      <c r="AD769" s="221"/>
      <c r="AF769" s="220"/>
      <c r="AH769" s="220"/>
      <c r="AJ769" s="286"/>
      <c r="AK769" s="285"/>
      <c r="AL769" s="260"/>
      <c r="AN769" s="235">
        <v>70</v>
      </c>
      <c r="AO769" s="242">
        <v>42074</v>
      </c>
      <c r="AP769" s="235">
        <v>106</v>
      </c>
      <c r="AQ769" s="242">
        <v>42110</v>
      </c>
      <c r="AS769" s="297"/>
      <c r="AT769" s="290"/>
      <c r="AU769" s="298"/>
      <c r="BF769" s="282"/>
      <c r="BG769" s="235"/>
      <c r="BL769" s="296"/>
      <c r="BM769" s="235"/>
      <c r="BP769" s="282"/>
      <c r="BQ769" s="235"/>
      <c r="BR769" s="282"/>
      <c r="BS769" s="235"/>
      <c r="BT769" s="282"/>
      <c r="BU769" s="235"/>
      <c r="BV769" s="282"/>
      <c r="BW769" s="235"/>
      <c r="BX769" s="282"/>
      <c r="BY769" s="235"/>
      <c r="CB769" s="267"/>
      <c r="CD769" s="282"/>
      <c r="CE769" s="291"/>
      <c r="CL769" s="136">
        <v>4</v>
      </c>
      <c r="CM769" s="259">
        <v>42161</v>
      </c>
    </row>
    <row r="770" spans="1:93">
      <c r="A770" s="258">
        <v>1264</v>
      </c>
      <c r="B770" s="235">
        <v>388</v>
      </c>
      <c r="C770" s="235" t="s">
        <v>7576</v>
      </c>
      <c r="D770" s="235"/>
      <c r="E770" s="235"/>
      <c r="F770" s="235"/>
      <c r="G770" s="235"/>
      <c r="H770" s="235" t="s">
        <v>267</v>
      </c>
      <c r="I770" s="235">
        <v>1</v>
      </c>
      <c r="K770" s="235">
        <v>51</v>
      </c>
      <c r="L770" s="235">
        <f t="shared" si="407"/>
        <v>123</v>
      </c>
      <c r="M770" s="235">
        <v>6</v>
      </c>
      <c r="O770" s="248">
        <v>42048</v>
      </c>
      <c r="V770" s="219"/>
      <c r="X770">
        <v>15.55</v>
      </c>
      <c r="AB770" s="220"/>
      <c r="AD770" s="221"/>
      <c r="AF770" s="220"/>
      <c r="AH770" s="220"/>
      <c r="AJ770" s="286"/>
      <c r="AK770" s="285"/>
      <c r="AL770" s="260"/>
      <c r="AN770" s="235">
        <v>70</v>
      </c>
      <c r="AO770" s="242">
        <v>42074</v>
      </c>
      <c r="AP770" s="235">
        <v>106</v>
      </c>
      <c r="AQ770" s="242">
        <v>42110</v>
      </c>
      <c r="AS770" s="297"/>
      <c r="AT770" s="290"/>
      <c r="AU770" s="298"/>
      <c r="BF770" s="282"/>
      <c r="BG770" s="235"/>
      <c r="BL770" s="296"/>
      <c r="BM770" s="235"/>
      <c r="BP770" s="282"/>
      <c r="BQ770" s="235"/>
      <c r="BR770" s="282"/>
      <c r="BS770" s="235"/>
      <c r="BT770" s="282"/>
      <c r="BU770" s="235"/>
      <c r="BV770" s="282"/>
      <c r="BW770" s="235"/>
      <c r="BX770" s="282"/>
      <c r="BY770" s="235"/>
      <c r="CB770" s="267"/>
      <c r="CD770" s="282"/>
      <c r="CE770" s="291"/>
      <c r="CL770" s="136">
        <v>3</v>
      </c>
      <c r="CM770" s="259">
        <v>42161</v>
      </c>
    </row>
    <row r="771" spans="1:93">
      <c r="A771" s="258">
        <v>1270</v>
      </c>
      <c r="B771" s="235">
        <v>394</v>
      </c>
      <c r="C771" s="235" t="s">
        <v>7692</v>
      </c>
      <c r="D771" s="235" t="s">
        <v>7518</v>
      </c>
      <c r="E771" s="235" t="s">
        <v>7692</v>
      </c>
      <c r="F771" s="235" t="s">
        <v>8515</v>
      </c>
      <c r="G771" s="235" t="str">
        <f t="shared" ref="G771:G776" si="408">IF(MID(C771,1,3)="BGA","Complement","Rapsodyn")</f>
        <v>Rapsodyn</v>
      </c>
      <c r="H771" s="235" t="s">
        <v>267</v>
      </c>
      <c r="I771" s="235">
        <v>1</v>
      </c>
      <c r="J771" s="235">
        <v>9074</v>
      </c>
      <c r="K771" s="235">
        <v>45</v>
      </c>
      <c r="L771" s="235">
        <f t="shared" si="407"/>
        <v>117</v>
      </c>
      <c r="M771" s="235">
        <v>6</v>
      </c>
      <c r="N771" s="235">
        <v>7</v>
      </c>
      <c r="O771" s="248">
        <v>42048</v>
      </c>
      <c r="P771" s="136">
        <v>5.74</v>
      </c>
      <c r="Q771" s="264">
        <v>42204</v>
      </c>
      <c r="V771" s="219">
        <f t="shared" ref="V771:V776" si="409">+BR771*AF771/100</f>
        <v>16.103017723539274</v>
      </c>
      <c r="X771">
        <v>15.55</v>
      </c>
      <c r="AB771" s="220">
        <f t="shared" ref="AB771:AB776" si="410">+AF771*BT771/100</f>
        <v>6.2388605980091167</v>
      </c>
      <c r="AD771" s="221">
        <f t="shared" ref="AD771:AD776" si="411">+(AF771/AJ771)*10000</f>
        <v>69496.547033124531</v>
      </c>
      <c r="AF771" s="220">
        <f t="shared" ref="AF771:AF776" si="412">($P771/$X771)*(((100-$CD771)/100*(100-2)/100))*100</f>
        <v>33.636328764032271</v>
      </c>
      <c r="AH771" s="220">
        <f t="shared" ref="AH771:AH776" si="413">($P771/$X771)*(((100-$CD771)/(100-9)*(100-2)/(100-2))*100)</f>
        <v>37.717345552850716</v>
      </c>
      <c r="AJ771">
        <v>4.84</v>
      </c>
      <c r="AK771" s="285" t="s">
        <v>8399</v>
      </c>
      <c r="AL771" s="260">
        <v>165</v>
      </c>
      <c r="AN771" s="235">
        <v>79</v>
      </c>
      <c r="AO771" s="242">
        <v>42083</v>
      </c>
      <c r="AP771" s="235">
        <v>106</v>
      </c>
      <c r="AQ771" s="242">
        <v>42110</v>
      </c>
      <c r="AR771" s="136">
        <v>131</v>
      </c>
      <c r="AS771" s="297">
        <f t="shared" ref="AS771:AS776" si="414">IF(AR771=0,,AR771)</f>
        <v>131</v>
      </c>
      <c r="AT771" s="290">
        <v>42135</v>
      </c>
      <c r="AU771" s="298"/>
      <c r="BF771" s="282">
        <v>-5.5097370147705078</v>
      </c>
      <c r="BG771" s="283">
        <v>42235</v>
      </c>
      <c r="BL771" s="296">
        <v>63.729022979736328</v>
      </c>
      <c r="BM771" s="283">
        <v>42235</v>
      </c>
      <c r="BP771" s="282">
        <v>4.0951638221740723</v>
      </c>
      <c r="BQ771" s="283">
        <v>42235</v>
      </c>
      <c r="BR771" s="282">
        <v>47.873886108398437</v>
      </c>
      <c r="BS771" s="283">
        <v>42235</v>
      </c>
      <c r="BT771" s="282">
        <v>18.547983169555664</v>
      </c>
      <c r="BU771" s="283">
        <v>42235</v>
      </c>
      <c r="BV771" s="282">
        <v>11.670755386352539</v>
      </c>
      <c r="BW771" s="283">
        <v>42235</v>
      </c>
      <c r="BX771" s="282">
        <v>5.5922012329101563</v>
      </c>
      <c r="BY771" s="283">
        <v>42235</v>
      </c>
      <c r="CB771" s="267">
        <v>3.54</v>
      </c>
      <c r="CD771" s="282">
        <v>7.0175438596491295</v>
      </c>
      <c r="CE771" s="291" t="s">
        <v>8399</v>
      </c>
      <c r="CH771" s="136">
        <v>2</v>
      </c>
      <c r="CI771" s="136">
        <v>3</v>
      </c>
      <c r="CL771" s="136">
        <v>3</v>
      </c>
      <c r="CM771" s="259">
        <v>42161</v>
      </c>
      <c r="CN771" s="137" t="s">
        <v>8406</v>
      </c>
    </row>
    <row r="772" spans="1:93">
      <c r="A772" s="258">
        <v>1272</v>
      </c>
      <c r="B772" s="235">
        <v>396</v>
      </c>
      <c r="C772" s="235" t="s">
        <v>7624</v>
      </c>
      <c r="D772" s="235" t="s">
        <v>7459</v>
      </c>
      <c r="E772" s="235" t="s">
        <v>7624</v>
      </c>
      <c r="F772" s="235" t="s">
        <v>8504</v>
      </c>
      <c r="G772" s="235" t="str">
        <f t="shared" si="408"/>
        <v>Rapsodyn</v>
      </c>
      <c r="H772" s="235" t="s">
        <v>267</v>
      </c>
      <c r="I772" s="235">
        <v>1</v>
      </c>
      <c r="J772" s="235">
        <v>9016</v>
      </c>
      <c r="K772" s="235">
        <v>43</v>
      </c>
      <c r="L772" s="235">
        <f t="shared" si="407"/>
        <v>115</v>
      </c>
      <c r="M772" s="235">
        <v>6</v>
      </c>
      <c r="N772" s="235">
        <v>7</v>
      </c>
      <c r="O772" s="248">
        <v>42048</v>
      </c>
      <c r="P772" s="136">
        <v>3.51</v>
      </c>
      <c r="Q772" s="264">
        <v>42204</v>
      </c>
      <c r="V772" s="219">
        <f t="shared" si="409"/>
        <v>9.5008157717924551</v>
      </c>
      <c r="X772">
        <v>15.55</v>
      </c>
      <c r="AB772" s="220">
        <f t="shared" si="410"/>
        <v>3.8010501178874985</v>
      </c>
      <c r="AD772" s="221">
        <f t="shared" si="411"/>
        <v>41053.325681800314</v>
      </c>
      <c r="AF772" s="220">
        <f t="shared" si="412"/>
        <v>20.034022932718553</v>
      </c>
      <c r="AH772" s="220">
        <f t="shared" si="413"/>
        <v>22.464703894055344</v>
      </c>
      <c r="AJ772">
        <v>4.88</v>
      </c>
      <c r="AK772" s="285" t="s">
        <v>8399</v>
      </c>
      <c r="AL772" s="260">
        <v>185</v>
      </c>
      <c r="AN772" s="235">
        <v>70</v>
      </c>
      <c r="AO772" s="242">
        <v>42074</v>
      </c>
      <c r="AP772" s="235">
        <v>104</v>
      </c>
      <c r="AQ772" s="242">
        <v>42108</v>
      </c>
      <c r="AR772" s="136">
        <v>135</v>
      </c>
      <c r="AS772" s="297">
        <f t="shared" si="414"/>
        <v>135</v>
      </c>
      <c r="AT772" s="290">
        <v>42139</v>
      </c>
      <c r="AU772" s="298"/>
      <c r="BF772" s="282">
        <v>20.712373733520508</v>
      </c>
      <c r="BG772" s="283">
        <v>42235</v>
      </c>
      <c r="BL772" s="296">
        <v>62.636775970458984</v>
      </c>
      <c r="BM772" s="283">
        <v>42235</v>
      </c>
      <c r="BP772" s="282">
        <v>3.7115349769592285</v>
      </c>
      <c r="BQ772" s="283">
        <v>42235</v>
      </c>
      <c r="BR772" s="282">
        <v>47.423404693603516</v>
      </c>
      <c r="BS772" s="283">
        <v>42235</v>
      </c>
      <c r="BT772" s="282">
        <v>18.97297477722168</v>
      </c>
      <c r="BU772" s="283">
        <v>42235</v>
      </c>
      <c r="BV772" s="282">
        <v>60.289970397949219</v>
      </c>
      <c r="BW772" s="283">
        <v>42235</v>
      </c>
      <c r="BX772" s="282">
        <v>5.7225112915039062</v>
      </c>
      <c r="BY772" s="283">
        <v>42235</v>
      </c>
      <c r="CB772" s="267">
        <v>4.28</v>
      </c>
      <c r="CD772" s="282">
        <v>9.433962264150944</v>
      </c>
      <c r="CE772" s="291" t="s">
        <v>8399</v>
      </c>
      <c r="CH772" s="136">
        <v>3</v>
      </c>
      <c r="CI772" s="136">
        <v>5</v>
      </c>
      <c r="CL772" s="136">
        <v>8</v>
      </c>
      <c r="CM772" s="259">
        <v>42161</v>
      </c>
      <c r="CN772" s="137" t="s">
        <v>8391</v>
      </c>
    </row>
    <row r="773" spans="1:93">
      <c r="A773" s="258">
        <v>1273</v>
      </c>
      <c r="B773" s="235">
        <v>397</v>
      </c>
      <c r="C773" s="235" t="s">
        <v>7729</v>
      </c>
      <c r="D773" s="235" t="s">
        <v>7552</v>
      </c>
      <c r="E773" s="235" t="s">
        <v>7729</v>
      </c>
      <c r="F773" s="235" t="s">
        <v>8568</v>
      </c>
      <c r="G773" s="235" t="str">
        <f t="shared" si="408"/>
        <v>Rapsodyn</v>
      </c>
      <c r="H773" s="235" t="s">
        <v>267</v>
      </c>
      <c r="I773" s="235">
        <v>1</v>
      </c>
      <c r="J773" s="235">
        <v>9111</v>
      </c>
      <c r="K773" s="235">
        <v>42</v>
      </c>
      <c r="L773" s="235">
        <f t="shared" si="407"/>
        <v>114</v>
      </c>
      <c r="M773" s="235">
        <v>6</v>
      </c>
      <c r="N773" s="235">
        <v>7</v>
      </c>
      <c r="O773" s="248">
        <v>42048</v>
      </c>
      <c r="P773" s="136">
        <v>5.96</v>
      </c>
      <c r="Q773" s="264">
        <v>42204</v>
      </c>
      <c r="V773" s="219">
        <f t="shared" si="409"/>
        <v>18.033870320376348</v>
      </c>
      <c r="X773">
        <v>15.55</v>
      </c>
      <c r="AB773" s="220">
        <f t="shared" si="410"/>
        <v>6.5228379914093928</v>
      </c>
      <c r="AD773" s="221">
        <f t="shared" si="411"/>
        <v>72905.895217224883</v>
      </c>
      <c r="AF773" s="220">
        <f t="shared" si="412"/>
        <v>36.088418132526321</v>
      </c>
      <c r="AH773" s="220">
        <f t="shared" si="413"/>
        <v>40.466941166770944</v>
      </c>
      <c r="AJ773">
        <v>4.95</v>
      </c>
      <c r="AK773" s="285" t="s">
        <v>8400</v>
      </c>
      <c r="AL773" s="260">
        <v>180</v>
      </c>
      <c r="AN773" s="235">
        <v>72</v>
      </c>
      <c r="AO773" s="242">
        <v>42076</v>
      </c>
      <c r="AP773" s="235">
        <v>106</v>
      </c>
      <c r="AQ773" s="242">
        <v>42110</v>
      </c>
      <c r="AR773" s="136">
        <v>131</v>
      </c>
      <c r="AS773" s="297">
        <f t="shared" si="414"/>
        <v>131</v>
      </c>
      <c r="AT773" s="290">
        <v>42135</v>
      </c>
      <c r="AU773" s="298"/>
      <c r="BF773" s="282">
        <v>-4.2765049934387207</v>
      </c>
      <c r="BG773" s="283">
        <v>42235</v>
      </c>
      <c r="BL773" s="296">
        <v>60.458335876464844</v>
      </c>
      <c r="BM773" s="283">
        <v>42235</v>
      </c>
      <c r="BP773" s="282">
        <v>2.8268239498138428</v>
      </c>
      <c r="BQ773" s="283">
        <v>42235</v>
      </c>
      <c r="BR773" s="282">
        <v>49.971351623535156</v>
      </c>
      <c r="BS773" s="283">
        <v>42235</v>
      </c>
      <c r="BT773" s="282">
        <v>18.074602127075195</v>
      </c>
      <c r="BU773" s="283">
        <v>42235</v>
      </c>
      <c r="BV773" s="282">
        <v>13.13016414642334</v>
      </c>
      <c r="BW773" s="283">
        <v>42235</v>
      </c>
      <c r="BX773" s="282">
        <v>5.0600509643554687</v>
      </c>
      <c r="BY773" s="283">
        <v>42235</v>
      </c>
      <c r="CB773" s="267">
        <v>3.47</v>
      </c>
      <c r="CD773" s="282">
        <v>3.9215686274509665</v>
      </c>
      <c r="CE773" s="291" t="s">
        <v>8400</v>
      </c>
      <c r="CH773" s="136">
        <v>1</v>
      </c>
      <c r="CI773" s="136">
        <v>7</v>
      </c>
      <c r="CL773" s="136">
        <v>2</v>
      </c>
      <c r="CM773" s="259">
        <v>42161</v>
      </c>
      <c r="CO773" s="137" t="s">
        <v>8405</v>
      </c>
    </row>
    <row r="774" spans="1:93">
      <c r="A774" s="258">
        <v>1277</v>
      </c>
      <c r="B774" s="235">
        <v>401</v>
      </c>
      <c r="C774" s="235" t="s">
        <v>7753</v>
      </c>
      <c r="D774" s="235" t="s">
        <v>7561</v>
      </c>
      <c r="E774" s="235" t="s">
        <v>7753</v>
      </c>
      <c r="F774" s="235" t="s">
        <v>8605</v>
      </c>
      <c r="G774" s="235" t="str">
        <f t="shared" si="408"/>
        <v>Rapsodyn</v>
      </c>
      <c r="H774" s="235" t="s">
        <v>267</v>
      </c>
      <c r="I774" s="235">
        <v>1</v>
      </c>
      <c r="J774" s="235">
        <v>9125</v>
      </c>
      <c r="K774" s="235">
        <v>38</v>
      </c>
      <c r="L774" s="235">
        <f t="shared" si="407"/>
        <v>110</v>
      </c>
      <c r="M774" s="235">
        <v>6</v>
      </c>
      <c r="N774" s="235">
        <v>7</v>
      </c>
      <c r="O774" s="248">
        <v>42048</v>
      </c>
      <c r="P774" s="136">
        <v>5.13</v>
      </c>
      <c r="Q774" s="264">
        <v>42204</v>
      </c>
      <c r="V774" s="219">
        <f t="shared" si="409"/>
        <v>13.852551746208949</v>
      </c>
      <c r="X774">
        <v>15.55</v>
      </c>
      <c r="AB774" s="220">
        <f t="shared" si="410"/>
        <v>5.7040799011524834</v>
      </c>
      <c r="AD774" s="221">
        <f t="shared" si="411"/>
        <v>77280.552953388848</v>
      </c>
      <c r="AF774" s="220">
        <f t="shared" si="412"/>
        <v>29.443890675241153</v>
      </c>
      <c r="AH774" s="220">
        <f t="shared" si="413"/>
        <v>33.016248794843186</v>
      </c>
      <c r="AJ774">
        <v>3.81</v>
      </c>
      <c r="AK774" s="285" t="s">
        <v>8400</v>
      </c>
      <c r="AL774" s="260">
        <v>165</v>
      </c>
      <c r="AN774" s="235">
        <v>72</v>
      </c>
      <c r="AO774" s="242">
        <v>42076</v>
      </c>
      <c r="AP774" s="235">
        <v>110</v>
      </c>
      <c r="AQ774" s="242">
        <v>42114</v>
      </c>
      <c r="AR774" s="136">
        <v>137</v>
      </c>
      <c r="AS774" s="297">
        <f t="shared" si="414"/>
        <v>137</v>
      </c>
      <c r="AT774" s="290">
        <v>42141</v>
      </c>
      <c r="AU774" s="298"/>
      <c r="BF774" s="282">
        <v>-1.0743919610977173</v>
      </c>
      <c r="BG774" s="283">
        <v>42235</v>
      </c>
      <c r="BL774" s="296">
        <v>60.515769958496094</v>
      </c>
      <c r="BM774" s="283">
        <v>42235</v>
      </c>
      <c r="BP774" s="282">
        <v>3.5751709938049316</v>
      </c>
      <c r="BQ774" s="283">
        <v>42235</v>
      </c>
      <c r="BR774" s="282">
        <v>47.047286987304687</v>
      </c>
      <c r="BS774" s="283">
        <v>42235</v>
      </c>
      <c r="BT774" s="282">
        <v>19.372711181640625</v>
      </c>
      <c r="BU774" s="283">
        <v>42235</v>
      </c>
      <c r="BV774" s="282">
        <v>12.467408180236816</v>
      </c>
      <c r="BW774" s="283">
        <v>42235</v>
      </c>
      <c r="BX774" s="282">
        <v>5.6014633178710938</v>
      </c>
      <c r="BY774" s="283">
        <v>42235</v>
      </c>
      <c r="CB774" s="267">
        <v>4.07</v>
      </c>
      <c r="CD774" s="282">
        <v>8.9285714285714288</v>
      </c>
      <c r="CE774" s="291" t="s">
        <v>8400</v>
      </c>
      <c r="CH774" s="136">
        <v>1</v>
      </c>
      <c r="CI774" s="136">
        <v>4</v>
      </c>
      <c r="CL774" s="136">
        <v>4</v>
      </c>
      <c r="CM774" s="259">
        <v>42161</v>
      </c>
      <c r="CN774" s="137" t="s">
        <v>8406</v>
      </c>
    </row>
    <row r="775" spans="1:93">
      <c r="A775" s="258">
        <v>1278</v>
      </c>
      <c r="B775" s="235">
        <v>402</v>
      </c>
      <c r="C775" s="235" t="s">
        <v>7717</v>
      </c>
      <c r="D775" s="235" t="s">
        <v>7541</v>
      </c>
      <c r="E775" s="235" t="s">
        <v>7717</v>
      </c>
      <c r="F775" s="235" t="s">
        <v>8540</v>
      </c>
      <c r="G775" s="235" t="str">
        <f t="shared" si="408"/>
        <v>Rapsodyn</v>
      </c>
      <c r="H775" s="235" t="s">
        <v>267</v>
      </c>
      <c r="I775" s="235">
        <v>1</v>
      </c>
      <c r="J775" s="235">
        <v>9099</v>
      </c>
      <c r="K775" s="235">
        <v>37</v>
      </c>
      <c r="L775" s="235">
        <f t="shared" si="407"/>
        <v>109</v>
      </c>
      <c r="M775" s="235">
        <v>6</v>
      </c>
      <c r="N775" s="235">
        <v>7</v>
      </c>
      <c r="O775" s="248">
        <v>42048</v>
      </c>
      <c r="P775" s="136">
        <v>6.08</v>
      </c>
      <c r="Q775" s="264">
        <v>42204</v>
      </c>
      <c r="V775" s="219">
        <f t="shared" si="409"/>
        <v>17.826290923952332</v>
      </c>
      <c r="X775">
        <v>15.55</v>
      </c>
      <c r="AB775" s="220">
        <f t="shared" si="410"/>
        <v>6.6073840002759781</v>
      </c>
      <c r="AD775" s="221">
        <f t="shared" si="411"/>
        <v>79536.09805699838</v>
      </c>
      <c r="AF775" s="220">
        <f t="shared" si="412"/>
        <v>36.188924615934262</v>
      </c>
      <c r="AH775" s="220">
        <f t="shared" si="413"/>
        <v>40.579641865815496</v>
      </c>
      <c r="AJ775">
        <v>4.55</v>
      </c>
      <c r="AK775" s="285" t="s">
        <v>8400</v>
      </c>
      <c r="AL775" s="260">
        <v>165</v>
      </c>
      <c r="AN775" s="235">
        <v>70</v>
      </c>
      <c r="AO775" s="242">
        <v>42074</v>
      </c>
      <c r="AP775" s="235">
        <v>106</v>
      </c>
      <c r="AQ775" s="242">
        <v>42110</v>
      </c>
      <c r="AR775" s="136">
        <v>131</v>
      </c>
      <c r="AS775" s="297">
        <f t="shared" si="414"/>
        <v>131</v>
      </c>
      <c r="AT775" s="290">
        <v>42135</v>
      </c>
      <c r="AU775" s="298"/>
      <c r="BF775" s="282">
        <v>-4.0117092132568359</v>
      </c>
      <c r="BG775" s="283">
        <v>42235</v>
      </c>
      <c r="BL775" s="296">
        <v>64.139289855957031</v>
      </c>
      <c r="BM775" s="283">
        <v>42235</v>
      </c>
      <c r="BP775" s="282">
        <v>3.4994990825653076</v>
      </c>
      <c r="BQ775" s="283">
        <v>42235</v>
      </c>
      <c r="BR775" s="282">
        <v>49.258968353271484</v>
      </c>
      <c r="BS775" s="283">
        <v>42235</v>
      </c>
      <c r="BT775" s="282">
        <v>18.258028030395508</v>
      </c>
      <c r="BU775" s="283">
        <v>42235</v>
      </c>
      <c r="BV775" s="282">
        <v>17.102310180664063</v>
      </c>
      <c r="BW775" s="283">
        <v>42235</v>
      </c>
      <c r="BX775" s="282">
        <v>5.4555435180664062</v>
      </c>
      <c r="BY775" s="283">
        <v>42235</v>
      </c>
      <c r="CB775" s="267">
        <v>4.62</v>
      </c>
      <c r="CD775" s="282">
        <v>5.5555555555555687</v>
      </c>
      <c r="CE775" s="291" t="s">
        <v>8400</v>
      </c>
      <c r="CH775" s="136">
        <v>4</v>
      </c>
      <c r="CI775" s="136">
        <v>3</v>
      </c>
      <c r="CL775" s="136">
        <v>3</v>
      </c>
      <c r="CM775" s="259">
        <v>42161</v>
      </c>
      <c r="CN775" s="137" t="s">
        <v>8406</v>
      </c>
    </row>
    <row r="776" spans="1:93">
      <c r="A776" s="258">
        <v>1284</v>
      </c>
      <c r="B776" s="235">
        <v>408</v>
      </c>
      <c r="C776" s="235" t="s">
        <v>7757</v>
      </c>
      <c r="D776" s="235" t="s">
        <v>7814</v>
      </c>
      <c r="E776" s="235" t="s">
        <v>7757</v>
      </c>
      <c r="F776" s="235" t="s">
        <v>8593</v>
      </c>
      <c r="G776" s="235" t="str">
        <f t="shared" si="408"/>
        <v>Rapsodyn</v>
      </c>
      <c r="H776" s="235" t="s">
        <v>267</v>
      </c>
      <c r="I776" s="235">
        <v>1</v>
      </c>
      <c r="J776" s="235">
        <v>9128</v>
      </c>
      <c r="K776" s="235">
        <v>31</v>
      </c>
      <c r="L776" s="235">
        <f t="shared" si="407"/>
        <v>103</v>
      </c>
      <c r="M776" s="235">
        <v>6</v>
      </c>
      <c r="N776" s="235">
        <v>7</v>
      </c>
      <c r="O776" s="248">
        <v>42048</v>
      </c>
      <c r="P776" s="136">
        <v>3.43</v>
      </c>
      <c r="Q776" s="264">
        <v>42204</v>
      </c>
      <c r="V776" s="219">
        <f t="shared" si="409"/>
        <v>9.9174410458154867</v>
      </c>
      <c r="X776">
        <v>15.55</v>
      </c>
      <c r="AB776" s="220">
        <f t="shared" si="410"/>
        <v>4.1815344062208233</v>
      </c>
      <c r="AD776" s="221">
        <f t="shared" si="411"/>
        <v>48969.916440337562</v>
      </c>
      <c r="AF776" s="220">
        <f t="shared" si="412"/>
        <v>20.175605573419077</v>
      </c>
      <c r="AH776" s="220">
        <f t="shared" si="413"/>
        <v>22.623464424107507</v>
      </c>
      <c r="AJ776">
        <v>4.12</v>
      </c>
      <c r="AK776" s="285" t="s">
        <v>8401</v>
      </c>
      <c r="AL776" s="260">
        <v>200</v>
      </c>
      <c r="AN776" s="235">
        <v>70</v>
      </c>
      <c r="AO776" s="242">
        <v>42074</v>
      </c>
      <c r="AP776" s="235">
        <v>113</v>
      </c>
      <c r="AQ776" s="242">
        <v>42117</v>
      </c>
      <c r="AR776" s="136">
        <v>145</v>
      </c>
      <c r="AS776" s="297">
        <f t="shared" si="414"/>
        <v>145</v>
      </c>
      <c r="AT776" s="290">
        <v>42149</v>
      </c>
      <c r="AU776" s="298"/>
      <c r="BF776" s="282">
        <v>38.376117706298828</v>
      </c>
      <c r="BG776" s="283">
        <v>42234</v>
      </c>
      <c r="BL776" s="296">
        <v>59.348827362060547</v>
      </c>
      <c r="BM776" s="283">
        <v>42234</v>
      </c>
      <c r="BP776" s="282">
        <v>2.5647690296173096</v>
      </c>
      <c r="BQ776" s="283">
        <v>42234</v>
      </c>
      <c r="BR776" s="282">
        <v>49.155605316162109</v>
      </c>
      <c r="BS776" s="283">
        <v>42234</v>
      </c>
      <c r="BT776" s="282">
        <v>20.72569465637207</v>
      </c>
      <c r="BU776" s="283">
        <v>42234</v>
      </c>
      <c r="BV776" s="282">
        <v>66.043075561523438</v>
      </c>
      <c r="BW776" s="283">
        <v>42234</v>
      </c>
      <c r="BX776" s="282">
        <v>5.4860687255859375</v>
      </c>
      <c r="BY776" s="283">
        <v>42234</v>
      </c>
      <c r="CB776" s="267">
        <v>4.8899999999999997</v>
      </c>
      <c r="CD776" s="282">
        <v>6.6666666666666723</v>
      </c>
      <c r="CE776" s="291" t="s">
        <v>8401</v>
      </c>
      <c r="CH776" s="136">
        <v>2</v>
      </c>
      <c r="CI776" s="136">
        <v>4</v>
      </c>
      <c r="CL776" s="136">
        <v>7</v>
      </c>
      <c r="CM776" s="259">
        <v>42161</v>
      </c>
      <c r="CN776" s="137" t="s">
        <v>8406</v>
      </c>
    </row>
    <row r="777" spans="1:93">
      <c r="A777" s="258">
        <v>1285</v>
      </c>
      <c r="B777" s="235">
        <v>409</v>
      </c>
      <c r="C777" s="235" t="s">
        <v>7576</v>
      </c>
      <c r="D777" s="235"/>
      <c r="E777" s="235"/>
      <c r="F777" s="235"/>
      <c r="G777" s="235"/>
      <c r="H777" s="235" t="s">
        <v>267</v>
      </c>
      <c r="I777" s="235">
        <v>1</v>
      </c>
      <c r="K777" s="235">
        <v>30</v>
      </c>
      <c r="L777" s="235">
        <f t="shared" si="407"/>
        <v>102</v>
      </c>
      <c r="M777" s="235">
        <v>6</v>
      </c>
      <c r="O777" s="248">
        <v>42048</v>
      </c>
      <c r="V777" s="219"/>
      <c r="X777">
        <v>15.55</v>
      </c>
      <c r="AB777" s="220"/>
      <c r="AD777" s="221"/>
      <c r="AF777" s="220"/>
      <c r="AH777" s="220"/>
      <c r="AJ777" s="286"/>
      <c r="AK777" s="285"/>
      <c r="AL777" s="260"/>
      <c r="AN777" s="235">
        <v>70</v>
      </c>
      <c r="AO777" s="242">
        <v>42074</v>
      </c>
      <c r="AP777" s="235">
        <v>106</v>
      </c>
      <c r="AQ777" s="242">
        <v>42110</v>
      </c>
      <c r="AS777" s="297"/>
      <c r="AT777" s="290"/>
      <c r="AU777" s="298"/>
      <c r="BF777" s="282"/>
      <c r="BG777" s="235"/>
      <c r="BL777" s="296"/>
      <c r="BM777" s="235"/>
      <c r="BP777" s="282"/>
      <c r="BQ777" s="235"/>
      <c r="BR777" s="282"/>
      <c r="BS777" s="235"/>
      <c r="BT777" s="282"/>
      <c r="BU777" s="235"/>
      <c r="BV777" s="282"/>
      <c r="BW777" s="235"/>
      <c r="BX777" s="282"/>
      <c r="BY777" s="235"/>
      <c r="CB777" s="267"/>
      <c r="CD777" s="282"/>
      <c r="CE777" s="291"/>
      <c r="CL777" s="136">
        <v>3</v>
      </c>
      <c r="CM777" s="259">
        <v>42161</v>
      </c>
    </row>
    <row r="778" spans="1:93">
      <c r="A778" s="258">
        <v>1286</v>
      </c>
      <c r="B778" s="235">
        <v>410</v>
      </c>
      <c r="C778" s="235" t="s">
        <v>7576</v>
      </c>
      <c r="D778" s="235"/>
      <c r="E778" s="235"/>
      <c r="F778" s="235"/>
      <c r="G778" s="235"/>
      <c r="H778" s="235" t="s">
        <v>267</v>
      </c>
      <c r="I778" s="235">
        <v>1</v>
      </c>
      <c r="K778" s="235">
        <v>29</v>
      </c>
      <c r="L778" s="235">
        <f t="shared" si="407"/>
        <v>101</v>
      </c>
      <c r="M778" s="235">
        <v>6</v>
      </c>
      <c r="O778" s="248">
        <v>42048</v>
      </c>
      <c r="V778" s="219"/>
      <c r="X778">
        <v>15.55</v>
      </c>
      <c r="AB778" s="220"/>
      <c r="AD778" s="221"/>
      <c r="AF778" s="220"/>
      <c r="AH778" s="220"/>
      <c r="AJ778" s="286"/>
      <c r="AK778" s="285"/>
      <c r="AL778" s="260"/>
      <c r="AN778" s="235">
        <v>70</v>
      </c>
      <c r="AO778" s="242">
        <v>42074</v>
      </c>
      <c r="AP778" s="235">
        <v>106</v>
      </c>
      <c r="AQ778" s="242">
        <v>42110</v>
      </c>
      <c r="AS778" s="297"/>
      <c r="AT778" s="290"/>
      <c r="AU778" s="298"/>
      <c r="BF778" s="282"/>
      <c r="BG778" s="235"/>
      <c r="BL778" s="296"/>
      <c r="BM778" s="235"/>
      <c r="BP778" s="282"/>
      <c r="BQ778" s="235"/>
      <c r="BR778" s="282"/>
      <c r="BS778" s="235"/>
      <c r="BT778" s="282"/>
      <c r="BU778" s="235"/>
      <c r="BV778" s="282"/>
      <c r="BW778" s="235"/>
      <c r="BX778" s="282"/>
      <c r="BY778" s="235"/>
      <c r="CB778" s="267"/>
      <c r="CD778" s="282"/>
      <c r="CE778" s="291"/>
      <c r="CL778" s="136">
        <v>3</v>
      </c>
      <c r="CM778" s="259">
        <v>42161</v>
      </c>
    </row>
    <row r="779" spans="1:93">
      <c r="A779" s="258">
        <v>1288</v>
      </c>
      <c r="B779" s="235">
        <v>412</v>
      </c>
      <c r="C779" s="235" t="s">
        <v>7701</v>
      </c>
      <c r="D779" s="235" t="s">
        <v>7527</v>
      </c>
      <c r="E779" s="235" t="s">
        <v>7701</v>
      </c>
      <c r="F779" s="235" t="s">
        <v>8458</v>
      </c>
      <c r="G779" s="235" t="str">
        <f t="shared" ref="G779:G788" si="415">IF(MID(C779,1,3)="BGA","Complement","Rapsodyn")</f>
        <v>Rapsodyn</v>
      </c>
      <c r="H779" s="235" t="s">
        <v>267</v>
      </c>
      <c r="I779" s="235">
        <v>1</v>
      </c>
      <c r="J779" s="235">
        <v>9083</v>
      </c>
      <c r="K779" s="235">
        <v>27</v>
      </c>
      <c r="L779" s="235">
        <f t="shared" si="407"/>
        <v>99</v>
      </c>
      <c r="M779" s="235">
        <v>6</v>
      </c>
      <c r="N779" s="235">
        <v>7</v>
      </c>
      <c r="O779" s="248">
        <v>42048</v>
      </c>
      <c r="P779" s="136">
        <v>6.04</v>
      </c>
      <c r="Q779" s="264">
        <v>42204</v>
      </c>
      <c r="V779" s="219">
        <f t="shared" ref="V779:V788" si="416">+BR779*AF779/100</f>
        <v>17.777150514919533</v>
      </c>
      <c r="X779">
        <v>15.55</v>
      </c>
      <c r="AB779" s="220">
        <f t="shared" ref="AB779:AB788" si="417">+AF779*BT779/100</f>
        <v>6.4231125310779937</v>
      </c>
      <c r="AD779" s="221">
        <f t="shared" ref="AD779:AD788" si="418">+(AF779/AJ779)*10000</f>
        <v>85644.294413113719</v>
      </c>
      <c r="AF779" s="220">
        <f t="shared" ref="AF779:AF788" si="419">($P779/$X779)*(((100-$CD779)/100*(100-2)/100))*100</f>
        <v>36.655758008812676</v>
      </c>
      <c r="AH779" s="220">
        <f t="shared" ref="AH779:AH788" si="420">($P779/$X779)*(((100-$CD779)/(100-9)*(100-2)/(100-2))*100)</f>
        <v>41.103115058098979</v>
      </c>
      <c r="AJ779">
        <v>4.28</v>
      </c>
      <c r="AK779" s="285" t="s">
        <v>8402</v>
      </c>
      <c r="AL779" s="260">
        <v>170</v>
      </c>
      <c r="AN779" s="235">
        <v>79</v>
      </c>
      <c r="AO779" s="242">
        <v>42083</v>
      </c>
      <c r="AP779" s="235">
        <v>110</v>
      </c>
      <c r="AQ779" s="242">
        <v>42114</v>
      </c>
      <c r="AR779" s="136">
        <v>136</v>
      </c>
      <c r="AS779" s="297">
        <f t="shared" ref="AS779:AS788" si="421">IF(AR779=0,,AR779)</f>
        <v>136</v>
      </c>
      <c r="AT779" s="290">
        <v>42140</v>
      </c>
      <c r="AU779" s="298"/>
      <c r="BF779" s="282">
        <v>-2.9677619934082031</v>
      </c>
      <c r="BG779" s="283">
        <v>42235</v>
      </c>
      <c r="BL779" s="296">
        <v>64.465324401855469</v>
      </c>
      <c r="BM779" s="283">
        <v>42235</v>
      </c>
      <c r="BP779" s="282">
        <v>3.5385808944702148</v>
      </c>
      <c r="BQ779" s="283">
        <v>42235</v>
      </c>
      <c r="BR779" s="282">
        <v>48.497566223144531</v>
      </c>
      <c r="BS779" s="283">
        <v>42235</v>
      </c>
      <c r="BT779" s="282">
        <v>17.522792816162109</v>
      </c>
      <c r="BU779" s="283">
        <v>42235</v>
      </c>
      <c r="BV779" s="282">
        <v>17.594532012939453</v>
      </c>
      <c r="BW779" s="283">
        <v>42235</v>
      </c>
      <c r="BX779" s="282">
        <v>5.4901351928710937</v>
      </c>
      <c r="BY779" s="283">
        <v>42235</v>
      </c>
      <c r="CB779" s="267">
        <v>3.82</v>
      </c>
      <c r="CD779" s="282">
        <v>3.7037037037037068</v>
      </c>
      <c r="CE779" s="291" t="s">
        <v>8402</v>
      </c>
      <c r="CH779" s="136">
        <v>2</v>
      </c>
      <c r="CI779" s="136">
        <v>7</v>
      </c>
      <c r="CL779" s="136">
        <v>4</v>
      </c>
      <c r="CM779" s="259">
        <v>42161</v>
      </c>
      <c r="CO779" s="137" t="s">
        <v>8405</v>
      </c>
    </row>
    <row r="780" spans="1:93">
      <c r="A780" s="258">
        <v>1293</v>
      </c>
      <c r="B780" s="235">
        <v>417</v>
      </c>
      <c r="C780" s="235" t="s">
        <v>7763</v>
      </c>
      <c r="D780" s="235" t="s">
        <v>7840</v>
      </c>
      <c r="E780" s="235" t="s">
        <v>7763</v>
      </c>
      <c r="F780" s="235" t="s">
        <v>8453</v>
      </c>
      <c r="G780" s="235" t="str">
        <f t="shared" si="415"/>
        <v>Rapsodyn</v>
      </c>
      <c r="H780" s="235" t="s">
        <v>267</v>
      </c>
      <c r="I780" s="235">
        <v>1</v>
      </c>
      <c r="J780" s="235">
        <v>9134</v>
      </c>
      <c r="K780" s="235">
        <v>22</v>
      </c>
      <c r="L780" s="235">
        <f t="shared" si="407"/>
        <v>94</v>
      </c>
      <c r="M780" s="235">
        <v>6</v>
      </c>
      <c r="N780" s="235">
        <v>7</v>
      </c>
      <c r="O780" s="248">
        <v>42048</v>
      </c>
      <c r="P780" s="136">
        <v>7.55</v>
      </c>
      <c r="Q780" s="264">
        <v>42204</v>
      </c>
      <c r="V780" s="219">
        <f t="shared" si="416"/>
        <v>22.503360698701062</v>
      </c>
      <c r="X780">
        <v>15.55</v>
      </c>
      <c r="AB780" s="220">
        <f t="shared" si="417"/>
        <v>7.8070110273810016</v>
      </c>
      <c r="AD780" s="221">
        <f t="shared" si="418"/>
        <v>91250.734486256886</v>
      </c>
      <c r="AF780" s="220">
        <f t="shared" si="419"/>
        <v>44.986612101724639</v>
      </c>
      <c r="AH780" s="220">
        <f t="shared" si="420"/>
        <v>50.444732116757841</v>
      </c>
      <c r="AJ780">
        <v>4.93</v>
      </c>
      <c r="AK780" s="285" t="s">
        <v>8398</v>
      </c>
      <c r="AL780" s="260">
        <v>160</v>
      </c>
      <c r="AN780" s="235">
        <v>70</v>
      </c>
      <c r="AO780" s="242">
        <v>42074</v>
      </c>
      <c r="AP780" s="235">
        <v>104</v>
      </c>
      <c r="AQ780" s="242">
        <v>42108</v>
      </c>
      <c r="AR780" s="136">
        <v>127</v>
      </c>
      <c r="AS780" s="297">
        <f t="shared" si="421"/>
        <v>127</v>
      </c>
      <c r="AT780" s="290">
        <v>42131</v>
      </c>
      <c r="AU780" s="298"/>
      <c r="BF780" s="282">
        <v>-2.0660970211029053</v>
      </c>
      <c r="BG780" s="283">
        <v>42235</v>
      </c>
      <c r="BL780" s="296">
        <v>66.246330261230469</v>
      </c>
      <c r="BM780" s="283">
        <v>42235</v>
      </c>
      <c r="BP780" s="282">
        <v>3.0372118949890137</v>
      </c>
      <c r="BQ780" s="283">
        <v>42235</v>
      </c>
      <c r="BR780" s="282">
        <v>50.022350311279297</v>
      </c>
      <c r="BS780" s="283">
        <v>42235</v>
      </c>
      <c r="BT780" s="282">
        <v>17.354076385498047</v>
      </c>
      <c r="BU780" s="283">
        <v>42235</v>
      </c>
      <c r="BV780" s="282">
        <v>15.514639854431152</v>
      </c>
      <c r="BW780" s="283">
        <v>42235</v>
      </c>
      <c r="BX780" s="282">
        <v>5.6733169555664062</v>
      </c>
      <c r="BY780" s="283">
        <v>42235</v>
      </c>
      <c r="CB780" s="267">
        <v>5.6</v>
      </c>
      <c r="CD780" s="282">
        <v>5.4545454545454515</v>
      </c>
      <c r="CE780" s="291" t="s">
        <v>8398</v>
      </c>
      <c r="CH780" s="136">
        <v>1</v>
      </c>
      <c r="CI780" s="136">
        <v>3</v>
      </c>
      <c r="CL780" s="136">
        <v>3</v>
      </c>
      <c r="CM780" s="259">
        <v>42161</v>
      </c>
      <c r="CN780" s="137" t="s">
        <v>8406</v>
      </c>
    </row>
    <row r="781" spans="1:93">
      <c r="A781" s="258">
        <v>1294</v>
      </c>
      <c r="B781" s="235">
        <v>418</v>
      </c>
      <c r="C781" s="235" t="s">
        <v>7794</v>
      </c>
      <c r="D781" s="235" t="s">
        <v>7592</v>
      </c>
      <c r="E781" s="235" t="s">
        <v>7794</v>
      </c>
      <c r="F781" s="235" t="s">
        <v>8603</v>
      </c>
      <c r="G781" s="235" t="str">
        <f t="shared" si="415"/>
        <v>Rapsodyn</v>
      </c>
      <c r="H781" s="235" t="s">
        <v>267</v>
      </c>
      <c r="I781" s="235">
        <v>1</v>
      </c>
      <c r="J781" s="235">
        <v>9165</v>
      </c>
      <c r="K781" s="235">
        <v>21</v>
      </c>
      <c r="L781" s="235">
        <f t="shared" si="407"/>
        <v>93</v>
      </c>
      <c r="M781" s="235">
        <v>6</v>
      </c>
      <c r="N781" s="236">
        <v>9</v>
      </c>
      <c r="O781" s="248">
        <v>42048</v>
      </c>
      <c r="P781" s="136">
        <v>6.72</v>
      </c>
      <c r="Q781" s="264">
        <v>42204</v>
      </c>
      <c r="V781" s="219">
        <f t="shared" si="416"/>
        <v>20.60792833892156</v>
      </c>
      <c r="X781">
        <v>15.55</v>
      </c>
      <c r="AB781" s="220">
        <f t="shared" si="417"/>
        <v>7.3215082471934361</v>
      </c>
      <c r="AD781" s="221">
        <f t="shared" si="418"/>
        <v>96380.00236288106</v>
      </c>
      <c r="AF781" s="220">
        <f t="shared" si="419"/>
        <v>40.865121001861567</v>
      </c>
      <c r="AH781" s="220">
        <f t="shared" si="420"/>
        <v>45.823190179257196</v>
      </c>
      <c r="AJ781">
        <v>4.24</v>
      </c>
      <c r="AK781" s="285" t="s">
        <v>8398</v>
      </c>
      <c r="AL781" s="260">
        <v>170</v>
      </c>
      <c r="AN781" s="235">
        <v>70</v>
      </c>
      <c r="AO781" s="242">
        <v>42074</v>
      </c>
      <c r="AP781" s="235">
        <v>106</v>
      </c>
      <c r="AQ781" s="242">
        <v>42110</v>
      </c>
      <c r="AR781" s="136">
        <v>132</v>
      </c>
      <c r="AS781" s="297">
        <f t="shared" si="421"/>
        <v>132</v>
      </c>
      <c r="AT781" s="290">
        <v>42136</v>
      </c>
      <c r="AU781" s="298"/>
      <c r="BF781" s="282">
        <v>-3.4185769557952881</v>
      </c>
      <c r="BG781" s="283">
        <v>42235</v>
      </c>
      <c r="BL781" s="296">
        <v>64.839996337890625</v>
      </c>
      <c r="BM781" s="283">
        <v>42235</v>
      </c>
      <c r="BP781" s="282">
        <v>3.6224629878997803</v>
      </c>
      <c r="BQ781" s="283">
        <v>42235</v>
      </c>
      <c r="BR781" s="282">
        <v>50.42913818359375</v>
      </c>
      <c r="BS781" s="283">
        <v>42235</v>
      </c>
      <c r="BT781" s="282">
        <v>17.916276931762695</v>
      </c>
      <c r="BU781" s="283">
        <v>42235</v>
      </c>
      <c r="BV781" s="282">
        <v>13.723959922790527</v>
      </c>
      <c r="BW781" s="283">
        <v>42235</v>
      </c>
      <c r="BX781" s="282">
        <v>5.451385498046875</v>
      </c>
      <c r="BY781" s="283">
        <v>42235</v>
      </c>
      <c r="CB781" s="267">
        <v>5.95</v>
      </c>
      <c r="CD781" s="282">
        <v>3.5087719298245648</v>
      </c>
      <c r="CE781" s="291" t="s">
        <v>8398</v>
      </c>
      <c r="CH781" s="136">
        <v>3</v>
      </c>
      <c r="CI781" s="136">
        <v>3</v>
      </c>
      <c r="CL781" s="136">
        <v>2</v>
      </c>
      <c r="CM781" s="259">
        <v>42161</v>
      </c>
      <c r="CN781" s="137" t="s">
        <v>8406</v>
      </c>
    </row>
    <row r="782" spans="1:93">
      <c r="A782" s="258">
        <v>1295</v>
      </c>
      <c r="B782" s="235">
        <v>419</v>
      </c>
      <c r="C782" s="235" t="s">
        <v>7685</v>
      </c>
      <c r="D782" s="235" t="s">
        <v>7512</v>
      </c>
      <c r="E782" s="235" t="s">
        <v>7685</v>
      </c>
      <c r="F782" s="235" t="s">
        <v>8599</v>
      </c>
      <c r="G782" s="235" t="str">
        <f t="shared" si="415"/>
        <v>Rapsodyn</v>
      </c>
      <c r="H782" s="235" t="s">
        <v>267</v>
      </c>
      <c r="I782" s="235">
        <v>1</v>
      </c>
      <c r="J782" s="235">
        <v>9067</v>
      </c>
      <c r="K782" s="235">
        <v>20</v>
      </c>
      <c r="L782" s="235">
        <f t="shared" si="407"/>
        <v>92</v>
      </c>
      <c r="M782" s="235">
        <v>6</v>
      </c>
      <c r="N782" s="235">
        <v>7</v>
      </c>
      <c r="O782" s="248">
        <v>42048</v>
      </c>
      <c r="P782" s="136">
        <v>6.67</v>
      </c>
      <c r="Q782" s="264">
        <v>42204</v>
      </c>
      <c r="V782" s="219">
        <f t="shared" si="416"/>
        <v>19.771375224707864</v>
      </c>
      <c r="X782">
        <v>15.55</v>
      </c>
      <c r="AB782" s="220">
        <f t="shared" si="417"/>
        <v>7.7553095524533395</v>
      </c>
      <c r="AD782" s="221">
        <f t="shared" si="418"/>
        <v>91511.578090456067</v>
      </c>
      <c r="AF782" s="220">
        <f t="shared" si="419"/>
        <v>41.271721718795682</v>
      </c>
      <c r="AH782" s="220">
        <f t="shared" si="420"/>
        <v>46.279122806453998</v>
      </c>
      <c r="AJ782">
        <v>4.51</v>
      </c>
      <c r="AK782" s="285" t="s">
        <v>8398</v>
      </c>
      <c r="AL782" s="260">
        <v>165</v>
      </c>
      <c r="AN782" s="235">
        <v>72</v>
      </c>
      <c r="AO782" s="242">
        <v>42076</v>
      </c>
      <c r="AP782" s="235">
        <v>104</v>
      </c>
      <c r="AQ782" s="242">
        <v>42108</v>
      </c>
      <c r="AR782" s="136">
        <v>131</v>
      </c>
      <c r="AS782" s="297">
        <f t="shared" si="421"/>
        <v>131</v>
      </c>
      <c r="AT782" s="290">
        <v>42135</v>
      </c>
      <c r="AU782" s="298"/>
      <c r="BF782" s="282">
        <v>-1.9256099462509155</v>
      </c>
      <c r="BG782" s="283">
        <v>42235</v>
      </c>
      <c r="BL782" s="296">
        <v>64.315567016601563</v>
      </c>
      <c r="BM782" s="283">
        <v>42235</v>
      </c>
      <c r="BP782" s="282">
        <v>3.1572051048278809</v>
      </c>
      <c r="BQ782" s="283">
        <v>42235</v>
      </c>
      <c r="BR782" s="282">
        <v>47.905380249023438</v>
      </c>
      <c r="BS782" s="283">
        <v>42235</v>
      </c>
      <c r="BT782" s="282">
        <v>18.790855407714844</v>
      </c>
      <c r="BU782" s="283">
        <v>42235</v>
      </c>
      <c r="BV782" s="282">
        <v>14.747958183288574</v>
      </c>
      <c r="BW782" s="283">
        <v>42235</v>
      </c>
      <c r="BX782" s="282">
        <v>5.6644287109375</v>
      </c>
      <c r="BY782" s="283">
        <v>42235</v>
      </c>
      <c r="CB782" s="267">
        <v>5.55</v>
      </c>
      <c r="CD782" s="282">
        <v>1.8181818181818119</v>
      </c>
      <c r="CE782" s="291" t="s">
        <v>8398</v>
      </c>
      <c r="CH782" s="136">
        <v>3</v>
      </c>
      <c r="CI782" s="136">
        <v>3</v>
      </c>
      <c r="CL782" s="136">
        <v>2</v>
      </c>
      <c r="CM782" s="259">
        <v>42161</v>
      </c>
      <c r="CN782" s="137" t="s">
        <v>8406</v>
      </c>
    </row>
    <row r="783" spans="1:93">
      <c r="A783" s="258">
        <v>1296</v>
      </c>
      <c r="B783" s="235">
        <v>420</v>
      </c>
      <c r="C783" s="235" t="s">
        <v>7800</v>
      </c>
      <c r="D783" s="235" t="s">
        <v>7598</v>
      </c>
      <c r="E783" s="235" t="s">
        <v>7800</v>
      </c>
      <c r="F783" s="235" t="s">
        <v>8521</v>
      </c>
      <c r="G783" s="235" t="str">
        <f t="shared" si="415"/>
        <v>Rapsodyn</v>
      </c>
      <c r="H783" s="235" t="s">
        <v>267</v>
      </c>
      <c r="I783" s="235">
        <v>1</v>
      </c>
      <c r="J783" s="235">
        <v>9171</v>
      </c>
      <c r="K783" s="235">
        <v>19</v>
      </c>
      <c r="L783" s="235">
        <f t="shared" si="407"/>
        <v>91</v>
      </c>
      <c r="M783" s="235">
        <v>6</v>
      </c>
      <c r="N783" s="235">
        <v>5</v>
      </c>
      <c r="O783" s="248">
        <v>42048</v>
      </c>
      <c r="P783" s="136">
        <v>7.06</v>
      </c>
      <c r="Q783" s="264">
        <v>42204</v>
      </c>
      <c r="V783" s="219">
        <f t="shared" si="416"/>
        <v>21.022907107867759</v>
      </c>
      <c r="X783">
        <v>15.55</v>
      </c>
      <c r="AB783" s="220">
        <f t="shared" si="417"/>
        <v>7.3274968712188278</v>
      </c>
      <c r="AD783" s="221">
        <f t="shared" si="418"/>
        <v>87242.922892629693</v>
      </c>
      <c r="AF783" s="220">
        <f t="shared" si="419"/>
        <v>41.527631296891734</v>
      </c>
      <c r="AH783" s="220">
        <f t="shared" si="420"/>
        <v>46.56608129276939</v>
      </c>
      <c r="AJ783">
        <v>4.76</v>
      </c>
      <c r="AK783" s="285" t="s">
        <v>8398</v>
      </c>
      <c r="AL783" s="260">
        <v>170</v>
      </c>
      <c r="AN783" s="235">
        <v>70</v>
      </c>
      <c r="AO783" s="242">
        <v>42074</v>
      </c>
      <c r="AP783" s="235">
        <v>106</v>
      </c>
      <c r="AQ783" s="242">
        <v>42110</v>
      </c>
      <c r="AR783" s="136">
        <v>131</v>
      </c>
      <c r="AS783" s="297">
        <f t="shared" si="421"/>
        <v>131</v>
      </c>
      <c r="AT783" s="290">
        <v>42135</v>
      </c>
      <c r="AU783" s="298"/>
      <c r="BF783" s="282">
        <v>-3.0934600830078125</v>
      </c>
      <c r="BG783" s="283">
        <v>42235</v>
      </c>
      <c r="BL783" s="296">
        <v>62.657196044921875</v>
      </c>
      <c r="BM783" s="283">
        <v>42235</v>
      </c>
      <c r="BP783" s="282">
        <v>3.0657138824462891</v>
      </c>
      <c r="BQ783" s="283">
        <v>42235</v>
      </c>
      <c r="BR783" s="282">
        <v>50.6239013671875</v>
      </c>
      <c r="BS783" s="283">
        <v>42235</v>
      </c>
      <c r="BT783" s="282">
        <v>17.644870758056641</v>
      </c>
      <c r="BU783" s="283">
        <v>42235</v>
      </c>
      <c r="BV783" s="282">
        <v>9.5939979553222656</v>
      </c>
      <c r="BW783" s="283">
        <v>42235</v>
      </c>
      <c r="BX783" s="282">
        <v>5.4723968505859375</v>
      </c>
      <c r="BY783" s="283">
        <v>42235</v>
      </c>
      <c r="CB783" s="267">
        <v>5.7</v>
      </c>
      <c r="CD783" s="282">
        <v>6.6666666666666723</v>
      </c>
      <c r="CE783" s="291" t="s">
        <v>8398</v>
      </c>
      <c r="CH783" s="136">
        <v>2</v>
      </c>
      <c r="CI783" s="136">
        <v>3</v>
      </c>
      <c r="CL783" s="136">
        <v>3</v>
      </c>
      <c r="CM783" s="259">
        <v>42161</v>
      </c>
      <c r="CN783" s="137" t="s">
        <v>8406</v>
      </c>
    </row>
    <row r="784" spans="1:93">
      <c r="A784" s="258">
        <v>1297</v>
      </c>
      <c r="B784" s="235">
        <v>421</v>
      </c>
      <c r="C784" s="235" t="s">
        <v>7620</v>
      </c>
      <c r="D784" s="235" t="s">
        <v>7815</v>
      </c>
      <c r="E784" s="235" t="s">
        <v>7620</v>
      </c>
      <c r="F784" s="235" t="s">
        <v>8583</v>
      </c>
      <c r="G784" s="235" t="str">
        <f t="shared" si="415"/>
        <v>Rapsodyn</v>
      </c>
      <c r="H784" s="235" t="s">
        <v>267</v>
      </c>
      <c r="I784" s="235">
        <v>1</v>
      </c>
      <c r="J784" s="235">
        <v>9013</v>
      </c>
      <c r="K784" s="235">
        <v>18</v>
      </c>
      <c r="L784" s="235">
        <f t="shared" si="407"/>
        <v>90</v>
      </c>
      <c r="M784" s="235">
        <v>6</v>
      </c>
      <c r="N784" s="235">
        <v>7</v>
      </c>
      <c r="O784" s="248">
        <v>42048</v>
      </c>
      <c r="P784" s="136">
        <v>4.91</v>
      </c>
      <c r="Q784" s="264">
        <v>42204</v>
      </c>
      <c r="V784" s="219">
        <f t="shared" si="416"/>
        <v>13.919673485536864</v>
      </c>
      <c r="X784">
        <v>15.55</v>
      </c>
      <c r="AB784" s="220">
        <f t="shared" si="417"/>
        <v>6.3528117961188855</v>
      </c>
      <c r="AD784" s="221">
        <f t="shared" si="418"/>
        <v>58468.261201001893</v>
      </c>
      <c r="AF784" s="220">
        <f t="shared" si="419"/>
        <v>29.818813212510964</v>
      </c>
      <c r="AH784" s="220">
        <f t="shared" si="420"/>
        <v>33.436659803219285</v>
      </c>
      <c r="AJ784">
        <v>5.0999999999999996</v>
      </c>
      <c r="AK784" s="285" t="s">
        <v>8398</v>
      </c>
      <c r="AL784" s="260">
        <v>165</v>
      </c>
      <c r="AN784" s="235">
        <v>72</v>
      </c>
      <c r="AO784" s="242">
        <v>42076</v>
      </c>
      <c r="AP784" s="235">
        <v>104</v>
      </c>
      <c r="AQ784" s="242">
        <v>42108</v>
      </c>
      <c r="AR784" s="136">
        <v>131</v>
      </c>
      <c r="AS784" s="297">
        <f t="shared" si="421"/>
        <v>131</v>
      </c>
      <c r="AT784" s="290">
        <v>42135</v>
      </c>
      <c r="AU784" s="298"/>
      <c r="BF784" s="282">
        <v>7.9882869720458984</v>
      </c>
      <c r="BG784" s="283">
        <v>42235</v>
      </c>
      <c r="BL784" s="296">
        <v>59.604080200195312</v>
      </c>
      <c r="BM784" s="283">
        <v>42235</v>
      </c>
      <c r="BP784" s="282">
        <v>3.3913669586181641</v>
      </c>
      <c r="BQ784" s="283">
        <v>42235</v>
      </c>
      <c r="BR784" s="282">
        <v>46.680843353271484</v>
      </c>
      <c r="BS784" s="283">
        <v>42235</v>
      </c>
      <c r="BT784" s="282">
        <v>21.304710388183594</v>
      </c>
      <c r="BU784" s="283">
        <v>42235</v>
      </c>
      <c r="BV784" s="282">
        <v>38.674579620361328</v>
      </c>
      <c r="BW784" s="283">
        <v>42235</v>
      </c>
      <c r="BX784" s="282">
        <v>5.92279052734375</v>
      </c>
      <c r="BY784" s="283">
        <v>42235</v>
      </c>
      <c r="CB784" s="267">
        <v>6.87</v>
      </c>
      <c r="CD784" s="282">
        <v>3.6363636363636398</v>
      </c>
      <c r="CE784" s="291" t="s">
        <v>8398</v>
      </c>
      <c r="CH784" s="136">
        <v>2</v>
      </c>
      <c r="CI784" s="136">
        <v>3</v>
      </c>
      <c r="CL784" s="136">
        <v>4</v>
      </c>
      <c r="CM784" s="259">
        <v>42161</v>
      </c>
      <c r="CN784" s="137" t="s">
        <v>8406</v>
      </c>
    </row>
    <row r="785" spans="1:93">
      <c r="A785" s="258">
        <v>1299</v>
      </c>
      <c r="B785" s="235">
        <v>423</v>
      </c>
      <c r="C785" s="235" t="s">
        <v>7686</v>
      </c>
      <c r="D785" s="235" t="s">
        <v>262</v>
      </c>
      <c r="E785" s="235" t="s">
        <v>7686</v>
      </c>
      <c r="F785" s="235" t="s">
        <v>8582</v>
      </c>
      <c r="G785" s="235" t="str">
        <f t="shared" si="415"/>
        <v>Rapsodyn</v>
      </c>
      <c r="H785" s="235" t="s">
        <v>267</v>
      </c>
      <c r="I785" s="235">
        <v>1</v>
      </c>
      <c r="J785" s="235">
        <v>9068</v>
      </c>
      <c r="K785" s="235">
        <v>16</v>
      </c>
      <c r="L785" s="235">
        <f t="shared" si="407"/>
        <v>88</v>
      </c>
      <c r="M785" s="235">
        <v>6</v>
      </c>
      <c r="N785" s="235">
        <v>7</v>
      </c>
      <c r="O785" s="248">
        <v>42048</v>
      </c>
      <c r="P785" s="136">
        <v>6</v>
      </c>
      <c r="Q785" s="264">
        <v>42204</v>
      </c>
      <c r="V785" s="219">
        <f t="shared" si="416"/>
        <v>17.100719316690704</v>
      </c>
      <c r="X785">
        <v>15.55</v>
      </c>
      <c r="AB785" s="220">
        <f t="shared" si="417"/>
        <v>6.9878454910777608</v>
      </c>
      <c r="AD785" s="221">
        <f t="shared" si="418"/>
        <v>88310.622853659021</v>
      </c>
      <c r="AF785" s="220">
        <f t="shared" si="419"/>
        <v>35.589181010024589</v>
      </c>
      <c r="AH785" s="220">
        <f t="shared" si="420"/>
        <v>39.907132776434842</v>
      </c>
      <c r="AJ785">
        <v>4.03</v>
      </c>
      <c r="AK785" s="285" t="s">
        <v>8398</v>
      </c>
      <c r="AL785" s="260">
        <v>145</v>
      </c>
      <c r="AN785" s="235">
        <v>72</v>
      </c>
      <c r="AO785" s="242">
        <v>42076</v>
      </c>
      <c r="AP785" s="235">
        <v>104</v>
      </c>
      <c r="AQ785" s="242">
        <v>42108</v>
      </c>
      <c r="AR785" s="136">
        <v>131</v>
      </c>
      <c r="AS785" s="297">
        <f t="shared" si="421"/>
        <v>131</v>
      </c>
      <c r="AT785" s="290">
        <v>42135</v>
      </c>
      <c r="AU785" s="298"/>
      <c r="BF785" s="282">
        <v>-4.733950138092041</v>
      </c>
      <c r="BG785" s="283">
        <v>42235</v>
      </c>
      <c r="BL785" s="296">
        <v>66.100883483886719</v>
      </c>
      <c r="BM785" s="283">
        <v>42235</v>
      </c>
      <c r="BP785" s="282">
        <v>3.8265869617462158</v>
      </c>
      <c r="BQ785" s="283">
        <v>42235</v>
      </c>
      <c r="BR785" s="282">
        <v>48.050331115722656</v>
      </c>
      <c r="BS785" s="283">
        <v>42235</v>
      </c>
      <c r="BT785" s="282">
        <v>19.634746551513672</v>
      </c>
      <c r="BU785" s="283">
        <v>42235</v>
      </c>
      <c r="BV785" s="282">
        <v>14.645083427429199</v>
      </c>
      <c r="BW785" s="283">
        <v>42235</v>
      </c>
      <c r="BX785" s="282">
        <v>5.7856369018554687</v>
      </c>
      <c r="BY785" s="283">
        <v>42235</v>
      </c>
      <c r="CB785" s="267">
        <v>6.62</v>
      </c>
      <c r="CD785" s="282">
        <v>5.8823529411764675</v>
      </c>
      <c r="CE785" s="291" t="s">
        <v>8398</v>
      </c>
      <c r="CH785" s="136">
        <v>2</v>
      </c>
      <c r="CI785" s="136">
        <v>2</v>
      </c>
      <c r="CL785" s="136">
        <v>2</v>
      </c>
      <c r="CM785" s="259">
        <v>42161</v>
      </c>
      <c r="CN785" s="137" t="s">
        <v>8406</v>
      </c>
    </row>
    <row r="786" spans="1:93">
      <c r="A786" s="258">
        <v>1300</v>
      </c>
      <c r="B786" s="235">
        <v>424</v>
      </c>
      <c r="C786" s="235" t="s">
        <v>7691</v>
      </c>
      <c r="D786" s="235" t="s">
        <v>7517</v>
      </c>
      <c r="E786" s="235" t="s">
        <v>7691</v>
      </c>
      <c r="F786" s="235" t="s">
        <v>8459</v>
      </c>
      <c r="G786" s="235" t="str">
        <f t="shared" si="415"/>
        <v>Rapsodyn</v>
      </c>
      <c r="H786" s="235" t="s">
        <v>267</v>
      </c>
      <c r="I786" s="235">
        <v>1</v>
      </c>
      <c r="J786" s="235">
        <v>9073</v>
      </c>
      <c r="K786" s="235">
        <v>15</v>
      </c>
      <c r="L786" s="235">
        <f t="shared" si="407"/>
        <v>87</v>
      </c>
      <c r="M786" s="235">
        <v>6</v>
      </c>
      <c r="N786" s="235">
        <v>7</v>
      </c>
      <c r="O786" s="248">
        <v>42048</v>
      </c>
      <c r="P786" s="136">
        <v>6.36</v>
      </c>
      <c r="Q786" s="264">
        <v>42204</v>
      </c>
      <c r="V786" s="219">
        <f t="shared" si="416"/>
        <v>18.708146578577168</v>
      </c>
      <c r="X786">
        <v>15.55</v>
      </c>
      <c r="AB786" s="220">
        <f t="shared" si="417"/>
        <v>7.2878681873918092</v>
      </c>
      <c r="AD786" s="221">
        <f t="shared" si="418"/>
        <v>83840.723485602983</v>
      </c>
      <c r="AF786" s="220">
        <f t="shared" si="419"/>
        <v>37.896007015492543</v>
      </c>
      <c r="AH786" s="220">
        <f t="shared" si="420"/>
        <v>42.493840564580118</v>
      </c>
      <c r="AJ786">
        <v>4.5199999999999996</v>
      </c>
      <c r="AK786" s="285" t="s">
        <v>8398</v>
      </c>
      <c r="AL786" s="260">
        <v>175</v>
      </c>
      <c r="AN786" s="235">
        <v>79</v>
      </c>
      <c r="AO786" s="242">
        <v>42083</v>
      </c>
      <c r="AP786" s="235">
        <v>110</v>
      </c>
      <c r="AQ786" s="242">
        <v>42114</v>
      </c>
      <c r="AR786" s="136">
        <v>135</v>
      </c>
      <c r="AS786" s="297">
        <f t="shared" si="421"/>
        <v>135</v>
      </c>
      <c r="AT786" s="290">
        <v>42139</v>
      </c>
      <c r="AU786" s="298"/>
      <c r="BF786" s="282">
        <v>27.113002777099609</v>
      </c>
      <c r="BG786" s="283">
        <v>42235</v>
      </c>
      <c r="BL786" s="296">
        <v>63.373672485351562</v>
      </c>
      <c r="BM786" s="283">
        <v>42235</v>
      </c>
      <c r="BP786" s="282">
        <v>3.5023009777069092</v>
      </c>
      <c r="BQ786" s="283">
        <v>42235</v>
      </c>
      <c r="BR786" s="282">
        <v>49.3670654296875</v>
      </c>
      <c r="BS786" s="283">
        <v>42235</v>
      </c>
      <c r="BT786" s="282">
        <v>19.231229782104492</v>
      </c>
      <c r="BU786" s="283">
        <v>42235</v>
      </c>
      <c r="BV786" s="282">
        <v>18.727262496948242</v>
      </c>
      <c r="BW786" s="283">
        <v>42235</v>
      </c>
      <c r="BX786" s="282">
        <v>5.4602508544921875</v>
      </c>
      <c r="BY786" s="283">
        <v>42235</v>
      </c>
      <c r="CB786" s="267">
        <v>6.99</v>
      </c>
      <c r="CD786" s="282">
        <v>5.4545454545454515</v>
      </c>
      <c r="CE786" s="291" t="s">
        <v>8398</v>
      </c>
      <c r="CH786" s="136">
        <v>2</v>
      </c>
      <c r="CI786" s="136">
        <v>3</v>
      </c>
      <c r="CL786" s="136">
        <v>2</v>
      </c>
      <c r="CM786" s="259">
        <v>42161</v>
      </c>
      <c r="CN786" s="137" t="s">
        <v>8406</v>
      </c>
    </row>
    <row r="787" spans="1:93">
      <c r="A787" s="258">
        <v>1301</v>
      </c>
      <c r="B787" s="235">
        <v>425</v>
      </c>
      <c r="C787" s="235" t="s">
        <v>7659</v>
      </c>
      <c r="D787" s="235" t="s">
        <v>7489</v>
      </c>
      <c r="E787" s="235" t="s">
        <v>7659</v>
      </c>
      <c r="F787" s="235" t="s">
        <v>8468</v>
      </c>
      <c r="G787" s="235" t="str">
        <f t="shared" si="415"/>
        <v>Rapsodyn</v>
      </c>
      <c r="H787" s="235" t="s">
        <v>267</v>
      </c>
      <c r="I787" s="235">
        <v>1</v>
      </c>
      <c r="J787" s="235">
        <v>9042</v>
      </c>
      <c r="K787" s="235">
        <v>14</v>
      </c>
      <c r="L787" s="235">
        <f t="shared" si="407"/>
        <v>86</v>
      </c>
      <c r="M787" s="235">
        <v>6</v>
      </c>
      <c r="N787" s="235">
        <v>7</v>
      </c>
      <c r="O787" s="248">
        <v>42048</v>
      </c>
      <c r="P787" s="136">
        <v>6.47</v>
      </c>
      <c r="Q787" s="264">
        <v>42204</v>
      </c>
      <c r="V787" s="219">
        <f t="shared" si="416"/>
        <v>19.396246481708392</v>
      </c>
      <c r="X787">
        <v>15.55</v>
      </c>
      <c r="AB787" s="220">
        <f t="shared" si="417"/>
        <v>7.3905808778437772</v>
      </c>
      <c r="AD787" s="221">
        <f t="shared" si="418"/>
        <v>92702.378825771098</v>
      </c>
      <c r="AF787" s="220">
        <f t="shared" si="419"/>
        <v>40.04742765273312</v>
      </c>
      <c r="AH787" s="220">
        <f t="shared" si="420"/>
        <v>44.906288016072125</v>
      </c>
      <c r="AJ787">
        <v>4.32</v>
      </c>
      <c r="AK787" s="285" t="s">
        <v>8398</v>
      </c>
      <c r="AL787" s="260">
        <v>175</v>
      </c>
      <c r="AN787" s="235">
        <v>72</v>
      </c>
      <c r="AO787" s="242">
        <v>42076</v>
      </c>
      <c r="AP787" s="235">
        <v>110</v>
      </c>
      <c r="AQ787" s="242">
        <v>42114</v>
      </c>
      <c r="AR787" s="136">
        <v>133</v>
      </c>
      <c r="AS787" s="297">
        <f t="shared" si="421"/>
        <v>133</v>
      </c>
      <c r="AT787" s="290">
        <v>42137</v>
      </c>
      <c r="AU787" s="298"/>
      <c r="BF787" s="282">
        <v>-2.6477739810943604</v>
      </c>
      <c r="BG787" s="283">
        <v>42235</v>
      </c>
      <c r="BL787" s="296">
        <v>61.434776306152344</v>
      </c>
      <c r="BM787" s="283">
        <v>42235</v>
      </c>
      <c r="BP787" s="282">
        <v>3.2266089916229248</v>
      </c>
      <c r="BQ787" s="283">
        <v>42235</v>
      </c>
      <c r="BR787" s="282">
        <v>48.433189392089844</v>
      </c>
      <c r="BS787" s="283">
        <v>42235</v>
      </c>
      <c r="BT787" s="282">
        <v>18.454570770263672</v>
      </c>
      <c r="BU787" s="283">
        <v>42235</v>
      </c>
      <c r="BV787" s="282">
        <v>11.390380859375</v>
      </c>
      <c r="BW787" s="283">
        <v>42235</v>
      </c>
      <c r="BX787" s="282">
        <v>5.693389892578125</v>
      </c>
      <c r="BY787" s="283">
        <v>42235</v>
      </c>
      <c r="CB787" s="267">
        <v>6.26</v>
      </c>
      <c r="CD787" s="282">
        <v>1.7857142857142794</v>
      </c>
      <c r="CE787" s="291" t="s">
        <v>8398</v>
      </c>
      <c r="CH787" s="136">
        <v>2</v>
      </c>
      <c r="CI787" s="136">
        <v>4</v>
      </c>
      <c r="CL787" s="136">
        <v>3</v>
      </c>
      <c r="CM787" s="259">
        <v>42161</v>
      </c>
      <c r="CN787" s="137" t="s">
        <v>8406</v>
      </c>
    </row>
    <row r="788" spans="1:93">
      <c r="A788" s="258">
        <v>1306</v>
      </c>
      <c r="B788" s="235">
        <v>430</v>
      </c>
      <c r="C788" s="235" t="s">
        <v>7616</v>
      </c>
      <c r="D788" s="235" t="s">
        <v>7453</v>
      </c>
      <c r="E788" s="235" t="s">
        <v>7616</v>
      </c>
      <c r="F788" s="235" t="s">
        <v>8520</v>
      </c>
      <c r="G788" s="235" t="str">
        <f t="shared" si="415"/>
        <v>Rapsodyn</v>
      </c>
      <c r="H788" s="235" t="s">
        <v>267</v>
      </c>
      <c r="I788" s="235">
        <v>1</v>
      </c>
      <c r="J788" s="235">
        <v>9009</v>
      </c>
      <c r="K788" s="235">
        <v>9</v>
      </c>
      <c r="L788" s="235">
        <f t="shared" si="407"/>
        <v>81</v>
      </c>
      <c r="M788" s="235">
        <v>6</v>
      </c>
      <c r="N788" s="235">
        <v>7</v>
      </c>
      <c r="O788" s="248">
        <v>42048</v>
      </c>
      <c r="P788" s="136">
        <v>3.75</v>
      </c>
      <c r="Q788" s="264">
        <v>42204</v>
      </c>
      <c r="V788" s="219">
        <f t="shared" si="416"/>
        <v>10.570325186499122</v>
      </c>
      <c r="X788">
        <v>15.55</v>
      </c>
      <c r="AB788" s="220">
        <f t="shared" si="417"/>
        <v>5.0296301284121219</v>
      </c>
      <c r="AD788" s="221">
        <f t="shared" si="418"/>
        <v>48726.916640269155</v>
      </c>
      <c r="AF788" s="220">
        <f t="shared" si="419"/>
        <v>22.804196987645962</v>
      </c>
      <c r="AH788" s="220">
        <f t="shared" si="420"/>
        <v>25.570976662531919</v>
      </c>
      <c r="AJ788">
        <v>4.68</v>
      </c>
      <c r="AK788" s="285" t="s">
        <v>8401</v>
      </c>
      <c r="AL788" s="260">
        <v>165</v>
      </c>
      <c r="AN788" s="235">
        <v>79</v>
      </c>
      <c r="AO788" s="242">
        <v>42083</v>
      </c>
      <c r="AP788" s="235">
        <v>106</v>
      </c>
      <c r="AQ788" s="242">
        <v>42110</v>
      </c>
      <c r="AR788" s="136">
        <v>131</v>
      </c>
      <c r="AS788" s="297">
        <f t="shared" si="421"/>
        <v>131</v>
      </c>
      <c r="AT788" s="290">
        <v>42135</v>
      </c>
      <c r="AU788" s="298"/>
      <c r="BF788" s="282">
        <v>36.8343505859375</v>
      </c>
      <c r="BG788" s="283">
        <v>42234</v>
      </c>
      <c r="BL788" s="296">
        <v>60.139373779296875</v>
      </c>
      <c r="BM788" s="283">
        <v>42234</v>
      </c>
      <c r="BP788" s="282">
        <v>4.2196512222290039</v>
      </c>
      <c r="BQ788" s="283">
        <v>42234</v>
      </c>
      <c r="BR788" s="282">
        <v>46.352542877197266</v>
      </c>
      <c r="BS788" s="283">
        <v>42234</v>
      </c>
      <c r="BT788" s="282">
        <v>22.055721282958984</v>
      </c>
      <c r="BU788" s="283">
        <v>42234</v>
      </c>
      <c r="BV788" s="282">
        <v>74.307586669921875</v>
      </c>
      <c r="BW788" s="283">
        <v>42234</v>
      </c>
      <c r="BX788" s="282">
        <v>5.8058700561523437</v>
      </c>
      <c r="BY788" s="283">
        <v>42234</v>
      </c>
      <c r="CB788" s="267">
        <v>7.32</v>
      </c>
      <c r="CD788" s="282">
        <v>3.5087719298245648</v>
      </c>
      <c r="CE788" s="291" t="s">
        <v>8401</v>
      </c>
      <c r="CH788" s="136">
        <v>2</v>
      </c>
      <c r="CI788" s="136">
        <v>3</v>
      </c>
      <c r="CL788" s="136">
        <v>8</v>
      </c>
      <c r="CM788" s="259">
        <v>42161</v>
      </c>
      <c r="CN788" s="137" t="s">
        <v>8391</v>
      </c>
    </row>
    <row r="789" spans="1:93">
      <c r="A789" s="258">
        <v>1307</v>
      </c>
      <c r="B789" s="235">
        <v>431</v>
      </c>
      <c r="C789" s="235" t="s">
        <v>7576</v>
      </c>
      <c r="D789" s="235"/>
      <c r="E789" s="235"/>
      <c r="F789" s="235"/>
      <c r="G789" s="235"/>
      <c r="H789" s="235" t="s">
        <v>267</v>
      </c>
      <c r="I789" s="235">
        <v>1</v>
      </c>
      <c r="K789" s="235">
        <v>8</v>
      </c>
      <c r="L789" s="235">
        <f t="shared" si="407"/>
        <v>80</v>
      </c>
      <c r="M789" s="235">
        <v>6</v>
      </c>
      <c r="O789" s="248">
        <v>42048</v>
      </c>
      <c r="V789" s="219"/>
      <c r="X789">
        <v>15.55</v>
      </c>
      <c r="AB789" s="220"/>
      <c r="AD789" s="221"/>
      <c r="AF789" s="220"/>
      <c r="AH789" s="220"/>
      <c r="AJ789" s="286"/>
      <c r="AK789" s="285"/>
      <c r="AL789" s="260"/>
      <c r="AN789" s="235">
        <v>70</v>
      </c>
      <c r="AO789" s="242">
        <v>42074</v>
      </c>
      <c r="AP789" s="235">
        <v>106</v>
      </c>
      <c r="AQ789" s="242">
        <v>42110</v>
      </c>
      <c r="AS789" s="297"/>
      <c r="AT789" s="290"/>
      <c r="AU789" s="298"/>
      <c r="BF789" s="282"/>
      <c r="BG789" s="235"/>
      <c r="BL789" s="296"/>
      <c r="BM789" s="235"/>
      <c r="BP789" s="282"/>
      <c r="BQ789" s="235"/>
      <c r="BR789" s="282"/>
      <c r="BS789" s="235"/>
      <c r="BT789" s="282"/>
      <c r="BU789" s="235"/>
      <c r="BV789" s="282"/>
      <c r="BW789" s="235"/>
      <c r="BX789" s="282"/>
      <c r="BY789" s="235"/>
      <c r="CB789" s="267"/>
      <c r="CD789" s="282"/>
      <c r="CE789" s="291"/>
      <c r="CL789" s="136">
        <v>3</v>
      </c>
      <c r="CM789" s="259">
        <v>42161</v>
      </c>
    </row>
    <row r="790" spans="1:93">
      <c r="A790" s="258">
        <v>1308</v>
      </c>
      <c r="B790" s="235">
        <v>432</v>
      </c>
      <c r="C790" s="235" t="s">
        <v>7655</v>
      </c>
      <c r="D790" s="235" t="s">
        <v>8420</v>
      </c>
      <c r="E790" s="235" t="s">
        <v>7655</v>
      </c>
      <c r="F790" s="235" t="s">
        <v>8561</v>
      </c>
      <c r="G790" s="235" t="str">
        <f>IF(MID(C790,1,3)="BGA","Complement","Rapsodyn")</f>
        <v>Rapsodyn</v>
      </c>
      <c r="H790" s="235" t="s">
        <v>267</v>
      </c>
      <c r="I790" s="235">
        <v>1</v>
      </c>
      <c r="J790" s="235">
        <v>9372</v>
      </c>
      <c r="K790" s="235">
        <v>7</v>
      </c>
      <c r="L790" s="235">
        <f t="shared" si="407"/>
        <v>79</v>
      </c>
      <c r="M790" s="235">
        <v>6</v>
      </c>
      <c r="N790" s="235">
        <v>9</v>
      </c>
      <c r="O790" s="248">
        <v>42048</v>
      </c>
      <c r="P790" s="136">
        <v>3.95</v>
      </c>
      <c r="Q790" s="264">
        <v>42204</v>
      </c>
      <c r="V790" s="219">
        <f>+BR790*AF790/100</f>
        <v>10.860217414862648</v>
      </c>
      <c r="X790">
        <v>15.55</v>
      </c>
      <c r="AB790" s="220">
        <f>+AF790*BT790/100</f>
        <v>5.1343513462096757</v>
      </c>
      <c r="AD790" s="221">
        <f>+(AF790/AJ790)*10000</f>
        <v>57126.315759600184</v>
      </c>
      <c r="AF790" s="220">
        <f>($P790/$X790)*(((100-$CD790)/100*(100-2)/100))*100</f>
        <v>23.536042092955277</v>
      </c>
      <c r="AH790" s="220">
        <f>($P790/$X790)*(((100-$CD790)/(100-9)*(100-2)/(100-2))*100)</f>
        <v>26.391614816052119</v>
      </c>
      <c r="AJ790">
        <v>4.12</v>
      </c>
      <c r="AK790" s="285" t="s">
        <v>8400</v>
      </c>
      <c r="AL790" s="260">
        <v>170</v>
      </c>
      <c r="AN790" s="235">
        <v>70</v>
      </c>
      <c r="AO790" s="242">
        <v>42074</v>
      </c>
      <c r="AP790" s="235">
        <v>106</v>
      </c>
      <c r="AQ790" s="242">
        <v>42110</v>
      </c>
      <c r="AR790" s="136">
        <v>133</v>
      </c>
      <c r="AS790" s="297">
        <f>IF(AR790=0,,AR790)</f>
        <v>133</v>
      </c>
      <c r="AT790" s="290">
        <v>42137</v>
      </c>
      <c r="AU790" s="298"/>
      <c r="BF790" s="282">
        <v>-3.5712740421295166</v>
      </c>
      <c r="BG790" s="283">
        <v>42236</v>
      </c>
      <c r="BL790" s="296">
        <v>60.4600830078125</v>
      </c>
      <c r="BM790" s="283">
        <v>42236</v>
      </c>
      <c r="BP790" s="282">
        <v>4.0026669502258301</v>
      </c>
      <c r="BQ790" s="283">
        <v>42236</v>
      </c>
      <c r="BR790" s="282">
        <v>46.142921447753906</v>
      </c>
      <c r="BS790" s="283">
        <v>42236</v>
      </c>
      <c r="BT790" s="282">
        <v>21.814846038818359</v>
      </c>
      <c r="BU790" s="283">
        <v>42236</v>
      </c>
      <c r="BV790" s="282">
        <v>72.945022583007813</v>
      </c>
      <c r="BW790" s="283">
        <v>42236</v>
      </c>
      <c r="BX790" s="282">
        <v>6.0751190185546875</v>
      </c>
      <c r="BY790" s="283">
        <v>42236</v>
      </c>
      <c r="CB790" s="267">
        <v>6.23</v>
      </c>
      <c r="CD790" s="282">
        <v>5.4545454545454515</v>
      </c>
      <c r="CE790" s="291" t="s">
        <v>8400</v>
      </c>
      <c r="CH790" s="136">
        <v>5</v>
      </c>
      <c r="CI790" s="136">
        <v>7</v>
      </c>
      <c r="CL790" s="136">
        <v>6</v>
      </c>
      <c r="CM790" s="259">
        <v>42161</v>
      </c>
      <c r="CO790" s="137" t="s">
        <v>8405</v>
      </c>
    </row>
    <row r="791" spans="1:93">
      <c r="A791" s="258">
        <v>1309</v>
      </c>
      <c r="B791" s="236">
        <v>433</v>
      </c>
      <c r="C791" s="236" t="s">
        <v>7633</v>
      </c>
      <c r="D791" s="236" t="s">
        <v>256</v>
      </c>
      <c r="E791" s="236" t="s">
        <v>7633</v>
      </c>
      <c r="F791" s="236" t="s">
        <v>8557</v>
      </c>
      <c r="G791" s="235" t="str">
        <f>IF(MID(C791,1,3)="BGA","Complement","Rapsodyn")</f>
        <v>Rapsodyn</v>
      </c>
      <c r="H791" s="235" t="s">
        <v>267</v>
      </c>
      <c r="I791" s="235">
        <v>1</v>
      </c>
      <c r="J791" s="236">
        <v>9367</v>
      </c>
      <c r="K791" s="236">
        <v>6</v>
      </c>
      <c r="L791" s="235">
        <f t="shared" si="407"/>
        <v>78</v>
      </c>
      <c r="M791" s="236">
        <v>6</v>
      </c>
      <c r="N791" s="236">
        <v>9</v>
      </c>
      <c r="O791" s="248">
        <v>42048</v>
      </c>
      <c r="P791" s="136">
        <v>1.35</v>
      </c>
      <c r="Q791" s="264">
        <v>42204</v>
      </c>
      <c r="V791" s="219">
        <f>+BR791*AF791/100</f>
        <v>3.7026769220240117</v>
      </c>
      <c r="X791">
        <v>15.55</v>
      </c>
      <c r="AB791" s="220">
        <f>+AF791*BT791/100</f>
        <v>1.7768127987529063</v>
      </c>
      <c r="AD791" s="221">
        <f>+(AF791/AJ791)*10000</f>
        <v>18971.612625680456</v>
      </c>
      <c r="AF791" s="220">
        <f>($P791/$X791)*(((100-$CD791)/100*(100-2)/100))*100</f>
        <v>8.043963753288514</v>
      </c>
      <c r="AH791" s="220">
        <f>($P791/$X791)*(((100-$CD791)/(100-9)*(100-2)/(100-2))*100)</f>
        <v>9.0199189877646493</v>
      </c>
      <c r="AJ791">
        <v>4.24</v>
      </c>
      <c r="AK791" s="285" t="s">
        <v>8400</v>
      </c>
      <c r="AL791" s="260">
        <v>135</v>
      </c>
      <c r="AN791" s="235">
        <v>63</v>
      </c>
      <c r="AO791" s="243">
        <v>42067</v>
      </c>
      <c r="AP791" s="235">
        <v>100</v>
      </c>
      <c r="AQ791" s="242">
        <v>42104</v>
      </c>
      <c r="AR791" s="136">
        <v>125</v>
      </c>
      <c r="AS791" s="297">
        <f>IF(AR791=0,,AR791)</f>
        <v>125</v>
      </c>
      <c r="AT791" s="290">
        <v>42129</v>
      </c>
      <c r="AU791" s="298"/>
      <c r="BF791" s="282">
        <v>32.356952667236328</v>
      </c>
      <c r="BG791" s="283">
        <v>42236</v>
      </c>
      <c r="BL791" s="296">
        <v>60.151653289794922</v>
      </c>
      <c r="BM791" s="283">
        <v>42236</v>
      </c>
      <c r="BP791" s="282">
        <v>3.3820428848266602</v>
      </c>
      <c r="BQ791" s="283">
        <v>42236</v>
      </c>
      <c r="BR791" s="282">
        <v>46.030502319335938</v>
      </c>
      <c r="BS791" s="283">
        <v>42236</v>
      </c>
      <c r="BT791" s="282">
        <v>22.088771820068359</v>
      </c>
      <c r="BU791" s="283">
        <v>42236</v>
      </c>
      <c r="BV791" s="282">
        <v>68.599037170410156</v>
      </c>
      <c r="BW791" s="283">
        <v>42236</v>
      </c>
      <c r="BX791" s="282">
        <v>5.65179443359375</v>
      </c>
      <c r="BY791" s="283">
        <v>42236</v>
      </c>
      <c r="CB791" s="267">
        <v>6.83</v>
      </c>
      <c r="CD791" s="282">
        <v>5.4545454545454515</v>
      </c>
      <c r="CE791" s="291" t="s">
        <v>8400</v>
      </c>
      <c r="CH791" s="136">
        <v>3</v>
      </c>
      <c r="CI791" s="136">
        <v>8</v>
      </c>
      <c r="CL791" s="136">
        <v>7</v>
      </c>
      <c r="CM791" s="259">
        <v>42161</v>
      </c>
      <c r="CO791" s="137" t="s">
        <v>8405</v>
      </c>
    </row>
    <row r="792" spans="1:93">
      <c r="A792" s="258">
        <v>1310</v>
      </c>
      <c r="B792" s="235">
        <v>434</v>
      </c>
      <c r="C792" s="235" t="s">
        <v>7749</v>
      </c>
      <c r="D792" s="235" t="s">
        <v>7888</v>
      </c>
      <c r="E792" s="235" t="s">
        <v>7749</v>
      </c>
      <c r="F792" s="235" t="s">
        <v>8558</v>
      </c>
      <c r="G792" s="235" t="str">
        <f>IF(MID(C792,1,3)="BGA","Complement","Rapsodyn")</f>
        <v>Rapsodyn</v>
      </c>
      <c r="H792" s="235" t="s">
        <v>267</v>
      </c>
      <c r="I792" s="235">
        <v>1</v>
      </c>
      <c r="J792" s="235">
        <v>9381</v>
      </c>
      <c r="K792" s="235">
        <v>5</v>
      </c>
      <c r="L792" s="235">
        <f t="shared" si="407"/>
        <v>77</v>
      </c>
      <c r="M792" s="235">
        <v>6</v>
      </c>
      <c r="N792" s="235">
        <v>7</v>
      </c>
      <c r="O792" s="248">
        <v>42048</v>
      </c>
      <c r="P792" s="136">
        <v>3.25</v>
      </c>
      <c r="Q792" s="264">
        <v>42204</v>
      </c>
      <c r="V792" s="219">
        <f>+BR792*AF792/100</f>
        <v>8.8596100649684555</v>
      </c>
      <c r="X792">
        <v>15.55</v>
      </c>
      <c r="AB792" s="220">
        <f>+AF792*BT792/100</f>
        <v>3.7722740357328464</v>
      </c>
      <c r="AD792" s="221">
        <f>+(AF792/AJ792)*10000</f>
        <v>49522.038473259665</v>
      </c>
      <c r="AF792" s="220">
        <f>($P792/$X792)*(((100-$CD792)/100*(100-2)/100))*100</f>
        <v>18.620286465945632</v>
      </c>
      <c r="AH792" s="220">
        <f>($P792/$X792)*(((100-$CD792)/(100-9)*(100-2)/(100-2))*100)</f>
        <v>20.879442101307049</v>
      </c>
      <c r="AJ792">
        <v>3.76</v>
      </c>
      <c r="AK792" s="285" t="s">
        <v>8398</v>
      </c>
      <c r="AL792" s="260">
        <v>170</v>
      </c>
      <c r="AN792" s="235">
        <v>75</v>
      </c>
      <c r="AO792" s="242">
        <v>42079</v>
      </c>
      <c r="AP792" s="235">
        <v>110</v>
      </c>
      <c r="AQ792" s="242">
        <v>42114</v>
      </c>
      <c r="AR792" s="136">
        <v>134</v>
      </c>
      <c r="AS792" s="297">
        <f>IF(AR792=0,,AR792)</f>
        <v>134</v>
      </c>
      <c r="AT792" s="290">
        <v>42138</v>
      </c>
      <c r="AU792" s="298"/>
      <c r="BF792" s="282">
        <v>29.904541015625</v>
      </c>
      <c r="BG792" s="283">
        <v>42236</v>
      </c>
      <c r="BL792" s="296">
        <v>61.408493041992188</v>
      </c>
      <c r="BM792" s="283">
        <v>42236</v>
      </c>
      <c r="BP792" s="282">
        <v>3.7306480407714844</v>
      </c>
      <c r="BQ792" s="283">
        <v>42236</v>
      </c>
      <c r="BR792" s="282">
        <v>47.580417633056641</v>
      </c>
      <c r="BS792" s="283">
        <v>42236</v>
      </c>
      <c r="BT792" s="282">
        <v>20.258947372436523</v>
      </c>
      <c r="BU792" s="283">
        <v>42236</v>
      </c>
      <c r="BV792" s="282">
        <v>64.721572875976563</v>
      </c>
      <c r="BW792" s="283">
        <v>42236</v>
      </c>
      <c r="BX792" s="282">
        <v>6.2538070678710937</v>
      </c>
      <c r="BY792" s="283">
        <v>42236</v>
      </c>
      <c r="CB792" s="267">
        <v>6.56</v>
      </c>
      <c r="CD792" s="282">
        <v>9.0909090909090917</v>
      </c>
      <c r="CE792" s="291" t="s">
        <v>8398</v>
      </c>
      <c r="CH792" s="136">
        <v>6</v>
      </c>
      <c r="CI792" s="136">
        <v>7</v>
      </c>
      <c r="CL792" s="136">
        <v>7</v>
      </c>
      <c r="CM792" s="259">
        <v>42161</v>
      </c>
      <c r="CO792" s="137" t="s">
        <v>8405</v>
      </c>
    </row>
    <row r="793" spans="1:93">
      <c r="A793" s="258">
        <v>1311</v>
      </c>
      <c r="B793" s="235">
        <v>435</v>
      </c>
      <c r="C793" s="235" t="s">
        <v>7731</v>
      </c>
      <c r="D793" s="235" t="s">
        <v>7554</v>
      </c>
      <c r="E793" s="235" t="s">
        <v>7731</v>
      </c>
      <c r="F793" s="235" t="s">
        <v>8564</v>
      </c>
      <c r="G793" s="235" t="str">
        <f>IF(MID(C793,1,3)="BGA","Complement","Rapsodyn")</f>
        <v>Rapsodyn</v>
      </c>
      <c r="H793" s="235" t="s">
        <v>267</v>
      </c>
      <c r="I793" s="235">
        <v>1</v>
      </c>
      <c r="J793" s="235">
        <v>9374</v>
      </c>
      <c r="K793" s="235">
        <v>4</v>
      </c>
      <c r="L793" s="235">
        <f t="shared" si="407"/>
        <v>76</v>
      </c>
      <c r="M793" s="235">
        <v>6</v>
      </c>
      <c r="N793" s="235">
        <v>7</v>
      </c>
      <c r="O793" s="248">
        <v>42048</v>
      </c>
      <c r="P793" s="136">
        <v>2.5499999999999998</v>
      </c>
      <c r="Q793" s="264">
        <v>42204</v>
      </c>
      <c r="V793" s="219">
        <f>+BR793*AF793/100</f>
        <v>6.663628239989138</v>
      </c>
      <c r="X793">
        <v>15.55</v>
      </c>
      <c r="AB793" s="220">
        <f>+AF793*BT793/100</f>
        <v>3.4076983762654898</v>
      </c>
      <c r="AD793" s="221">
        <f>+(AF793/AJ793)*10000</f>
        <v>35578.496079426848</v>
      </c>
      <c r="AF793" s="220">
        <f>($P793/$X793)*(((100-$CD793)/100*(100-2)/100))*100</f>
        <v>14.942968353359278</v>
      </c>
      <c r="AH793" s="220">
        <f>($P793/$X793)*(((100-$CD793)/(100-9)*(100-2)/(100-2))*100)</f>
        <v>16.75596361668455</v>
      </c>
      <c r="AJ793">
        <v>4.2</v>
      </c>
      <c r="AK793" s="285" t="s">
        <v>8398</v>
      </c>
      <c r="AL793" s="260">
        <v>170</v>
      </c>
      <c r="AN793" s="235">
        <v>70</v>
      </c>
      <c r="AO793" s="242">
        <v>42074</v>
      </c>
      <c r="AP793" s="235">
        <v>104</v>
      </c>
      <c r="AQ793" s="242">
        <v>42108</v>
      </c>
      <c r="AR793" s="136">
        <v>131</v>
      </c>
      <c r="AS793" s="297">
        <f>IF(AR793=0,,AR793)</f>
        <v>131</v>
      </c>
      <c r="AT793" s="290">
        <v>42135</v>
      </c>
      <c r="AU793" s="298"/>
      <c r="BF793" s="282">
        <v>25.530548095703125</v>
      </c>
      <c r="BG793" s="283">
        <v>42236</v>
      </c>
      <c r="BL793" s="296">
        <v>61.938407897949219</v>
      </c>
      <c r="BM793" s="283">
        <v>42236</v>
      </c>
      <c r="BP793" s="282">
        <v>3.3697450160980225</v>
      </c>
      <c r="BQ793" s="283">
        <v>42236</v>
      </c>
      <c r="BR793" s="282">
        <v>44.593738555908203</v>
      </c>
      <c r="BS793" s="283">
        <v>42236</v>
      </c>
      <c r="BT793" s="282">
        <v>22.804695129394531</v>
      </c>
      <c r="BU793" s="283">
        <v>42236</v>
      </c>
      <c r="BV793" s="282">
        <v>57.098968505859375</v>
      </c>
      <c r="BW793" s="283">
        <v>42236</v>
      </c>
      <c r="BX793" s="282">
        <v>5.8869857788085937</v>
      </c>
      <c r="BY793" s="283">
        <v>42236</v>
      </c>
      <c r="CB793" s="267">
        <v>6.63</v>
      </c>
      <c r="CD793" s="282">
        <v>7.0175438596491295</v>
      </c>
      <c r="CE793" s="291" t="s">
        <v>8398</v>
      </c>
      <c r="CH793" s="136">
        <v>3</v>
      </c>
      <c r="CI793" s="136">
        <v>6</v>
      </c>
      <c r="CL793" s="136">
        <v>9</v>
      </c>
      <c r="CM793" s="259">
        <v>42161</v>
      </c>
      <c r="CN793" s="137" t="s">
        <v>8391</v>
      </c>
    </row>
    <row r="794" spans="1:93">
      <c r="A794" s="258">
        <v>1312</v>
      </c>
      <c r="B794" s="235">
        <v>436</v>
      </c>
      <c r="C794" s="235" t="s">
        <v>7576</v>
      </c>
      <c r="D794" s="235"/>
      <c r="E794" s="235"/>
      <c r="F794" s="235"/>
      <c r="G794" s="235"/>
      <c r="H794" s="235" t="s">
        <v>267</v>
      </c>
      <c r="I794" s="235">
        <v>1</v>
      </c>
      <c r="K794" s="235">
        <v>3</v>
      </c>
      <c r="L794" s="235">
        <f t="shared" si="407"/>
        <v>75</v>
      </c>
      <c r="M794" s="235">
        <v>6</v>
      </c>
      <c r="O794" s="248">
        <v>42048</v>
      </c>
      <c r="V794" s="219"/>
      <c r="X794">
        <v>15.55</v>
      </c>
      <c r="AB794" s="220"/>
      <c r="AD794" s="221"/>
      <c r="AF794" s="220"/>
      <c r="AH794" s="220"/>
      <c r="AJ794" s="289"/>
      <c r="AK794" s="285"/>
      <c r="AL794" s="260"/>
      <c r="AN794" s="235">
        <v>70</v>
      </c>
      <c r="AO794" s="242">
        <v>42074</v>
      </c>
      <c r="AP794" s="235">
        <v>106</v>
      </c>
      <c r="AQ794" s="242">
        <v>42110</v>
      </c>
      <c r="AS794" s="297"/>
      <c r="AT794" s="290"/>
      <c r="AU794" s="298"/>
      <c r="BF794" s="282"/>
      <c r="BG794" s="235"/>
      <c r="BL794" s="296"/>
      <c r="BM794" s="235"/>
      <c r="BP794" s="282"/>
      <c r="BQ794" s="235"/>
      <c r="BR794" s="282"/>
      <c r="BS794" s="235"/>
      <c r="BT794" s="282"/>
      <c r="BU794" s="235"/>
      <c r="BV794" s="282"/>
      <c r="BW794" s="235"/>
      <c r="BX794" s="282"/>
      <c r="BY794" s="235"/>
      <c r="CB794" s="267"/>
      <c r="CD794" s="282"/>
      <c r="CE794" s="291"/>
      <c r="CL794" s="136">
        <v>3</v>
      </c>
      <c r="CM794" s="259">
        <v>42161</v>
      </c>
    </row>
    <row r="795" spans="1:93">
      <c r="A795" s="258">
        <v>1313</v>
      </c>
      <c r="B795" s="235">
        <v>437</v>
      </c>
      <c r="C795" s="235" t="s">
        <v>7576</v>
      </c>
      <c r="D795" s="235"/>
      <c r="E795" s="235"/>
      <c r="F795" s="235"/>
      <c r="G795" s="235"/>
      <c r="H795" s="235" t="s">
        <v>267</v>
      </c>
      <c r="I795" s="235">
        <v>1</v>
      </c>
      <c r="K795" s="235">
        <v>2</v>
      </c>
      <c r="L795" s="235">
        <f t="shared" si="407"/>
        <v>74</v>
      </c>
      <c r="M795" s="235">
        <v>6</v>
      </c>
      <c r="O795" s="248">
        <v>42048</v>
      </c>
      <c r="V795" s="219"/>
      <c r="X795">
        <v>15.55</v>
      </c>
      <c r="AB795" s="220"/>
      <c r="AD795" s="221"/>
      <c r="AF795" s="220"/>
      <c r="AH795" s="220"/>
      <c r="AJ795" s="286"/>
      <c r="AK795" s="285"/>
      <c r="AL795" s="260"/>
      <c r="AN795" s="235">
        <v>70</v>
      </c>
      <c r="AO795" s="242">
        <v>42074</v>
      </c>
      <c r="AP795" s="235">
        <v>106</v>
      </c>
      <c r="AQ795" s="242">
        <v>42110</v>
      </c>
      <c r="AS795" s="297"/>
      <c r="AT795" s="290"/>
      <c r="AU795" s="298"/>
      <c r="BF795" s="282"/>
      <c r="BG795" s="235"/>
      <c r="BL795" s="296"/>
      <c r="BM795" s="235"/>
      <c r="BP795" s="282"/>
      <c r="BQ795" s="235"/>
      <c r="BR795" s="282"/>
      <c r="BS795" s="235"/>
      <c r="BT795" s="282"/>
      <c r="BU795" s="235"/>
      <c r="BV795" s="282"/>
      <c r="BW795" s="235"/>
      <c r="BX795" s="282"/>
      <c r="BY795" s="235"/>
      <c r="CB795" s="267"/>
      <c r="CD795" s="282"/>
      <c r="CE795" s="291"/>
      <c r="CL795" s="136">
        <v>1</v>
      </c>
      <c r="CM795" s="259">
        <v>42161</v>
      </c>
    </row>
    <row r="796" spans="1:93">
      <c r="A796" s="258">
        <v>1314</v>
      </c>
      <c r="B796" s="235">
        <v>438</v>
      </c>
      <c r="C796" s="235" t="s">
        <v>7576</v>
      </c>
      <c r="D796" s="235"/>
      <c r="E796" s="235"/>
      <c r="F796" s="235"/>
      <c r="G796" s="235"/>
      <c r="H796" s="235" t="s">
        <v>267</v>
      </c>
      <c r="I796" s="235">
        <v>1</v>
      </c>
      <c r="K796" s="235">
        <v>1</v>
      </c>
      <c r="L796" s="235">
        <f t="shared" si="407"/>
        <v>73</v>
      </c>
      <c r="M796" s="235">
        <v>6</v>
      </c>
      <c r="O796" s="248">
        <v>42048</v>
      </c>
      <c r="V796" s="219"/>
      <c r="X796">
        <v>15.55</v>
      </c>
      <c r="AB796" s="220"/>
      <c r="AD796" s="221"/>
      <c r="AF796" s="220"/>
      <c r="AH796" s="220"/>
      <c r="AJ796" s="286"/>
      <c r="AK796" s="285"/>
      <c r="AL796" s="260"/>
      <c r="AN796" s="235">
        <v>70</v>
      </c>
      <c r="AO796" s="242">
        <v>42074</v>
      </c>
      <c r="AP796" s="235">
        <v>106</v>
      </c>
      <c r="AQ796" s="242">
        <v>42110</v>
      </c>
      <c r="AS796" s="297"/>
      <c r="AT796" s="290"/>
      <c r="AU796" s="298"/>
      <c r="BF796" s="282"/>
      <c r="BG796" s="235"/>
      <c r="BL796" s="296"/>
      <c r="BM796" s="235"/>
      <c r="BP796" s="282"/>
      <c r="BQ796" s="235"/>
      <c r="BR796" s="282"/>
      <c r="BS796" s="235"/>
      <c r="BT796" s="282"/>
      <c r="BU796" s="235"/>
      <c r="BV796" s="282"/>
      <c r="BW796" s="235"/>
      <c r="BX796" s="282"/>
      <c r="BY796" s="235"/>
      <c r="CB796" s="267"/>
      <c r="CD796" s="282"/>
      <c r="CE796" s="291"/>
      <c r="CL796" s="136">
        <v>2</v>
      </c>
      <c r="CM796" s="259">
        <v>42161</v>
      </c>
    </row>
    <row r="797" spans="1:93">
      <c r="A797" s="258">
        <v>1315</v>
      </c>
      <c r="B797" s="235">
        <v>439</v>
      </c>
      <c r="C797" s="235" t="s">
        <v>7576</v>
      </c>
      <c r="D797" s="235"/>
      <c r="E797" s="235"/>
      <c r="F797" s="235"/>
      <c r="G797" s="235"/>
      <c r="H797" s="235" t="s">
        <v>267</v>
      </c>
      <c r="I797" s="235">
        <v>2</v>
      </c>
      <c r="K797" s="235">
        <v>1</v>
      </c>
      <c r="L797" s="235">
        <f t="shared" si="407"/>
        <v>73</v>
      </c>
      <c r="M797" s="235">
        <v>7</v>
      </c>
      <c r="O797" s="248">
        <v>42048</v>
      </c>
      <c r="V797" s="219"/>
      <c r="X797">
        <v>15.55</v>
      </c>
      <c r="AB797" s="220"/>
      <c r="AD797" s="221"/>
      <c r="AF797" s="220"/>
      <c r="AH797" s="220"/>
      <c r="AJ797" s="286"/>
      <c r="AK797" s="285"/>
      <c r="AL797" s="260"/>
      <c r="AN797" s="235">
        <v>70</v>
      </c>
      <c r="AO797" s="242">
        <v>42074</v>
      </c>
      <c r="AP797" s="235">
        <v>106</v>
      </c>
      <c r="AQ797" s="242">
        <v>42110</v>
      </c>
      <c r="AS797" s="297"/>
      <c r="AT797" s="290"/>
      <c r="AU797" s="298"/>
      <c r="BF797" s="282"/>
      <c r="BG797" s="235"/>
      <c r="BL797" s="296"/>
      <c r="BM797" s="235"/>
      <c r="BP797" s="282"/>
      <c r="BQ797" s="235"/>
      <c r="BR797" s="282"/>
      <c r="BS797" s="235"/>
      <c r="BT797" s="282"/>
      <c r="BU797" s="235"/>
      <c r="BV797" s="282"/>
      <c r="BW797" s="235"/>
      <c r="BX797" s="282"/>
      <c r="BY797" s="235"/>
      <c r="CB797" s="267"/>
      <c r="CD797" s="282"/>
      <c r="CE797" s="291"/>
      <c r="CM797" s="259">
        <v>42161</v>
      </c>
    </row>
    <row r="798" spans="1:93">
      <c r="A798" s="258">
        <v>1316</v>
      </c>
      <c r="B798" s="235">
        <v>440</v>
      </c>
      <c r="C798" s="235" t="s">
        <v>7576</v>
      </c>
      <c r="D798" s="235"/>
      <c r="E798" s="235"/>
      <c r="F798" s="235"/>
      <c r="G798" s="235"/>
      <c r="H798" s="235" t="s">
        <v>267</v>
      </c>
      <c r="I798" s="235">
        <v>2</v>
      </c>
      <c r="K798" s="235">
        <v>2</v>
      </c>
      <c r="L798" s="235">
        <f t="shared" si="407"/>
        <v>74</v>
      </c>
      <c r="M798" s="235">
        <v>7</v>
      </c>
      <c r="O798" s="248">
        <v>42048</v>
      </c>
      <c r="V798" s="219"/>
      <c r="X798">
        <v>15.55</v>
      </c>
      <c r="AB798" s="220"/>
      <c r="AD798" s="221"/>
      <c r="AF798" s="220"/>
      <c r="AH798" s="220"/>
      <c r="AJ798" s="286"/>
      <c r="AK798" s="285"/>
      <c r="AL798" s="260"/>
      <c r="AN798" s="235">
        <v>70</v>
      </c>
      <c r="AO798" s="242">
        <v>42074</v>
      </c>
      <c r="AP798" s="235">
        <v>106</v>
      </c>
      <c r="AQ798" s="242">
        <v>42110</v>
      </c>
      <c r="AS798" s="297"/>
      <c r="AT798" s="290"/>
      <c r="AU798" s="298"/>
      <c r="BF798" s="282"/>
      <c r="BG798" s="235"/>
      <c r="BL798" s="296"/>
      <c r="BM798" s="235"/>
      <c r="BP798" s="282"/>
      <c r="BQ798" s="235"/>
      <c r="BR798" s="282"/>
      <c r="BS798" s="235"/>
      <c r="BT798" s="282"/>
      <c r="BU798" s="235"/>
      <c r="BV798" s="282"/>
      <c r="BW798" s="235"/>
      <c r="BX798" s="282"/>
      <c r="BY798" s="235"/>
      <c r="CB798" s="267"/>
      <c r="CD798" s="282"/>
      <c r="CE798" s="291"/>
      <c r="CL798" s="136">
        <v>3</v>
      </c>
      <c r="CM798" s="259">
        <v>42161</v>
      </c>
    </row>
    <row r="799" spans="1:93">
      <c r="A799" s="258">
        <v>1317</v>
      </c>
      <c r="B799" s="235">
        <v>441</v>
      </c>
      <c r="C799" s="235" t="s">
        <v>7576</v>
      </c>
      <c r="D799" s="235"/>
      <c r="E799" s="235"/>
      <c r="F799" s="235"/>
      <c r="G799" s="235"/>
      <c r="H799" s="235" t="s">
        <v>267</v>
      </c>
      <c r="I799" s="235">
        <v>2</v>
      </c>
      <c r="K799" s="235">
        <v>3</v>
      </c>
      <c r="L799" s="235">
        <f t="shared" si="407"/>
        <v>75</v>
      </c>
      <c r="M799" s="235">
        <v>7</v>
      </c>
      <c r="O799" s="248">
        <v>42048</v>
      </c>
      <c r="V799" s="219"/>
      <c r="X799">
        <v>15.55</v>
      </c>
      <c r="AB799" s="220"/>
      <c r="AD799" s="221"/>
      <c r="AF799" s="220"/>
      <c r="AH799" s="220"/>
      <c r="AJ799" s="286"/>
      <c r="AK799" s="285"/>
      <c r="AL799" s="260"/>
      <c r="AN799" s="235">
        <v>70</v>
      </c>
      <c r="AO799" s="242">
        <v>42074</v>
      </c>
      <c r="AP799" s="235">
        <v>106</v>
      </c>
      <c r="AQ799" s="242">
        <v>42110</v>
      </c>
      <c r="AS799" s="297"/>
      <c r="AT799" s="290"/>
      <c r="AU799" s="298"/>
      <c r="BF799" s="282"/>
      <c r="BG799" s="235"/>
      <c r="BL799" s="296"/>
      <c r="BM799" s="235"/>
      <c r="BP799" s="282"/>
      <c r="BQ799" s="235"/>
      <c r="BR799" s="282"/>
      <c r="BS799" s="235"/>
      <c r="BT799" s="282"/>
      <c r="BU799" s="235"/>
      <c r="BV799" s="282"/>
      <c r="BW799" s="235"/>
      <c r="BX799" s="282"/>
      <c r="BY799" s="235"/>
      <c r="CB799" s="267"/>
      <c r="CD799" s="282"/>
      <c r="CE799" s="291"/>
      <c r="CL799" s="136">
        <v>2</v>
      </c>
      <c r="CM799" s="259">
        <v>42161</v>
      </c>
    </row>
    <row r="800" spans="1:93">
      <c r="A800" s="258">
        <v>1318</v>
      </c>
      <c r="B800" s="235">
        <v>442</v>
      </c>
      <c r="C800" s="235" t="s">
        <v>8238</v>
      </c>
      <c r="D800" s="235" t="s">
        <v>7562</v>
      </c>
      <c r="E800" s="235" t="s">
        <v>8461</v>
      </c>
      <c r="F800" s="235" t="s">
        <v>8469</v>
      </c>
      <c r="G800" s="235" t="str">
        <f>IF(MID(C800,1,3)="BGA","Complement","Rapsodyn")</f>
        <v>Rapsodyn</v>
      </c>
      <c r="H800" s="235" t="s">
        <v>267</v>
      </c>
      <c r="I800" s="235">
        <v>2</v>
      </c>
      <c r="J800" s="235">
        <v>9384</v>
      </c>
      <c r="K800" s="235">
        <v>4</v>
      </c>
      <c r="L800" s="235">
        <f t="shared" si="407"/>
        <v>76</v>
      </c>
      <c r="M800" s="235">
        <v>7</v>
      </c>
      <c r="N800" s="235">
        <v>7</v>
      </c>
      <c r="O800" s="248">
        <v>42048</v>
      </c>
      <c r="P800" s="136">
        <v>6.6</v>
      </c>
      <c r="Q800" s="264">
        <v>42204</v>
      </c>
      <c r="V800" s="219">
        <f>+BR800*AF800/100</f>
        <v>19.363362102272582</v>
      </c>
      <c r="X800">
        <v>15.55</v>
      </c>
      <c r="AB800" s="220">
        <f>+AF800*BT800/100</f>
        <v>7.3803204549026136</v>
      </c>
      <c r="AD800" s="221">
        <f>+(AF800/AJ800)*10000</f>
        <v>86048.951199926509</v>
      </c>
      <c r="AF800" s="220">
        <f>($P800/$X800)*(((100-$CD800)/100*(100-2)/100))*100</f>
        <v>40.184860210365684</v>
      </c>
      <c r="AH800" s="220">
        <f>($P800/$X800)*(((100-$CD800)/(100-9)*(100-2)/(100-2))*100)</f>
        <v>45.060394943222349</v>
      </c>
      <c r="AJ800">
        <v>4.67</v>
      </c>
      <c r="AK800" s="285" t="s">
        <v>8398</v>
      </c>
      <c r="AL800" s="260">
        <v>165</v>
      </c>
      <c r="AN800" s="235">
        <v>72</v>
      </c>
      <c r="AO800" s="242">
        <v>42076</v>
      </c>
      <c r="AP800" s="235">
        <v>106</v>
      </c>
      <c r="AQ800" s="242">
        <v>42110</v>
      </c>
      <c r="AR800" s="136">
        <v>134</v>
      </c>
      <c r="AS800" s="297">
        <f>IF(AR800=0,,AR800)</f>
        <v>134</v>
      </c>
      <c r="AT800" s="290">
        <v>42138</v>
      </c>
      <c r="AU800" s="298"/>
      <c r="BF800" s="282">
        <v>1.1934340000152588</v>
      </c>
      <c r="BG800" s="283">
        <v>42236</v>
      </c>
      <c r="BL800" s="296">
        <v>61.501956939697266</v>
      </c>
      <c r="BM800" s="283">
        <v>42236</v>
      </c>
      <c r="BP800" s="282">
        <v>4.2152791023254395</v>
      </c>
      <c r="BQ800" s="283">
        <v>42236</v>
      </c>
      <c r="BR800" s="282">
        <v>48.185714721679688</v>
      </c>
      <c r="BS800" s="283">
        <v>42236</v>
      </c>
      <c r="BT800" s="282">
        <v>18.365922927856445</v>
      </c>
      <c r="BU800" s="283">
        <v>42236</v>
      </c>
      <c r="BV800" s="282">
        <v>16.184812545776367</v>
      </c>
      <c r="BW800" s="283">
        <v>42236</v>
      </c>
      <c r="BX800" s="282">
        <v>5.7242507934570312</v>
      </c>
      <c r="BY800" s="283">
        <v>42236</v>
      </c>
      <c r="CB800" s="267">
        <v>6.54</v>
      </c>
      <c r="CD800" s="282">
        <v>3.3898305084745792</v>
      </c>
      <c r="CE800" s="291" t="s">
        <v>8398</v>
      </c>
      <c r="CH800" s="136">
        <v>2</v>
      </c>
      <c r="CI800" s="136">
        <v>3</v>
      </c>
      <c r="CL800" s="136">
        <v>2</v>
      </c>
      <c r="CM800" s="259">
        <v>42161</v>
      </c>
      <c r="CN800" s="137" t="s">
        <v>8406</v>
      </c>
    </row>
    <row r="801" spans="1:93">
      <c r="A801" s="258">
        <v>1319</v>
      </c>
      <c r="B801" s="235">
        <v>443</v>
      </c>
      <c r="C801" s="235" t="s">
        <v>7646</v>
      </c>
      <c r="D801" s="235" t="s">
        <v>7478</v>
      </c>
      <c r="E801" s="235" t="s">
        <v>7646</v>
      </c>
      <c r="F801" s="235" t="s">
        <v>8630</v>
      </c>
      <c r="G801" s="235" t="str">
        <f>IF(MID(C801,1,3)="BGA","Complement","Rapsodyn")</f>
        <v>Rapsodyn</v>
      </c>
      <c r="H801" s="235" t="s">
        <v>267</v>
      </c>
      <c r="I801" s="235">
        <v>2</v>
      </c>
      <c r="J801" s="235">
        <v>9369</v>
      </c>
      <c r="K801" s="235">
        <v>5</v>
      </c>
      <c r="L801" s="235">
        <f t="shared" si="407"/>
        <v>77</v>
      </c>
      <c r="M801" s="235">
        <v>7</v>
      </c>
      <c r="N801" s="235">
        <v>7</v>
      </c>
      <c r="O801" s="248">
        <v>42048</v>
      </c>
      <c r="P801" s="136">
        <v>3.9</v>
      </c>
      <c r="Q801" s="264">
        <v>42204</v>
      </c>
      <c r="V801" s="219">
        <f>+BR801*AF801/100</f>
        <v>11.274341104069469</v>
      </c>
      <c r="X801">
        <v>15.55</v>
      </c>
      <c r="AB801" s="220">
        <f>+AF801*BT801/100</f>
        <v>4.2661791828670266</v>
      </c>
      <c r="AD801" s="221">
        <f>+(AF801/AJ801)*10000</f>
        <v>49106.630875114868</v>
      </c>
      <c r="AF801" s="220">
        <f>($P801/$X801)*(((100-$CD801)/100*(100-2)/100))*100</f>
        <v>22.883689987803528</v>
      </c>
      <c r="AH801" s="220">
        <f>($P801/$X801)*(((100-$CD801)/(100-9)*(100-2)/(100-2))*100)</f>
        <v>25.660114361744256</v>
      </c>
      <c r="AJ801">
        <v>4.66</v>
      </c>
      <c r="AK801" s="285" t="s">
        <v>8398</v>
      </c>
      <c r="AL801" s="260">
        <v>180</v>
      </c>
      <c r="AN801" s="235">
        <v>72</v>
      </c>
      <c r="AO801" s="242">
        <v>42076</v>
      </c>
      <c r="AP801" s="235">
        <v>106</v>
      </c>
      <c r="AQ801" s="242">
        <v>42110</v>
      </c>
      <c r="AR801" s="136">
        <v>132</v>
      </c>
      <c r="AS801" s="297">
        <f>IF(AR801=0,,AR801)</f>
        <v>132</v>
      </c>
      <c r="AT801" s="290">
        <v>42136</v>
      </c>
      <c r="AU801" s="298"/>
      <c r="BF801" s="282">
        <v>-7.7694277763366699</v>
      </c>
      <c r="BG801" s="283">
        <v>42236</v>
      </c>
      <c r="BL801" s="296">
        <v>58.939311981201172</v>
      </c>
      <c r="BM801" s="283">
        <v>42236</v>
      </c>
      <c r="BP801" s="282">
        <v>4.0116491317749023</v>
      </c>
      <c r="BQ801" s="283">
        <v>42236</v>
      </c>
      <c r="BR801" s="282">
        <v>49.268020629882813</v>
      </c>
      <c r="BS801" s="283">
        <v>42236</v>
      </c>
      <c r="BT801" s="282">
        <v>18.642881393432617</v>
      </c>
      <c r="BU801" s="283">
        <v>42236</v>
      </c>
      <c r="BV801" s="282">
        <v>61.536842346191406</v>
      </c>
      <c r="BW801" s="283">
        <v>42236</v>
      </c>
      <c r="BX801" s="282">
        <v>5.9585800170898437</v>
      </c>
      <c r="BY801" s="283">
        <v>42236</v>
      </c>
      <c r="CB801" s="267">
        <v>6.12</v>
      </c>
      <c r="CD801" s="282">
        <v>6.8965517241379226</v>
      </c>
      <c r="CE801" s="291" t="s">
        <v>8398</v>
      </c>
      <c r="CH801" s="136">
        <v>1</v>
      </c>
      <c r="CI801" s="136">
        <v>5</v>
      </c>
      <c r="CL801" s="136">
        <v>5</v>
      </c>
      <c r="CM801" s="259">
        <v>42161</v>
      </c>
      <c r="CN801" s="137" t="s">
        <v>8406</v>
      </c>
    </row>
    <row r="802" spans="1:93">
      <c r="A802" s="258">
        <v>1320</v>
      </c>
      <c r="B802" s="235">
        <v>444</v>
      </c>
      <c r="C802" s="235" t="s">
        <v>7667</v>
      </c>
      <c r="D802" s="235" t="s">
        <v>7496</v>
      </c>
      <c r="E802" s="235" t="s">
        <v>7667</v>
      </c>
      <c r="F802" s="235" t="s">
        <v>8629</v>
      </c>
      <c r="G802" s="235" t="str">
        <f>IF(MID(C802,1,3)="BGA","Complement","Rapsodyn")</f>
        <v>Rapsodyn</v>
      </c>
      <c r="H802" s="235" t="s">
        <v>267</v>
      </c>
      <c r="I802" s="235">
        <v>2</v>
      </c>
      <c r="J802" s="235">
        <v>9373</v>
      </c>
      <c r="K802" s="235">
        <v>6</v>
      </c>
      <c r="L802" s="235">
        <f t="shared" si="407"/>
        <v>78</v>
      </c>
      <c r="M802" s="235">
        <v>7</v>
      </c>
      <c r="N802" s="235">
        <v>7</v>
      </c>
      <c r="O802" s="248">
        <v>42048</v>
      </c>
      <c r="P802" s="136">
        <v>4.4000000000000004</v>
      </c>
      <c r="Q802" s="264">
        <v>42204</v>
      </c>
      <c r="V802" s="219">
        <f>+BR802*AF802/100</f>
        <v>11.5938735785285</v>
      </c>
      <c r="X802">
        <v>15.55</v>
      </c>
      <c r="AB802" s="220">
        <f>+AF802*BT802/100</f>
        <v>5.541588105818084</v>
      </c>
      <c r="AD802" s="221">
        <f>+(AF802/AJ802)*10000</f>
        <v>53421.568758255402</v>
      </c>
      <c r="AF802" s="220">
        <f>($P802/$X802)*(((100-$CD802)/100*(100-2)/100))*100</f>
        <v>25.749196141479104</v>
      </c>
      <c r="AH802" s="220">
        <f>($P802/$X802)*(((100-$CD802)/(100-9)*(100-2)/(100-2))*100)</f>
        <v>28.873285648664613</v>
      </c>
      <c r="AJ802">
        <v>4.82</v>
      </c>
      <c r="AK802" s="285" t="s">
        <v>8400</v>
      </c>
      <c r="AL802" s="260">
        <v>175</v>
      </c>
      <c r="AN802" s="235">
        <v>72</v>
      </c>
      <c r="AO802" s="242">
        <v>42076</v>
      </c>
      <c r="AP802" s="235">
        <v>106</v>
      </c>
      <c r="AQ802" s="242">
        <v>42110</v>
      </c>
      <c r="AR802" s="136">
        <v>135</v>
      </c>
      <c r="AS802" s="297">
        <f>IF(AR802=0,,AR802)</f>
        <v>135</v>
      </c>
      <c r="AT802" s="290">
        <v>42139</v>
      </c>
      <c r="AU802" s="298"/>
      <c r="BF802" s="282">
        <v>3.1451361179351807</v>
      </c>
      <c r="BG802" s="283">
        <v>42236</v>
      </c>
      <c r="BL802" s="296">
        <v>64.353034973144531</v>
      </c>
      <c r="BM802" s="283">
        <v>42236</v>
      </c>
      <c r="BP802" s="282">
        <v>3.8330559730529785</v>
      </c>
      <c r="BQ802" s="283">
        <v>42236</v>
      </c>
      <c r="BR802" s="282">
        <v>45.026157379150391</v>
      </c>
      <c r="BS802" s="283">
        <v>42236</v>
      </c>
      <c r="BT802" s="282">
        <v>21.521402359008789</v>
      </c>
      <c r="BU802" s="283">
        <v>42236</v>
      </c>
      <c r="BV802" s="282">
        <v>31.832180023193359</v>
      </c>
      <c r="BW802" s="283">
        <v>42236</v>
      </c>
      <c r="BX802" s="282">
        <v>5.799896240234375</v>
      </c>
      <c r="BY802" s="283">
        <v>42236</v>
      </c>
      <c r="CB802" s="267">
        <v>7.53</v>
      </c>
      <c r="CD802" s="282">
        <v>7.1428571428571344</v>
      </c>
      <c r="CE802" s="291" t="s">
        <v>8400</v>
      </c>
      <c r="CH802" s="136">
        <v>2</v>
      </c>
      <c r="CI802" s="136">
        <v>7</v>
      </c>
      <c r="CL802" s="136">
        <v>7</v>
      </c>
      <c r="CM802" s="259">
        <v>42161</v>
      </c>
      <c r="CO802" s="137" t="s">
        <v>8405</v>
      </c>
    </row>
    <row r="803" spans="1:93">
      <c r="A803" s="258">
        <v>1321</v>
      </c>
      <c r="B803" s="235">
        <v>445</v>
      </c>
      <c r="C803" s="235" t="s">
        <v>7612</v>
      </c>
      <c r="D803" s="235" t="s">
        <v>7813</v>
      </c>
      <c r="E803" s="235" t="s">
        <v>7612</v>
      </c>
      <c r="F803" s="235" t="s">
        <v>8628</v>
      </c>
      <c r="G803" s="235" t="str">
        <f>IF(MID(C803,1,3)="BGA","Complement","Rapsodyn")</f>
        <v>Rapsodyn</v>
      </c>
      <c r="H803" s="235" t="s">
        <v>267</v>
      </c>
      <c r="I803" s="235">
        <v>2</v>
      </c>
      <c r="J803" s="235">
        <v>9364</v>
      </c>
      <c r="K803" s="235">
        <v>7</v>
      </c>
      <c r="L803" s="235">
        <f t="shared" si="407"/>
        <v>79</v>
      </c>
      <c r="M803" s="235">
        <v>7</v>
      </c>
      <c r="N803" s="235">
        <v>7</v>
      </c>
      <c r="O803" s="248">
        <v>42048</v>
      </c>
      <c r="P803" s="136">
        <v>2.7</v>
      </c>
      <c r="Q803" s="264">
        <v>42204</v>
      </c>
      <c r="V803" s="219">
        <f>+BR803*AF803/100</f>
        <v>7.2065571816534266</v>
      </c>
      <c r="X803">
        <v>15.55</v>
      </c>
      <c r="AB803" s="220">
        <f>+AF803*BT803/100</f>
        <v>3.4194480232882256</v>
      </c>
      <c r="AD803" s="221">
        <f>+(AF803/AJ803)*10000</f>
        <v>38975.553740220661</v>
      </c>
      <c r="AF803" s="220">
        <f>($P803/$X803)*(((100-$CD803)/100*(100-2)/100))*100</f>
        <v>15.707148157308929</v>
      </c>
      <c r="AH803" s="220">
        <f>($P803/$X803)*(((100-$CD803)/(100-9)*(100-2)/(100-2))*100)</f>
        <v>17.612859561907296</v>
      </c>
      <c r="AJ803">
        <v>4.03</v>
      </c>
      <c r="AK803" s="285" t="s">
        <v>8400</v>
      </c>
      <c r="AL803" s="260">
        <v>175</v>
      </c>
      <c r="AN803" s="235">
        <v>70</v>
      </c>
      <c r="AO803" s="242">
        <v>42074</v>
      </c>
      <c r="AP803" s="235">
        <v>104</v>
      </c>
      <c r="AQ803" s="242">
        <v>42108</v>
      </c>
      <c r="AR803" s="136">
        <v>133</v>
      </c>
      <c r="AS803" s="297">
        <f>IF(AR803=0,,AR803)</f>
        <v>133</v>
      </c>
      <c r="AT803" s="290">
        <v>42137</v>
      </c>
      <c r="AU803" s="298"/>
      <c r="BF803" s="282">
        <v>21.834150314331055</v>
      </c>
      <c r="BG803" s="283">
        <v>42236</v>
      </c>
      <c r="BL803" s="296">
        <v>60.615325927734375</v>
      </c>
      <c r="BM803" s="283">
        <v>42236</v>
      </c>
      <c r="BP803" s="282">
        <v>4.532588005065918</v>
      </c>
      <c r="BQ803" s="283">
        <v>42236</v>
      </c>
      <c r="BR803" s="282">
        <v>45.880748748779297</v>
      </c>
      <c r="BS803" s="283">
        <v>42236</v>
      </c>
      <c r="BT803" s="282">
        <v>21.770011901855469</v>
      </c>
      <c r="BU803" s="283">
        <v>42236</v>
      </c>
      <c r="BV803" s="282">
        <v>58.409469604492188</v>
      </c>
      <c r="BW803" s="283">
        <v>42236</v>
      </c>
      <c r="BX803" s="282">
        <v>6.2043304443359375</v>
      </c>
      <c r="BY803" s="283">
        <v>42236</v>
      </c>
      <c r="CB803" s="267">
        <v>6.36</v>
      </c>
      <c r="CD803" s="282">
        <v>7.6923076923076987</v>
      </c>
      <c r="CE803" s="291" t="s">
        <v>8400</v>
      </c>
      <c r="CH803" s="136">
        <v>3</v>
      </c>
      <c r="CI803" s="136">
        <v>8</v>
      </c>
      <c r="CL803" s="136">
        <v>3</v>
      </c>
      <c r="CM803" s="259">
        <v>42161</v>
      </c>
      <c r="CO803" s="137" t="s">
        <v>8405</v>
      </c>
    </row>
    <row r="804" spans="1:93">
      <c r="A804" s="258">
        <v>1322</v>
      </c>
      <c r="B804" s="235">
        <v>446</v>
      </c>
      <c r="C804" s="235" t="s">
        <v>7576</v>
      </c>
      <c r="D804" s="235"/>
      <c r="E804" s="235"/>
      <c r="F804" s="235"/>
      <c r="G804" s="235"/>
      <c r="H804" s="235" t="s">
        <v>267</v>
      </c>
      <c r="I804" s="235">
        <v>2</v>
      </c>
      <c r="K804" s="235">
        <v>8</v>
      </c>
      <c r="L804" s="235">
        <f t="shared" si="407"/>
        <v>80</v>
      </c>
      <c r="M804" s="235">
        <v>7</v>
      </c>
      <c r="O804" s="248">
        <v>42048</v>
      </c>
      <c r="V804" s="219"/>
      <c r="X804">
        <v>15.55</v>
      </c>
      <c r="AB804" s="220"/>
      <c r="AD804" s="221"/>
      <c r="AF804" s="220"/>
      <c r="AH804" s="220"/>
      <c r="AJ804" s="286"/>
      <c r="AK804" s="285"/>
      <c r="AL804" s="260"/>
      <c r="AN804" s="235">
        <v>70</v>
      </c>
      <c r="AO804" s="242">
        <v>42074</v>
      </c>
      <c r="AP804" s="235">
        <v>106</v>
      </c>
      <c r="AQ804" s="242">
        <v>42110</v>
      </c>
      <c r="AS804" s="297"/>
      <c r="AT804" s="290"/>
      <c r="AU804" s="298"/>
      <c r="BF804" s="282"/>
      <c r="BG804" s="235"/>
      <c r="BL804" s="296"/>
      <c r="BM804" s="235"/>
      <c r="BP804" s="282"/>
      <c r="BQ804" s="235"/>
      <c r="BR804" s="282"/>
      <c r="BS804" s="235"/>
      <c r="BT804" s="282"/>
      <c r="BU804" s="235"/>
      <c r="BV804" s="282"/>
      <c r="BW804" s="235"/>
      <c r="BX804" s="282"/>
      <c r="BY804" s="235"/>
      <c r="CB804" s="267"/>
      <c r="CD804" s="282"/>
      <c r="CE804" s="291"/>
      <c r="CL804" s="136">
        <v>3</v>
      </c>
      <c r="CM804" s="259">
        <v>42161</v>
      </c>
    </row>
    <row r="805" spans="1:93">
      <c r="A805" s="258">
        <v>1323</v>
      </c>
      <c r="B805" s="235">
        <v>447</v>
      </c>
      <c r="C805" s="235" t="s">
        <v>7762</v>
      </c>
      <c r="D805" s="235" t="s">
        <v>7839</v>
      </c>
      <c r="E805" s="235" t="s">
        <v>7762</v>
      </c>
      <c r="F805" s="235" t="s">
        <v>8627</v>
      </c>
      <c r="G805" s="235" t="str">
        <f t="shared" ref="G805:G813" si="422">IF(MID(C805,1,3)="BGA","Complement","Rapsodyn")</f>
        <v>Rapsodyn</v>
      </c>
      <c r="H805" s="235" t="s">
        <v>267</v>
      </c>
      <c r="I805" s="235">
        <v>2</v>
      </c>
      <c r="J805" s="235">
        <v>9133</v>
      </c>
      <c r="K805" s="235">
        <v>9</v>
      </c>
      <c r="L805" s="235">
        <f t="shared" si="407"/>
        <v>81</v>
      </c>
      <c r="M805" s="235">
        <v>7</v>
      </c>
      <c r="N805" s="235">
        <v>7</v>
      </c>
      <c r="O805" s="248">
        <v>42048</v>
      </c>
      <c r="P805" s="136">
        <v>6.39</v>
      </c>
      <c r="Q805" s="264">
        <v>42204</v>
      </c>
      <c r="V805" s="219">
        <f t="shared" ref="V805:V813" si="423">+BR805*AF805/100</f>
        <v>18.137726739242687</v>
      </c>
      <c r="X805">
        <v>15.55</v>
      </c>
      <c r="AB805" s="220">
        <f t="shared" ref="AB805:AB813" si="424">+AF805*BT805/100</f>
        <v>7.1855865449180722</v>
      </c>
      <c r="AD805" s="221">
        <f t="shared" ref="AD805:AD813" si="425">+(AF805/AJ805)*10000</f>
        <v>74515.305043154498</v>
      </c>
      <c r="AF805" s="220">
        <f t="shared" ref="AF805:AF813" si="426">($P805/$X805)*(((100-$CD805)/100*(100-2)/100))*100</f>
        <v>38.151836182095103</v>
      </c>
      <c r="AH805" s="220">
        <f t="shared" ref="AH805:AH813" si="427">($P805/$X805)*(((100-$CD805)/(100-9)*(100-2)/(100-2))*100)</f>
        <v>42.780708883264303</v>
      </c>
      <c r="AJ805">
        <v>5.12</v>
      </c>
      <c r="AK805" s="285" t="s">
        <v>8401</v>
      </c>
      <c r="AL805" s="260">
        <v>165</v>
      </c>
      <c r="AN805" s="235">
        <v>70</v>
      </c>
      <c r="AO805" s="242">
        <v>42074</v>
      </c>
      <c r="AP805" s="235">
        <v>104</v>
      </c>
      <c r="AQ805" s="242">
        <v>42108</v>
      </c>
      <c r="AR805" s="136">
        <v>121</v>
      </c>
      <c r="AS805" s="297">
        <f t="shared" ref="AS805:AS813" si="428">IF(AR805=0,,AR805)</f>
        <v>121</v>
      </c>
      <c r="AT805" s="290">
        <v>42125</v>
      </c>
      <c r="AU805" s="298"/>
      <c r="BF805" s="282">
        <v>0.93474602699279785</v>
      </c>
      <c r="BG805" s="283">
        <v>42234</v>
      </c>
      <c r="BL805" s="296">
        <v>64.830154418945313</v>
      </c>
      <c r="BM805" s="283">
        <v>42234</v>
      </c>
      <c r="BP805" s="282">
        <v>3.9866640567779541</v>
      </c>
      <c r="BQ805" s="283">
        <v>42234</v>
      </c>
      <c r="BR805" s="282">
        <v>47.540901184082031</v>
      </c>
      <c r="BS805" s="283">
        <v>42234</v>
      </c>
      <c r="BT805" s="282">
        <v>18.834182739257813</v>
      </c>
      <c r="BU805" s="283">
        <v>42234</v>
      </c>
      <c r="BV805" s="282">
        <v>16.986415863037109</v>
      </c>
      <c r="BW805" s="283">
        <v>42234</v>
      </c>
      <c r="BX805" s="282">
        <v>5.6282882690429687</v>
      </c>
      <c r="BY805" s="283">
        <v>42234</v>
      </c>
      <c r="CB805" s="267">
        <v>7.67</v>
      </c>
      <c r="CD805" s="282">
        <v>5.2631578947368389</v>
      </c>
      <c r="CE805" s="291" t="s">
        <v>8401</v>
      </c>
      <c r="CH805" s="136">
        <v>2</v>
      </c>
      <c r="CI805" s="136">
        <v>2</v>
      </c>
      <c r="CL805" s="136">
        <v>2</v>
      </c>
      <c r="CM805" s="259">
        <v>42161</v>
      </c>
      <c r="CN805" s="137" t="s">
        <v>8406</v>
      </c>
    </row>
    <row r="806" spans="1:93">
      <c r="A806" s="258">
        <v>1324</v>
      </c>
      <c r="B806" s="235">
        <v>448</v>
      </c>
      <c r="C806" s="235" t="s">
        <v>7798</v>
      </c>
      <c r="D806" s="235" t="s">
        <v>7596</v>
      </c>
      <c r="E806" s="235" t="s">
        <v>7798</v>
      </c>
      <c r="F806" s="235" t="s">
        <v>8626</v>
      </c>
      <c r="G806" s="235" t="str">
        <f t="shared" si="422"/>
        <v>Rapsodyn</v>
      </c>
      <c r="H806" s="235" t="s">
        <v>267</v>
      </c>
      <c r="I806" s="235">
        <v>2</v>
      </c>
      <c r="J806" s="235">
        <v>9169</v>
      </c>
      <c r="K806" s="235">
        <v>10</v>
      </c>
      <c r="L806" s="235">
        <f t="shared" si="407"/>
        <v>82</v>
      </c>
      <c r="M806" s="235">
        <v>7</v>
      </c>
      <c r="N806" s="235">
        <v>7</v>
      </c>
      <c r="O806" s="248">
        <v>42048</v>
      </c>
      <c r="P806" s="136">
        <v>7.8</v>
      </c>
      <c r="Q806" s="264">
        <v>42204</v>
      </c>
      <c r="V806" s="219">
        <f t="shared" si="423"/>
        <v>23.602344451609916</v>
      </c>
      <c r="X806">
        <v>15.55</v>
      </c>
      <c r="AB806" s="220">
        <f t="shared" si="424"/>
        <v>7.7850947916699376</v>
      </c>
      <c r="AD806" s="221">
        <f t="shared" si="425"/>
        <v>109922.97913706722</v>
      </c>
      <c r="AF806" s="220">
        <f t="shared" si="426"/>
        <v>47.266881028938904</v>
      </c>
      <c r="AH806" s="220">
        <f t="shared" si="427"/>
        <v>53.001660718702517</v>
      </c>
      <c r="AJ806">
        <v>4.3</v>
      </c>
      <c r="AK806" s="285" t="s">
        <v>8401</v>
      </c>
      <c r="AL806" s="260">
        <v>180</v>
      </c>
      <c r="AN806" s="235">
        <v>65</v>
      </c>
      <c r="AO806" s="242">
        <v>42069</v>
      </c>
      <c r="AP806" s="235">
        <v>106</v>
      </c>
      <c r="AQ806" s="242">
        <v>42110</v>
      </c>
      <c r="AR806" s="136">
        <v>135</v>
      </c>
      <c r="AS806" s="297">
        <f t="shared" si="428"/>
        <v>135</v>
      </c>
      <c r="AT806" s="290">
        <v>42139</v>
      </c>
      <c r="AU806" s="298"/>
      <c r="BF806" s="282">
        <v>-3.3666648864746094</v>
      </c>
      <c r="BG806" s="283">
        <v>42234</v>
      </c>
      <c r="BL806" s="296">
        <v>64.458122253417969</v>
      </c>
      <c r="BM806" s="283">
        <v>42234</v>
      </c>
      <c r="BP806" s="282">
        <v>3.9977989196777344</v>
      </c>
      <c r="BQ806" s="283">
        <v>42234</v>
      </c>
      <c r="BR806" s="282">
        <v>49.934211730957031</v>
      </c>
      <c r="BS806" s="283">
        <v>42234</v>
      </c>
      <c r="BT806" s="282">
        <v>16.47050666809082</v>
      </c>
      <c r="BU806" s="283">
        <v>42234</v>
      </c>
      <c r="BV806" s="282">
        <v>9.9440250396728516</v>
      </c>
      <c r="BW806" s="283">
        <v>42234</v>
      </c>
      <c r="BX806" s="282">
        <v>5.6392288208007813</v>
      </c>
      <c r="BY806" s="283">
        <v>42234</v>
      </c>
      <c r="CB806" s="267">
        <v>7.14</v>
      </c>
      <c r="CD806" s="282">
        <v>3.8461538461538494</v>
      </c>
      <c r="CE806" s="291" t="s">
        <v>8401</v>
      </c>
      <c r="CH806" s="136">
        <v>3</v>
      </c>
      <c r="CI806" s="136">
        <v>3</v>
      </c>
      <c r="CL806" s="136">
        <v>3</v>
      </c>
      <c r="CM806" s="259">
        <v>42161</v>
      </c>
      <c r="CN806" s="137" t="s">
        <v>8406</v>
      </c>
    </row>
    <row r="807" spans="1:93">
      <c r="A807" s="258">
        <v>1331</v>
      </c>
      <c r="B807" s="235">
        <v>455</v>
      </c>
      <c r="C807" s="235" t="s">
        <v>7720</v>
      </c>
      <c r="D807" s="235" t="s">
        <v>7544</v>
      </c>
      <c r="E807" s="235" t="s">
        <v>7720</v>
      </c>
      <c r="F807" s="235" t="s">
        <v>8625</v>
      </c>
      <c r="G807" s="235" t="str">
        <f t="shared" si="422"/>
        <v>Rapsodyn</v>
      </c>
      <c r="H807" s="235" t="s">
        <v>267</v>
      </c>
      <c r="I807" s="235">
        <v>2</v>
      </c>
      <c r="J807" s="235">
        <v>9102</v>
      </c>
      <c r="K807" s="235">
        <v>17</v>
      </c>
      <c r="L807" s="235">
        <f t="shared" ref="L807:L840" si="429">72+K807</f>
        <v>89</v>
      </c>
      <c r="M807" s="235">
        <v>7</v>
      </c>
      <c r="N807" s="235">
        <v>7</v>
      </c>
      <c r="O807" s="248">
        <v>42048</v>
      </c>
      <c r="P807" s="136">
        <v>6.56</v>
      </c>
      <c r="Q807" s="264">
        <v>42204</v>
      </c>
      <c r="V807" s="219">
        <f t="shared" si="423"/>
        <v>19.578321737743941</v>
      </c>
      <c r="X807">
        <v>15.55</v>
      </c>
      <c r="AB807" s="220">
        <f t="shared" si="424"/>
        <v>6.7220797271346893</v>
      </c>
      <c r="AD807" s="221">
        <f t="shared" si="425"/>
        <v>79685.602000714513</v>
      </c>
      <c r="AF807" s="220">
        <f t="shared" si="426"/>
        <v>39.045944980350114</v>
      </c>
      <c r="AH807" s="220">
        <f t="shared" si="427"/>
        <v>43.783297802590397</v>
      </c>
      <c r="AJ807">
        <v>4.9000000000000004</v>
      </c>
      <c r="AK807" s="285" t="s">
        <v>8398</v>
      </c>
      <c r="AL807" s="260">
        <v>170</v>
      </c>
      <c r="AN807" s="235">
        <v>70</v>
      </c>
      <c r="AO807" s="242">
        <v>42074</v>
      </c>
      <c r="AP807" s="235">
        <v>106</v>
      </c>
      <c r="AQ807" s="242">
        <v>42110</v>
      </c>
      <c r="AR807" s="136">
        <v>132</v>
      </c>
      <c r="AS807" s="297">
        <f t="shared" si="428"/>
        <v>132</v>
      </c>
      <c r="AT807" s="290">
        <v>42136</v>
      </c>
      <c r="AU807" s="298"/>
      <c r="BF807" s="282">
        <v>1.0769790410995483</v>
      </c>
      <c r="BG807" s="283">
        <v>42235</v>
      </c>
      <c r="BL807" s="296">
        <v>63.188247680664063</v>
      </c>
      <c r="BM807" s="283">
        <v>42235</v>
      </c>
      <c r="BP807" s="282">
        <v>3.285365104675293</v>
      </c>
      <c r="BQ807" s="283">
        <v>42235</v>
      </c>
      <c r="BR807" s="282">
        <v>50.141754150390625</v>
      </c>
      <c r="BS807" s="283">
        <v>42235</v>
      </c>
      <c r="BT807" s="282">
        <v>17.2158203125</v>
      </c>
      <c r="BU807" s="283">
        <v>42235</v>
      </c>
      <c r="BV807" s="282">
        <v>17.326509475708008</v>
      </c>
      <c r="BW807" s="283">
        <v>42235</v>
      </c>
      <c r="BX807" s="282">
        <v>5.4084396362304687</v>
      </c>
      <c r="BY807" s="283">
        <v>42235</v>
      </c>
      <c r="CB807" s="267">
        <v>5.45</v>
      </c>
      <c r="CD807" s="282">
        <v>5.5555555555555687</v>
      </c>
      <c r="CE807" s="291" t="s">
        <v>8398</v>
      </c>
      <c r="CH807" s="136">
        <v>2</v>
      </c>
      <c r="CI807" s="136">
        <v>4</v>
      </c>
      <c r="CL807" s="136">
        <v>4</v>
      </c>
      <c r="CM807" s="259">
        <v>42161</v>
      </c>
      <c r="CN807" s="137" t="s">
        <v>8406</v>
      </c>
    </row>
    <row r="808" spans="1:93">
      <c r="A808" s="258">
        <v>1333</v>
      </c>
      <c r="B808" s="235">
        <v>457</v>
      </c>
      <c r="C808" s="235" t="s">
        <v>7767</v>
      </c>
      <c r="D808" s="235" t="s">
        <v>7843</v>
      </c>
      <c r="E808" s="235" t="s">
        <v>7767</v>
      </c>
      <c r="F808" s="235" t="s">
        <v>8624</v>
      </c>
      <c r="G808" s="235" t="str">
        <f t="shared" si="422"/>
        <v>Rapsodyn</v>
      </c>
      <c r="H808" s="235" t="s">
        <v>267</v>
      </c>
      <c r="I808" s="235">
        <v>2</v>
      </c>
      <c r="J808" s="235">
        <v>9138</v>
      </c>
      <c r="K808" s="235">
        <v>19</v>
      </c>
      <c r="L808" s="235">
        <f t="shared" si="429"/>
        <v>91</v>
      </c>
      <c r="M808" s="235">
        <v>7</v>
      </c>
      <c r="N808" s="235">
        <v>5</v>
      </c>
      <c r="O808" s="248">
        <v>42048</v>
      </c>
      <c r="P808" s="136">
        <v>7.38</v>
      </c>
      <c r="Q808" s="264">
        <v>42204</v>
      </c>
      <c r="V808" s="219">
        <f t="shared" si="423"/>
        <v>21.760297240389413</v>
      </c>
      <c r="X808">
        <v>15.55</v>
      </c>
      <c r="AB808" s="220">
        <f t="shared" si="424"/>
        <v>8.0333451178614368</v>
      </c>
      <c r="AD808" s="221">
        <f t="shared" si="425"/>
        <v>114987.82022726719</v>
      </c>
      <c r="AF808" s="220">
        <f t="shared" si="426"/>
        <v>45.650164630225078</v>
      </c>
      <c r="AH808" s="220">
        <f t="shared" si="427"/>
        <v>51.188791915480024</v>
      </c>
      <c r="AJ808" s="287">
        <v>3.97</v>
      </c>
      <c r="AK808" s="285" t="s">
        <v>8402</v>
      </c>
      <c r="AL808" s="260">
        <v>160</v>
      </c>
      <c r="AN808" s="235">
        <v>70</v>
      </c>
      <c r="AO808" s="242">
        <v>42074</v>
      </c>
      <c r="AP808" s="235">
        <v>104</v>
      </c>
      <c r="AQ808" s="242">
        <v>42108</v>
      </c>
      <c r="AR808" s="136">
        <v>133</v>
      </c>
      <c r="AS808" s="297">
        <f t="shared" si="428"/>
        <v>133</v>
      </c>
      <c r="AT808" s="290">
        <v>42137</v>
      </c>
      <c r="AU808" s="298"/>
      <c r="BF808" s="282">
        <v>-5.605899915099144E-2</v>
      </c>
      <c r="BG808" s="283">
        <v>42235</v>
      </c>
      <c r="BL808" s="296">
        <v>67.887680053710938</v>
      </c>
      <c r="BM808" s="283">
        <v>42235</v>
      </c>
      <c r="BP808" s="282">
        <v>2.3425469398498535</v>
      </c>
      <c r="BQ808" s="283">
        <v>42235</v>
      </c>
      <c r="BR808" s="282">
        <v>47.667510986328125</v>
      </c>
      <c r="BS808" s="283">
        <v>42235</v>
      </c>
      <c r="BT808" s="282">
        <v>17.597625732421875</v>
      </c>
      <c r="BU808" s="283">
        <v>42235</v>
      </c>
      <c r="BV808" s="282">
        <v>11.349358558654785</v>
      </c>
      <c r="BW808" s="283">
        <v>42235</v>
      </c>
      <c r="BX808" s="282">
        <v>5.5998153686523437</v>
      </c>
      <c r="BY808" s="283">
        <v>42235</v>
      </c>
      <c r="CB808" s="267">
        <v>4.8600000000000003</v>
      </c>
      <c r="CD808" s="282">
        <v>1.85</v>
      </c>
      <c r="CE808" s="291" t="s">
        <v>8402</v>
      </c>
      <c r="CH808" s="136">
        <v>2</v>
      </c>
      <c r="CI808" s="136">
        <v>4</v>
      </c>
      <c r="CL808" s="136">
        <v>1</v>
      </c>
      <c r="CM808" s="259">
        <v>42161</v>
      </c>
      <c r="CN808" s="137" t="s">
        <v>8406</v>
      </c>
    </row>
    <row r="809" spans="1:93">
      <c r="A809" s="258">
        <v>1334</v>
      </c>
      <c r="B809" s="235">
        <v>458</v>
      </c>
      <c r="C809" s="235" t="s">
        <v>7741</v>
      </c>
      <c r="D809" s="235" t="s">
        <v>8416</v>
      </c>
      <c r="E809" s="235" t="s">
        <v>7741</v>
      </c>
      <c r="F809" s="235" t="s">
        <v>8623</v>
      </c>
      <c r="G809" s="235" t="str">
        <f t="shared" si="422"/>
        <v>Rapsodyn</v>
      </c>
      <c r="H809" s="235" t="s">
        <v>267</v>
      </c>
      <c r="I809" s="235">
        <v>2</v>
      </c>
      <c r="J809" s="235">
        <v>9120</v>
      </c>
      <c r="K809" s="235">
        <v>20</v>
      </c>
      <c r="L809" s="235">
        <f t="shared" si="429"/>
        <v>92</v>
      </c>
      <c r="M809" s="235">
        <v>7</v>
      </c>
      <c r="N809" s="235">
        <v>7</v>
      </c>
      <c r="O809" s="248">
        <v>42048</v>
      </c>
      <c r="P809" s="136">
        <v>3.98</v>
      </c>
      <c r="Q809" s="264">
        <v>42204</v>
      </c>
      <c r="V809" s="219">
        <f t="shared" si="423"/>
        <v>10.920675299543275</v>
      </c>
      <c r="X809">
        <v>15.55</v>
      </c>
      <c r="AB809" s="220">
        <f t="shared" si="424"/>
        <v>4.9080933167436109</v>
      </c>
      <c r="AD809" s="221">
        <f t="shared" si="425"/>
        <v>46212.933190425145</v>
      </c>
      <c r="AF809" s="220">
        <f t="shared" si="426"/>
        <v>23.291318327974274</v>
      </c>
      <c r="AH809" s="220">
        <f t="shared" si="427"/>
        <v>26.117199291292078</v>
      </c>
      <c r="AJ809">
        <v>5.04</v>
      </c>
      <c r="AK809" s="285" t="s">
        <v>8398</v>
      </c>
      <c r="AL809" s="260">
        <v>155</v>
      </c>
      <c r="AN809" s="235">
        <v>72</v>
      </c>
      <c r="AO809" s="242">
        <v>42076</v>
      </c>
      <c r="AP809" s="235">
        <v>104</v>
      </c>
      <c r="AQ809" s="242">
        <v>42108</v>
      </c>
      <c r="AR809" s="136">
        <v>127</v>
      </c>
      <c r="AS809" s="297">
        <f t="shared" si="428"/>
        <v>127</v>
      </c>
      <c r="AT809" s="290">
        <v>42131</v>
      </c>
      <c r="AU809" s="298"/>
      <c r="BF809" s="282">
        <v>33.654747009277344</v>
      </c>
      <c r="BG809" s="283">
        <v>42235</v>
      </c>
      <c r="BL809" s="296">
        <v>61.007118225097656</v>
      </c>
      <c r="BM809" s="283">
        <v>42235</v>
      </c>
      <c r="BP809" s="282">
        <v>3.1724960803985596</v>
      </c>
      <c r="BQ809" s="283">
        <v>42235</v>
      </c>
      <c r="BR809" s="282">
        <v>46.887321472167969</v>
      </c>
      <c r="BS809" s="283">
        <v>42235</v>
      </c>
      <c r="BT809" s="282">
        <v>21.072629928588867</v>
      </c>
      <c r="BU809" s="283">
        <v>42235</v>
      </c>
      <c r="BV809" s="282">
        <v>72.944221496582031</v>
      </c>
      <c r="BW809" s="283">
        <v>42235</v>
      </c>
      <c r="BX809" s="282">
        <v>5.8373947143554687</v>
      </c>
      <c r="BY809" s="283">
        <v>42235</v>
      </c>
      <c r="CB809" s="267">
        <v>7.03</v>
      </c>
      <c r="CD809" s="282">
        <v>7.1428571428571344</v>
      </c>
      <c r="CE809" s="291" t="s">
        <v>8398</v>
      </c>
      <c r="CH809" s="136">
        <v>2</v>
      </c>
      <c r="CI809" s="136">
        <v>2</v>
      </c>
      <c r="CL809" s="136">
        <v>7</v>
      </c>
      <c r="CM809" s="259">
        <v>42161</v>
      </c>
      <c r="CN809" s="137" t="s">
        <v>8406</v>
      </c>
    </row>
    <row r="810" spans="1:93">
      <c r="A810" s="258">
        <v>1338</v>
      </c>
      <c r="B810" s="235">
        <v>462</v>
      </c>
      <c r="C810" s="235" t="s">
        <v>7725</v>
      </c>
      <c r="D810" s="235" t="s">
        <v>7548</v>
      </c>
      <c r="E810" s="235" t="s">
        <v>7725</v>
      </c>
      <c r="F810" s="235" t="s">
        <v>8622</v>
      </c>
      <c r="G810" s="235" t="str">
        <f t="shared" si="422"/>
        <v>Rapsodyn</v>
      </c>
      <c r="H810" s="235" t="s">
        <v>267</v>
      </c>
      <c r="I810" s="235">
        <v>2</v>
      </c>
      <c r="J810" s="235">
        <v>9107</v>
      </c>
      <c r="K810" s="235">
        <v>24</v>
      </c>
      <c r="L810" s="235">
        <f t="shared" si="429"/>
        <v>96</v>
      </c>
      <c r="M810" s="235">
        <v>7</v>
      </c>
      <c r="N810" s="235">
        <v>7</v>
      </c>
      <c r="O810" s="248">
        <v>42048</v>
      </c>
      <c r="P810" s="136">
        <v>6.45</v>
      </c>
      <c r="Q810" s="264">
        <v>42204</v>
      </c>
      <c r="V810" s="219">
        <f t="shared" si="423"/>
        <v>19.616548209668789</v>
      </c>
      <c r="X810">
        <v>15.55</v>
      </c>
      <c r="AB810" s="220">
        <f t="shared" si="424"/>
        <v>7.2297753549665513</v>
      </c>
      <c r="AD810" s="221">
        <f t="shared" si="425"/>
        <v>87155.32181590276</v>
      </c>
      <c r="AF810" s="220">
        <f t="shared" si="426"/>
        <v>39.960542808872418</v>
      </c>
      <c r="AH810" s="220">
        <f t="shared" si="427"/>
        <v>44.808861638116632</v>
      </c>
      <c r="AJ810" s="288">
        <v>4.5849802371541504</v>
      </c>
      <c r="AK810" s="285" t="s">
        <v>8402</v>
      </c>
      <c r="AL810" s="260">
        <v>180</v>
      </c>
      <c r="AN810" s="235">
        <v>72</v>
      </c>
      <c r="AO810" s="242">
        <v>42076</v>
      </c>
      <c r="AP810" s="235">
        <v>110</v>
      </c>
      <c r="AQ810" s="242">
        <v>42114</v>
      </c>
      <c r="AR810" s="136">
        <v>132</v>
      </c>
      <c r="AS810" s="297">
        <f t="shared" si="428"/>
        <v>132</v>
      </c>
      <c r="AT810" s="290">
        <v>42136</v>
      </c>
      <c r="AU810" s="298"/>
      <c r="BF810" s="282">
        <v>3.4660420417785645</v>
      </c>
      <c r="BG810" s="283">
        <v>42235</v>
      </c>
      <c r="BL810" s="296">
        <v>61.598800659179688</v>
      </c>
      <c r="BM810" s="283">
        <v>42235</v>
      </c>
      <c r="BP810" s="282">
        <v>3.1302170753479004</v>
      </c>
      <c r="BQ810" s="283">
        <v>42235</v>
      </c>
      <c r="BR810" s="282">
        <v>49.089794158935547</v>
      </c>
      <c r="BS810" s="283">
        <v>42235</v>
      </c>
      <c r="BT810" s="282">
        <v>18.09228515625</v>
      </c>
      <c r="BU810" s="283">
        <v>42235</v>
      </c>
      <c r="BV810" s="282">
        <v>13.870017051696777</v>
      </c>
      <c r="BW810" s="283">
        <v>42235</v>
      </c>
      <c r="BX810" s="282">
        <v>5.5549087524414062</v>
      </c>
      <c r="BY810" s="283">
        <v>42235</v>
      </c>
      <c r="CB810" s="267">
        <v>5.75</v>
      </c>
      <c r="CD810" s="282">
        <v>1.6949152542372972</v>
      </c>
      <c r="CE810" s="291" t="s">
        <v>8402</v>
      </c>
      <c r="CH810" s="136">
        <v>3</v>
      </c>
      <c r="CI810" s="136">
        <v>7</v>
      </c>
      <c r="CL810" s="136">
        <v>4</v>
      </c>
      <c r="CM810" s="259">
        <v>42161</v>
      </c>
      <c r="CO810" s="137" t="s">
        <v>8405</v>
      </c>
    </row>
    <row r="811" spans="1:93">
      <c r="A811" s="258">
        <v>1339</v>
      </c>
      <c r="B811" s="235">
        <v>463</v>
      </c>
      <c r="C811" s="235" t="s">
        <v>7652</v>
      </c>
      <c r="D811" s="235" t="s">
        <v>7483</v>
      </c>
      <c r="E811" s="235" t="s">
        <v>7652</v>
      </c>
      <c r="F811" s="235" t="s">
        <v>8621</v>
      </c>
      <c r="G811" s="235" t="str">
        <f t="shared" si="422"/>
        <v>Rapsodyn</v>
      </c>
      <c r="H811" s="235" t="s">
        <v>267</v>
      </c>
      <c r="I811" s="235">
        <v>2</v>
      </c>
      <c r="J811" s="235">
        <v>9036</v>
      </c>
      <c r="K811" s="235">
        <v>25</v>
      </c>
      <c r="L811" s="235">
        <f t="shared" si="429"/>
        <v>97</v>
      </c>
      <c r="M811" s="235">
        <v>7</v>
      </c>
      <c r="N811" s="235">
        <v>7</v>
      </c>
      <c r="O811" s="248">
        <v>42048</v>
      </c>
      <c r="P811" s="136">
        <v>5.03</v>
      </c>
      <c r="Q811" s="264">
        <v>42204</v>
      </c>
      <c r="V811" s="219">
        <f t="shared" si="423"/>
        <v>12.685596491263203</v>
      </c>
      <c r="X811">
        <v>15.55</v>
      </c>
      <c r="AB811" s="220">
        <f t="shared" si="424"/>
        <v>6.0546845830216434</v>
      </c>
      <c r="AD811" s="221">
        <f t="shared" si="425"/>
        <v>57911.883465071609</v>
      </c>
      <c r="AF811" s="220">
        <f t="shared" si="426"/>
        <v>29.013853616000873</v>
      </c>
      <c r="AH811" s="220">
        <f t="shared" si="427"/>
        <v>32.534036348958146</v>
      </c>
      <c r="AJ811">
        <v>5.01</v>
      </c>
      <c r="AK811" s="285" t="s">
        <v>8399</v>
      </c>
      <c r="AL811" s="260">
        <v>165</v>
      </c>
      <c r="AN811" s="235">
        <v>72</v>
      </c>
      <c r="AO811" s="242">
        <v>42076</v>
      </c>
      <c r="AP811" s="235">
        <v>104</v>
      </c>
      <c r="AQ811" s="242">
        <v>42108</v>
      </c>
      <c r="AR811" s="136">
        <v>132</v>
      </c>
      <c r="AS811" s="297">
        <f t="shared" si="428"/>
        <v>132</v>
      </c>
      <c r="AT811" s="290">
        <v>42136</v>
      </c>
      <c r="AU811" s="298"/>
      <c r="BF811" s="282">
        <v>-3.4868528842926025</v>
      </c>
      <c r="BG811" s="283">
        <v>42235</v>
      </c>
      <c r="BL811" s="296">
        <v>60.095535278320312</v>
      </c>
      <c r="BM811" s="283">
        <v>42235</v>
      </c>
      <c r="BP811" s="282">
        <v>4.1908621788024902</v>
      </c>
      <c r="BQ811" s="283">
        <v>42235</v>
      </c>
      <c r="BR811" s="282">
        <v>43.722549438476562</v>
      </c>
      <c r="BS811" s="283">
        <v>42235</v>
      </c>
      <c r="BT811" s="282">
        <v>20.868253707885742</v>
      </c>
      <c r="BU811" s="283">
        <v>42235</v>
      </c>
      <c r="BV811" s="282">
        <v>62.172821044921875</v>
      </c>
      <c r="BW811" s="283">
        <v>42235</v>
      </c>
      <c r="BX811" s="282">
        <v>6.1152114868164062</v>
      </c>
      <c r="BY811" s="283">
        <v>42235</v>
      </c>
      <c r="CB811" s="267">
        <v>4.68</v>
      </c>
      <c r="CD811" s="282">
        <v>8.4745762711864394</v>
      </c>
      <c r="CE811" s="291" t="s">
        <v>8399</v>
      </c>
      <c r="CH811" s="136">
        <v>3</v>
      </c>
      <c r="CI811" s="136">
        <v>3</v>
      </c>
      <c r="CL811" s="136">
        <v>2</v>
      </c>
      <c r="CM811" s="259">
        <v>42161</v>
      </c>
      <c r="CN811" s="137" t="s">
        <v>8406</v>
      </c>
    </row>
    <row r="812" spans="1:93">
      <c r="A812" s="258">
        <v>1340</v>
      </c>
      <c r="B812" s="235">
        <v>464</v>
      </c>
      <c r="C812" s="235" t="s">
        <v>7644</v>
      </c>
      <c r="D812" s="235" t="s">
        <v>7476</v>
      </c>
      <c r="E812" s="235" t="s">
        <v>7644</v>
      </c>
      <c r="F812" s="235" t="s">
        <v>8620</v>
      </c>
      <c r="G812" s="235" t="str">
        <f t="shared" si="422"/>
        <v>Rapsodyn</v>
      </c>
      <c r="H812" s="235" t="s">
        <v>267</v>
      </c>
      <c r="I812" s="235">
        <v>2</v>
      </c>
      <c r="J812" s="235">
        <v>9032</v>
      </c>
      <c r="K812" s="235">
        <v>26</v>
      </c>
      <c r="L812" s="235">
        <f t="shared" si="429"/>
        <v>98</v>
      </c>
      <c r="M812" s="235">
        <v>7</v>
      </c>
      <c r="N812" s="235">
        <v>7</v>
      </c>
      <c r="O812" s="248">
        <v>42048</v>
      </c>
      <c r="P812" s="136">
        <v>5.16</v>
      </c>
      <c r="Q812" s="264">
        <v>42204</v>
      </c>
      <c r="V812" s="219">
        <f t="shared" si="423"/>
        <v>13.342416269578351</v>
      </c>
      <c r="X812">
        <v>15.55</v>
      </c>
      <c r="AB812" s="220">
        <f t="shared" si="424"/>
        <v>6.2732655348701094</v>
      </c>
      <c r="AD812" s="221">
        <f t="shared" si="425"/>
        <v>61375.578386008936</v>
      </c>
      <c r="AF812" s="220">
        <f t="shared" si="426"/>
        <v>30.196784565916396</v>
      </c>
      <c r="AH812" s="220">
        <f t="shared" si="427"/>
        <v>33.860489533433949</v>
      </c>
      <c r="AJ812">
        <v>4.92</v>
      </c>
      <c r="AK812" s="285" t="s">
        <v>8399</v>
      </c>
      <c r="AL812" s="260">
        <v>200</v>
      </c>
      <c r="AN812" s="235">
        <v>70</v>
      </c>
      <c r="AO812" s="242">
        <v>42074</v>
      </c>
      <c r="AP812" s="235">
        <v>106</v>
      </c>
      <c r="AQ812" s="249">
        <v>42110</v>
      </c>
      <c r="AR812" s="136">
        <v>131</v>
      </c>
      <c r="AS812" s="297">
        <f t="shared" si="428"/>
        <v>131</v>
      </c>
      <c r="AT812" s="290">
        <v>42135</v>
      </c>
      <c r="AU812" s="298"/>
      <c r="BF812" s="282">
        <v>-3.6357860565185547</v>
      </c>
      <c r="BG812" s="283">
        <v>42235</v>
      </c>
      <c r="BL812" s="296">
        <v>57.403820037841797</v>
      </c>
      <c r="BM812" s="283">
        <v>42235</v>
      </c>
      <c r="BP812" s="282">
        <v>4.0059781074523926</v>
      </c>
      <c r="BQ812" s="283">
        <v>42235</v>
      </c>
      <c r="BR812" s="282">
        <v>44.184890747070313</v>
      </c>
      <c r="BS812" s="283">
        <v>42235</v>
      </c>
      <c r="BT812" s="282">
        <v>20.774614334106445</v>
      </c>
      <c r="BU812" s="283">
        <v>42235</v>
      </c>
      <c r="BV812" s="282">
        <v>18.867021560668945</v>
      </c>
      <c r="BW812" s="283">
        <v>42235</v>
      </c>
      <c r="BX812" s="282">
        <v>5.5260772705078125</v>
      </c>
      <c r="BY812" s="283">
        <v>42235</v>
      </c>
      <c r="CB812" s="267">
        <v>5.18</v>
      </c>
      <c r="CD812" s="282">
        <v>7.1428571428571344</v>
      </c>
      <c r="CE812" s="291" t="s">
        <v>8399</v>
      </c>
      <c r="CH812" s="136">
        <v>3</v>
      </c>
      <c r="CI812" s="136">
        <v>4</v>
      </c>
      <c r="CL812" s="136">
        <v>5</v>
      </c>
      <c r="CM812" s="259">
        <v>42161</v>
      </c>
      <c r="CN812" s="137" t="s">
        <v>8406</v>
      </c>
    </row>
    <row r="813" spans="1:93">
      <c r="A813" s="258">
        <v>1341</v>
      </c>
      <c r="B813" s="235">
        <v>465</v>
      </c>
      <c r="C813" s="235" t="s">
        <v>7709</v>
      </c>
      <c r="D813" s="235" t="s">
        <v>7820</v>
      </c>
      <c r="E813" s="235" t="s">
        <v>7709</v>
      </c>
      <c r="F813" s="235" t="s">
        <v>8619</v>
      </c>
      <c r="G813" s="235" t="str">
        <f t="shared" si="422"/>
        <v>Rapsodyn</v>
      </c>
      <c r="H813" s="235" t="s">
        <v>267</v>
      </c>
      <c r="I813" s="235">
        <v>2</v>
      </c>
      <c r="J813" s="235">
        <v>9091</v>
      </c>
      <c r="K813" s="235">
        <v>27</v>
      </c>
      <c r="L813" s="235">
        <f t="shared" si="429"/>
        <v>99</v>
      </c>
      <c r="M813" s="235">
        <v>7</v>
      </c>
      <c r="N813" s="235">
        <v>7</v>
      </c>
      <c r="O813" s="248">
        <v>42048</v>
      </c>
      <c r="P813" s="136">
        <v>5.14</v>
      </c>
      <c r="Q813" s="264">
        <v>42204</v>
      </c>
      <c r="V813" s="219">
        <f t="shared" si="423"/>
        <v>13.791980418557905</v>
      </c>
      <c r="X813">
        <v>15.55</v>
      </c>
      <c r="AB813" s="220">
        <f t="shared" si="424"/>
        <v>5.5894794095888782</v>
      </c>
      <c r="AD813" s="221">
        <f t="shared" si="425"/>
        <v>74639.560211596297</v>
      </c>
      <c r="AF813" s="220">
        <f t="shared" si="426"/>
        <v>30.079742765273309</v>
      </c>
      <c r="AH813" s="220">
        <f t="shared" si="427"/>
        <v>33.729247325940023</v>
      </c>
      <c r="AJ813">
        <v>4.03</v>
      </c>
      <c r="AK813" s="285" t="s">
        <v>8402</v>
      </c>
      <c r="AL813" s="260">
        <v>175</v>
      </c>
      <c r="AN813" s="235">
        <v>70</v>
      </c>
      <c r="AO813" s="242">
        <v>42074</v>
      </c>
      <c r="AP813" s="235">
        <v>104</v>
      </c>
      <c r="AQ813" s="242">
        <v>42108</v>
      </c>
      <c r="AR813" s="136">
        <v>133</v>
      </c>
      <c r="AS813" s="297">
        <f t="shared" si="428"/>
        <v>133</v>
      </c>
      <c r="AT813" s="290">
        <v>42137</v>
      </c>
      <c r="AU813" s="298"/>
      <c r="BF813" s="282">
        <v>-3.1647489070892334</v>
      </c>
      <c r="BG813" s="283">
        <v>42235</v>
      </c>
      <c r="BL813" s="296">
        <v>59.823158264160156</v>
      </c>
      <c r="BM813" s="283">
        <v>42235</v>
      </c>
      <c r="BP813" s="282">
        <v>4.5846381187438965</v>
      </c>
      <c r="BQ813" s="283">
        <v>42235</v>
      </c>
      <c r="BR813" s="282">
        <v>45.851390838623047</v>
      </c>
      <c r="BS813" s="283">
        <v>42235</v>
      </c>
      <c r="BT813" s="282">
        <v>18.582204818725586</v>
      </c>
      <c r="BU813" s="283">
        <v>42235</v>
      </c>
      <c r="BV813" s="282">
        <v>21.248739242553711</v>
      </c>
      <c r="BW813" s="283">
        <v>42235</v>
      </c>
      <c r="BX813" s="282">
        <v>5.6915969848632812</v>
      </c>
      <c r="BY813" s="283">
        <v>42235</v>
      </c>
      <c r="CB813" s="267">
        <v>3.94</v>
      </c>
      <c r="CD813" s="282">
        <v>7.1428571428571344</v>
      </c>
      <c r="CE813" s="291" t="s">
        <v>8402</v>
      </c>
      <c r="CH813" s="136">
        <v>2</v>
      </c>
      <c r="CI813" s="136">
        <v>4</v>
      </c>
      <c r="CL813" s="136">
        <v>3</v>
      </c>
      <c r="CM813" s="259">
        <v>42161</v>
      </c>
      <c r="CN813" s="137" t="s">
        <v>8406</v>
      </c>
    </row>
    <row r="814" spans="1:93">
      <c r="A814" s="258">
        <v>1343</v>
      </c>
      <c r="B814" s="235">
        <v>467</v>
      </c>
      <c r="C814" s="235" t="s">
        <v>7576</v>
      </c>
      <c r="D814" s="235"/>
      <c r="E814" s="235"/>
      <c r="F814" s="235"/>
      <c r="G814" s="235"/>
      <c r="H814" s="235" t="s">
        <v>267</v>
      </c>
      <c r="I814" s="235">
        <v>2</v>
      </c>
      <c r="K814" s="235">
        <v>29</v>
      </c>
      <c r="L814" s="235">
        <f t="shared" si="429"/>
        <v>101</v>
      </c>
      <c r="M814" s="235">
        <v>7</v>
      </c>
      <c r="O814" s="248">
        <v>42048</v>
      </c>
      <c r="V814" s="219"/>
      <c r="X814">
        <v>15.55</v>
      </c>
      <c r="AB814" s="220"/>
      <c r="AD814" s="221"/>
      <c r="AF814" s="220"/>
      <c r="AH814" s="220"/>
      <c r="AJ814" s="286"/>
      <c r="AK814" s="285"/>
      <c r="AL814" s="260"/>
      <c r="AN814" s="235">
        <v>70</v>
      </c>
      <c r="AO814" s="242">
        <v>42074</v>
      </c>
      <c r="AP814" s="235">
        <v>106</v>
      </c>
      <c r="AQ814" s="242">
        <v>42110</v>
      </c>
      <c r="AS814" s="297"/>
      <c r="AT814" s="290"/>
      <c r="AU814" s="298"/>
      <c r="BF814" s="282"/>
      <c r="BG814" s="235"/>
      <c r="BL814" s="296"/>
      <c r="BM814" s="235"/>
      <c r="BP814" s="282"/>
      <c r="BQ814" s="235"/>
      <c r="BR814" s="282"/>
      <c r="BS814" s="235"/>
      <c r="BT814" s="282"/>
      <c r="BU814" s="235"/>
      <c r="BV814" s="282"/>
      <c r="BW814" s="235"/>
      <c r="BX814" s="282"/>
      <c r="BY814" s="235"/>
      <c r="CB814" s="267"/>
      <c r="CD814" s="282"/>
      <c r="CE814" s="291"/>
      <c r="CL814" s="136">
        <v>3</v>
      </c>
      <c r="CM814" s="259">
        <v>42161</v>
      </c>
    </row>
    <row r="815" spans="1:93">
      <c r="A815" s="258">
        <v>1344</v>
      </c>
      <c r="B815" s="235">
        <v>468</v>
      </c>
      <c r="C815" s="235" t="s">
        <v>7576</v>
      </c>
      <c r="D815" s="235"/>
      <c r="E815" s="235"/>
      <c r="F815" s="235"/>
      <c r="G815" s="235"/>
      <c r="H815" s="235" t="s">
        <v>267</v>
      </c>
      <c r="I815" s="235">
        <v>2</v>
      </c>
      <c r="K815" s="235">
        <v>30</v>
      </c>
      <c r="L815" s="235">
        <f t="shared" si="429"/>
        <v>102</v>
      </c>
      <c r="M815" s="235">
        <v>7</v>
      </c>
      <c r="O815" s="248">
        <v>42048</v>
      </c>
      <c r="V815" s="219"/>
      <c r="X815">
        <v>15.55</v>
      </c>
      <c r="AB815" s="220"/>
      <c r="AD815" s="221"/>
      <c r="AF815" s="220"/>
      <c r="AH815" s="220"/>
      <c r="AJ815" s="286"/>
      <c r="AK815" s="285"/>
      <c r="AL815" s="260"/>
      <c r="AN815" s="235">
        <v>70</v>
      </c>
      <c r="AO815" s="242">
        <v>42074</v>
      </c>
      <c r="AP815" s="235">
        <v>106</v>
      </c>
      <c r="AQ815" s="242">
        <v>42110</v>
      </c>
      <c r="AS815" s="297"/>
      <c r="AT815" s="290"/>
      <c r="AU815" s="298"/>
      <c r="BF815" s="282"/>
      <c r="BG815" s="235"/>
      <c r="BL815" s="296"/>
      <c r="BM815" s="235"/>
      <c r="BP815" s="282"/>
      <c r="BQ815" s="235"/>
      <c r="BR815" s="282"/>
      <c r="BS815" s="235"/>
      <c r="BT815" s="282"/>
      <c r="BU815" s="235"/>
      <c r="BV815" s="282"/>
      <c r="BW815" s="235"/>
      <c r="BX815" s="282"/>
      <c r="BY815" s="235"/>
      <c r="CB815" s="267"/>
      <c r="CD815" s="282"/>
      <c r="CE815" s="291"/>
      <c r="CL815" s="136">
        <v>3</v>
      </c>
      <c r="CM815" s="259">
        <v>42161</v>
      </c>
    </row>
    <row r="816" spans="1:93">
      <c r="A816" s="258">
        <v>1346</v>
      </c>
      <c r="B816" s="235">
        <v>470</v>
      </c>
      <c r="C816" s="235" t="s">
        <v>7648</v>
      </c>
      <c r="D816" s="235" t="s">
        <v>7480</v>
      </c>
      <c r="E816" s="235" t="s">
        <v>7648</v>
      </c>
      <c r="F816" s="235" t="s">
        <v>8618</v>
      </c>
      <c r="G816" s="235" t="str">
        <f t="shared" ref="G816:G825" si="430">IF(MID(C816,1,3)="BGA","Complement","Rapsodyn")</f>
        <v>Rapsodyn</v>
      </c>
      <c r="H816" s="235" t="s">
        <v>267</v>
      </c>
      <c r="I816" s="235">
        <v>2</v>
      </c>
      <c r="J816" s="235">
        <v>9034</v>
      </c>
      <c r="K816" s="235">
        <v>32</v>
      </c>
      <c r="L816" s="235">
        <f t="shared" si="429"/>
        <v>104</v>
      </c>
      <c r="M816" s="235">
        <v>7</v>
      </c>
      <c r="N816" s="235">
        <v>7</v>
      </c>
      <c r="O816" s="248">
        <v>42048</v>
      </c>
      <c r="P816" s="136">
        <v>4.95</v>
      </c>
      <c r="Q816" s="264">
        <v>42204</v>
      </c>
      <c r="V816" s="219">
        <f t="shared" ref="V816:V825" si="431">+BR816*AF816/100</f>
        <v>13.425105714202433</v>
      </c>
      <c r="X816">
        <v>15.55</v>
      </c>
      <c r="AB816" s="220">
        <f t="shared" ref="AB816:AB825" si="432">+AF816*BT816/100</f>
        <v>5.8801060367828901</v>
      </c>
      <c r="AD816" s="221">
        <f t="shared" ref="AD816:AD825" si="433">+(AF816/AJ816)*10000</f>
        <v>75934.394157815885</v>
      </c>
      <c r="AF816" s="220">
        <f t="shared" ref="AF816:AF825" si="434">($P816/$X816)*(((100-$CD816)/100*(100-2)/100))*100</f>
        <v>29.006938568285669</v>
      </c>
      <c r="AH816" s="220">
        <f t="shared" ref="AH816:AH825" si="435">($P816/$X816)*(((100-$CD816)/(100-9)*(100-2)/(100-2))*100)</f>
        <v>32.526282314740598</v>
      </c>
      <c r="AJ816">
        <v>3.82</v>
      </c>
      <c r="AK816" s="285" t="s">
        <v>8401</v>
      </c>
      <c r="AL816" s="260">
        <v>185</v>
      </c>
      <c r="AN816" s="235">
        <v>72</v>
      </c>
      <c r="AO816" s="242">
        <v>42076</v>
      </c>
      <c r="AP816" s="235">
        <v>106</v>
      </c>
      <c r="AQ816" s="242">
        <v>42110</v>
      </c>
      <c r="AR816" s="136">
        <v>133</v>
      </c>
      <c r="AS816" s="297">
        <f t="shared" ref="AS816:AS825" si="436">IF(AR816=0,,AR816)</f>
        <v>133</v>
      </c>
      <c r="AT816" s="290">
        <v>42137</v>
      </c>
      <c r="AU816" s="298"/>
      <c r="BF816" s="282">
        <v>-4.6726880073547363</v>
      </c>
      <c r="BG816" s="283">
        <v>42234</v>
      </c>
      <c r="BL816" s="296">
        <v>60.704902648925781</v>
      </c>
      <c r="BM816" s="283">
        <v>42234</v>
      </c>
      <c r="BP816" s="282">
        <v>2.8006410598754883</v>
      </c>
      <c r="BQ816" s="283">
        <v>42234</v>
      </c>
      <c r="BR816" s="282">
        <v>46.282394409179688</v>
      </c>
      <c r="BS816" s="283">
        <v>42234</v>
      </c>
      <c r="BT816" s="282">
        <v>20.271377563476562</v>
      </c>
      <c r="BU816" s="283">
        <v>42234</v>
      </c>
      <c r="BV816" s="282">
        <v>60.729133605957031</v>
      </c>
      <c r="BW816" s="283">
        <v>42234</v>
      </c>
      <c r="BX816" s="282">
        <v>5.9647598266601562</v>
      </c>
      <c r="BY816" s="283">
        <v>42234</v>
      </c>
      <c r="CB816" s="267">
        <v>2.99</v>
      </c>
      <c r="CD816" s="282">
        <v>7.0175438596491295</v>
      </c>
      <c r="CE816" s="291" t="s">
        <v>8401</v>
      </c>
      <c r="CH816" s="136">
        <v>3</v>
      </c>
      <c r="CI816" s="136">
        <v>8</v>
      </c>
      <c r="CL816" s="136">
        <v>5</v>
      </c>
      <c r="CM816" s="259">
        <v>42161</v>
      </c>
      <c r="CO816" s="137" t="s">
        <v>8405</v>
      </c>
    </row>
    <row r="817" spans="1:93">
      <c r="A817" s="258">
        <v>1350</v>
      </c>
      <c r="B817" s="235">
        <v>474</v>
      </c>
      <c r="C817" s="235" t="s">
        <v>7774</v>
      </c>
      <c r="D817" s="235" t="s">
        <v>7572</v>
      </c>
      <c r="E817" s="235" t="s">
        <v>7774</v>
      </c>
      <c r="F817" s="235" t="s">
        <v>8617</v>
      </c>
      <c r="G817" s="235" t="str">
        <f t="shared" si="430"/>
        <v>Rapsodyn</v>
      </c>
      <c r="H817" s="235" t="s">
        <v>267</v>
      </c>
      <c r="I817" s="235">
        <v>2</v>
      </c>
      <c r="J817" s="235">
        <v>9145</v>
      </c>
      <c r="K817" s="235">
        <v>36</v>
      </c>
      <c r="L817" s="235">
        <f t="shared" si="429"/>
        <v>108</v>
      </c>
      <c r="M817" s="235">
        <v>7</v>
      </c>
      <c r="N817" s="235">
        <v>5</v>
      </c>
      <c r="O817" s="248">
        <v>42048</v>
      </c>
      <c r="P817" s="136">
        <v>5.94</v>
      </c>
      <c r="Q817" s="264">
        <v>42204</v>
      </c>
      <c r="V817" s="219">
        <f t="shared" si="431"/>
        <v>17.550454405751843</v>
      </c>
      <c r="X817">
        <v>15.55</v>
      </c>
      <c r="AB817" s="220">
        <f t="shared" si="432"/>
        <v>5.5847795418342123</v>
      </c>
      <c r="AD817" s="221">
        <f t="shared" si="433"/>
        <v>68927.378776124358</v>
      </c>
      <c r="AF817" s="220">
        <f t="shared" si="434"/>
        <v>34.808326281942797</v>
      </c>
      <c r="AH817" s="220">
        <f t="shared" si="435"/>
        <v>39.031538777688716</v>
      </c>
      <c r="AJ817">
        <v>5.05</v>
      </c>
      <c r="AK817" s="285" t="s">
        <v>8400</v>
      </c>
      <c r="AL817" s="260">
        <v>165</v>
      </c>
      <c r="AN817" s="235">
        <v>70</v>
      </c>
      <c r="AO817" s="242">
        <v>42074</v>
      </c>
      <c r="AP817" s="235">
        <v>106</v>
      </c>
      <c r="AQ817" s="242">
        <v>42110</v>
      </c>
      <c r="AR817" s="136">
        <v>130</v>
      </c>
      <c r="AS817" s="297">
        <f t="shared" si="436"/>
        <v>130</v>
      </c>
      <c r="AT817" s="290">
        <v>42134</v>
      </c>
      <c r="AU817" s="298"/>
      <c r="BF817" s="282">
        <v>-3.7619080543518066</v>
      </c>
      <c r="BG817" s="283">
        <v>42235</v>
      </c>
      <c r="BL817" s="296">
        <v>61.432018280029297</v>
      </c>
      <c r="BM817" s="283">
        <v>42235</v>
      </c>
      <c r="BP817" s="282">
        <v>2.9778199195861816</v>
      </c>
      <c r="BQ817" s="283">
        <v>42235</v>
      </c>
      <c r="BR817" s="282">
        <v>50.420276641845703</v>
      </c>
      <c r="BS817" s="283">
        <v>42235</v>
      </c>
      <c r="BT817" s="282">
        <v>16.044378280639648</v>
      </c>
      <c r="BU817" s="283">
        <v>42235</v>
      </c>
      <c r="BV817" s="282">
        <v>12.973219871520996</v>
      </c>
      <c r="BW817" s="283">
        <v>42235</v>
      </c>
      <c r="BX817" s="282">
        <v>5.2963638305664062</v>
      </c>
      <c r="BY817" s="283">
        <v>42235</v>
      </c>
      <c r="CB817" s="267">
        <v>3.88</v>
      </c>
      <c r="CD817" s="282">
        <v>7.0175438596491295</v>
      </c>
      <c r="CE817" s="291" t="s">
        <v>8400</v>
      </c>
      <c r="CH817" s="136">
        <v>1</v>
      </c>
      <c r="CI817" s="136">
        <v>2</v>
      </c>
      <c r="CL817" s="136">
        <v>1</v>
      </c>
      <c r="CM817" s="259">
        <v>42161</v>
      </c>
      <c r="CN817" s="137" t="s">
        <v>8406</v>
      </c>
    </row>
    <row r="818" spans="1:93">
      <c r="A818" s="258">
        <v>1351</v>
      </c>
      <c r="B818" s="235">
        <v>475</v>
      </c>
      <c r="C818" s="235" t="s">
        <v>7787</v>
      </c>
      <c r="D818" s="235" t="s">
        <v>7585</v>
      </c>
      <c r="E818" s="235" t="s">
        <v>7787</v>
      </c>
      <c r="F818" s="235" t="s">
        <v>8616</v>
      </c>
      <c r="G818" s="235" t="str">
        <f t="shared" si="430"/>
        <v>Rapsodyn</v>
      </c>
      <c r="H818" s="235" t="s">
        <v>267</v>
      </c>
      <c r="I818" s="235">
        <v>2</v>
      </c>
      <c r="J818" s="235">
        <v>9158</v>
      </c>
      <c r="K818" s="235">
        <v>37</v>
      </c>
      <c r="L818" s="235">
        <f t="shared" si="429"/>
        <v>109</v>
      </c>
      <c r="M818" s="235">
        <v>7</v>
      </c>
      <c r="N818" s="235">
        <v>5</v>
      </c>
      <c r="O818" s="248">
        <v>42048</v>
      </c>
      <c r="P818" s="136">
        <v>7.22</v>
      </c>
      <c r="Q818" s="264">
        <v>42204</v>
      </c>
      <c r="V818" s="219">
        <f t="shared" si="431"/>
        <v>21.894008848191724</v>
      </c>
      <c r="X818">
        <v>15.55</v>
      </c>
      <c r="AB818" s="220">
        <f t="shared" si="432"/>
        <v>7.0293827742350867</v>
      </c>
      <c r="AD818" s="221">
        <f t="shared" si="433"/>
        <v>84237.958643987746</v>
      </c>
      <c r="AF818" s="220">
        <f t="shared" si="434"/>
        <v>42.877120949789763</v>
      </c>
      <c r="AH818" s="220">
        <f t="shared" si="435"/>
        <v>48.079301356570724</v>
      </c>
      <c r="AJ818">
        <v>5.09</v>
      </c>
      <c r="AK818" s="285" t="s">
        <v>8400</v>
      </c>
      <c r="AL818" s="260">
        <v>170</v>
      </c>
      <c r="AN818" s="235">
        <v>72</v>
      </c>
      <c r="AO818" s="242">
        <v>42076</v>
      </c>
      <c r="AP818" s="235">
        <v>106</v>
      </c>
      <c r="AQ818" s="242">
        <v>42110</v>
      </c>
      <c r="AR818" s="136">
        <v>131</v>
      </c>
      <c r="AS818" s="297">
        <f t="shared" si="436"/>
        <v>131</v>
      </c>
      <c r="AT818" s="290">
        <v>42135</v>
      </c>
      <c r="AU818" s="298"/>
      <c r="BF818" s="282">
        <v>-1.9555150270462036</v>
      </c>
      <c r="BG818" s="283">
        <v>42235</v>
      </c>
      <c r="BL818" s="296">
        <v>63.819118499755859</v>
      </c>
      <c r="BM818" s="283">
        <v>42235</v>
      </c>
      <c r="BP818" s="282">
        <v>3.4207990169525146</v>
      </c>
      <c r="BQ818" s="283">
        <v>42235</v>
      </c>
      <c r="BR818" s="282">
        <v>51.062217712402344</v>
      </c>
      <c r="BS818" s="283">
        <v>42235</v>
      </c>
      <c r="BT818" s="282">
        <v>16.394250869750977</v>
      </c>
      <c r="BU818" s="283">
        <v>42235</v>
      </c>
      <c r="BV818" s="282">
        <v>12.027612686157227</v>
      </c>
      <c r="BW818" s="283">
        <v>42235</v>
      </c>
      <c r="BX818" s="282">
        <v>5.2653884887695313</v>
      </c>
      <c r="BY818" s="283">
        <v>42235</v>
      </c>
      <c r="CB818" s="267">
        <v>3.97</v>
      </c>
      <c r="CD818" s="282">
        <v>5.7692307692307656</v>
      </c>
      <c r="CE818" s="291" t="s">
        <v>8400</v>
      </c>
      <c r="CH818" s="136">
        <v>2</v>
      </c>
      <c r="CI818" s="136">
        <v>3</v>
      </c>
      <c r="CL818" s="136">
        <v>3</v>
      </c>
      <c r="CM818" s="259">
        <v>42161</v>
      </c>
      <c r="CN818" s="137" t="s">
        <v>8406</v>
      </c>
    </row>
    <row r="819" spans="1:93">
      <c r="A819" s="258">
        <v>1354</v>
      </c>
      <c r="B819" s="235">
        <v>478</v>
      </c>
      <c r="C819" s="235" t="s">
        <v>7680</v>
      </c>
      <c r="D819" s="235" t="s">
        <v>7507</v>
      </c>
      <c r="E819" s="235" t="s">
        <v>7680</v>
      </c>
      <c r="F819" s="235" t="s">
        <v>8615</v>
      </c>
      <c r="G819" s="235" t="str">
        <f t="shared" si="430"/>
        <v>Rapsodyn</v>
      </c>
      <c r="H819" s="235" t="s">
        <v>267</v>
      </c>
      <c r="I819" s="235">
        <v>2</v>
      </c>
      <c r="J819" s="235">
        <v>9062</v>
      </c>
      <c r="K819" s="235">
        <v>40</v>
      </c>
      <c r="L819" s="235">
        <f t="shared" si="429"/>
        <v>112</v>
      </c>
      <c r="M819" s="235">
        <v>7</v>
      </c>
      <c r="N819" s="235">
        <v>5</v>
      </c>
      <c r="O819" s="248">
        <v>42048</v>
      </c>
      <c r="P819" s="136">
        <v>5.32</v>
      </c>
      <c r="Q819" s="264">
        <v>42204</v>
      </c>
      <c r="V819" s="219">
        <f t="shared" si="431"/>
        <v>14.992007529599109</v>
      </c>
      <c r="X819">
        <v>15.55</v>
      </c>
      <c r="AB819" s="220">
        <f t="shared" si="432"/>
        <v>5.4520490714887853</v>
      </c>
      <c r="AD819" s="221">
        <f t="shared" si="433"/>
        <v>72145.484554342867</v>
      </c>
      <c r="AF819" s="220">
        <f t="shared" si="434"/>
        <v>30.733976420150057</v>
      </c>
      <c r="AH819" s="220">
        <f t="shared" si="435"/>
        <v>34.462857613983012</v>
      </c>
      <c r="AJ819">
        <v>4.26</v>
      </c>
      <c r="AK819" s="285" t="s">
        <v>8400</v>
      </c>
      <c r="AL819" s="260">
        <v>160</v>
      </c>
      <c r="AN819" s="235">
        <v>82</v>
      </c>
      <c r="AO819" s="242">
        <v>42086</v>
      </c>
      <c r="AP819" s="235">
        <v>110</v>
      </c>
      <c r="AQ819" s="242">
        <v>42114</v>
      </c>
      <c r="AR819" s="136">
        <v>134</v>
      </c>
      <c r="AS819" s="297">
        <f t="shared" si="436"/>
        <v>134</v>
      </c>
      <c r="AT819" s="290">
        <v>42138</v>
      </c>
      <c r="AU819" s="298"/>
      <c r="BF819" s="282">
        <v>-1.5537170171737671</v>
      </c>
      <c r="BG819" s="283">
        <v>42235</v>
      </c>
      <c r="BL819" s="296">
        <v>61.993537902832031</v>
      </c>
      <c r="BM819" s="283">
        <v>42235</v>
      </c>
      <c r="BP819" s="282">
        <v>3.1155409812927246</v>
      </c>
      <c r="BQ819" s="283">
        <v>42235</v>
      </c>
      <c r="BR819" s="282">
        <v>48.779914855957031</v>
      </c>
      <c r="BS819" s="283">
        <v>42235</v>
      </c>
      <c r="BT819" s="282">
        <v>17.739484786987305</v>
      </c>
      <c r="BU819" s="283">
        <v>42235</v>
      </c>
      <c r="BV819" s="282">
        <v>21.1121826171875</v>
      </c>
      <c r="BW819" s="283">
        <v>42235</v>
      </c>
      <c r="BX819" s="282">
        <v>5.4862442016601562</v>
      </c>
      <c r="BY819" s="283">
        <v>42235</v>
      </c>
      <c r="CB819" s="267">
        <v>3.87</v>
      </c>
      <c r="CD819" s="282">
        <v>8.3333333333333321</v>
      </c>
      <c r="CE819" s="291" t="s">
        <v>8400</v>
      </c>
      <c r="CH819" s="136">
        <v>2</v>
      </c>
      <c r="CI819" s="136">
        <v>7</v>
      </c>
      <c r="CL819" s="136">
        <v>6</v>
      </c>
      <c r="CM819" s="259">
        <v>42161</v>
      </c>
      <c r="CO819" s="137" t="s">
        <v>8405</v>
      </c>
    </row>
    <row r="820" spans="1:93">
      <c r="A820" s="258">
        <v>1356</v>
      </c>
      <c r="B820" s="236">
        <v>480</v>
      </c>
      <c r="C820" s="236" t="s">
        <v>7799</v>
      </c>
      <c r="D820" s="236" t="s">
        <v>7597</v>
      </c>
      <c r="E820" s="236" t="s">
        <v>7799</v>
      </c>
      <c r="F820" s="236" t="s">
        <v>8614</v>
      </c>
      <c r="G820" s="235" t="str">
        <f t="shared" si="430"/>
        <v>Rapsodyn</v>
      </c>
      <c r="H820" s="235" t="s">
        <v>267</v>
      </c>
      <c r="I820" s="235">
        <v>2</v>
      </c>
      <c r="J820" s="236">
        <v>9170</v>
      </c>
      <c r="K820" s="236">
        <v>42</v>
      </c>
      <c r="L820" s="235">
        <f t="shared" si="429"/>
        <v>114</v>
      </c>
      <c r="M820" s="236">
        <v>7</v>
      </c>
      <c r="N820" s="235">
        <v>7</v>
      </c>
      <c r="O820" s="248">
        <v>42048</v>
      </c>
      <c r="P820" s="136">
        <v>6.55</v>
      </c>
      <c r="Q820" s="264">
        <v>42204</v>
      </c>
      <c r="V820" s="219">
        <f t="shared" si="431"/>
        <v>19.95851097336179</v>
      </c>
      <c r="X820">
        <v>15.55</v>
      </c>
      <c r="AB820" s="220">
        <f t="shared" si="432"/>
        <v>6.8103833482376226</v>
      </c>
      <c r="AD820" s="221">
        <f t="shared" si="433"/>
        <v>82689.426057207937</v>
      </c>
      <c r="AF820" s="220">
        <f t="shared" si="434"/>
        <v>39.856303359574227</v>
      </c>
      <c r="AH820" s="220">
        <f t="shared" si="435"/>
        <v>44.691975061195592</v>
      </c>
      <c r="AJ820">
        <v>4.82</v>
      </c>
      <c r="AK820" s="285" t="s">
        <v>8400</v>
      </c>
      <c r="AL820" s="260">
        <v>165</v>
      </c>
      <c r="AN820" s="235">
        <v>63</v>
      </c>
      <c r="AO820" s="243">
        <v>42067</v>
      </c>
      <c r="AP820" s="235">
        <v>104</v>
      </c>
      <c r="AQ820" s="242">
        <v>42108</v>
      </c>
      <c r="AR820" s="136">
        <v>127</v>
      </c>
      <c r="AS820" s="297">
        <f t="shared" si="436"/>
        <v>127</v>
      </c>
      <c r="AT820" s="290">
        <v>42131</v>
      </c>
      <c r="AU820" s="298"/>
      <c r="BF820" s="282">
        <v>-6.8093810081481934</v>
      </c>
      <c r="BG820" s="283">
        <v>42235</v>
      </c>
      <c r="BL820" s="296">
        <v>67.653358459472656</v>
      </c>
      <c r="BM820" s="283">
        <v>42235</v>
      </c>
      <c r="BP820" s="282">
        <v>3.4183449745178223</v>
      </c>
      <c r="BQ820" s="283">
        <v>42235</v>
      </c>
      <c r="BR820" s="282">
        <v>50.076171875</v>
      </c>
      <c r="BS820" s="283">
        <v>42235</v>
      </c>
      <c r="BT820" s="282">
        <v>17.087343215942383</v>
      </c>
      <c r="BU820" s="283">
        <v>42235</v>
      </c>
      <c r="BV820" s="282">
        <v>8.5996150970458984</v>
      </c>
      <c r="BW820" s="283">
        <v>42235</v>
      </c>
      <c r="BX820" s="282">
        <v>5.3761138916015625</v>
      </c>
      <c r="BY820" s="283">
        <v>42235</v>
      </c>
      <c r="CB820" s="267">
        <v>3.6</v>
      </c>
      <c r="CD820" s="282">
        <v>3.4482758620689689</v>
      </c>
      <c r="CE820" s="291" t="s">
        <v>8400</v>
      </c>
      <c r="CH820" s="136">
        <v>2</v>
      </c>
      <c r="CI820" s="136">
        <v>6</v>
      </c>
      <c r="CL820" s="136">
        <v>1</v>
      </c>
      <c r="CM820" s="259">
        <v>42161</v>
      </c>
      <c r="CN820" s="137" t="s">
        <v>8406</v>
      </c>
    </row>
    <row r="821" spans="1:93">
      <c r="A821" s="258">
        <v>1358</v>
      </c>
      <c r="B821" s="235">
        <v>482</v>
      </c>
      <c r="C821" s="235" t="s">
        <v>7718</v>
      </c>
      <c r="D821" s="235" t="s">
        <v>7542</v>
      </c>
      <c r="E821" s="235" t="s">
        <v>7718</v>
      </c>
      <c r="F821" s="235" t="s">
        <v>8613</v>
      </c>
      <c r="G821" s="235" t="str">
        <f t="shared" si="430"/>
        <v>Rapsodyn</v>
      </c>
      <c r="H821" s="235" t="s">
        <v>267</v>
      </c>
      <c r="I821" s="235">
        <v>2</v>
      </c>
      <c r="J821" s="235">
        <v>9100</v>
      </c>
      <c r="K821" s="235">
        <v>44</v>
      </c>
      <c r="L821" s="235">
        <f t="shared" si="429"/>
        <v>116</v>
      </c>
      <c r="M821" s="235">
        <v>7</v>
      </c>
      <c r="N821" s="235">
        <v>7</v>
      </c>
      <c r="O821" s="248">
        <v>42048</v>
      </c>
      <c r="P821" s="136">
        <v>6.49</v>
      </c>
      <c r="Q821" s="264">
        <v>42204</v>
      </c>
      <c r="V821" s="219">
        <f t="shared" si="431"/>
        <v>18.817995071656451</v>
      </c>
      <c r="X821">
        <v>15.55</v>
      </c>
      <c r="AB821" s="220">
        <f t="shared" si="432"/>
        <v>6.6792625905125851</v>
      </c>
      <c r="AD821" s="221">
        <f t="shared" si="433"/>
        <v>79716.355137101622</v>
      </c>
      <c r="AF821" s="220">
        <f t="shared" si="434"/>
        <v>38.82186495176849</v>
      </c>
      <c r="AH821" s="220">
        <f t="shared" si="435"/>
        <v>43.532030670294333</v>
      </c>
      <c r="AJ821">
        <v>4.87</v>
      </c>
      <c r="AK821" s="285" t="s">
        <v>8399</v>
      </c>
      <c r="AL821" s="260">
        <v>170</v>
      </c>
      <c r="AN821" s="235">
        <v>70</v>
      </c>
      <c r="AO821" s="242">
        <v>42074</v>
      </c>
      <c r="AP821" s="235">
        <v>104</v>
      </c>
      <c r="AQ821" s="242">
        <v>42108</v>
      </c>
      <c r="AR821" s="136">
        <v>131</v>
      </c>
      <c r="AS821" s="297">
        <f t="shared" si="436"/>
        <v>131</v>
      </c>
      <c r="AT821" s="290">
        <v>42135</v>
      </c>
      <c r="AU821" s="298"/>
      <c r="BF821" s="282">
        <v>-2.8970510959625244</v>
      </c>
      <c r="BG821" s="283">
        <v>42235</v>
      </c>
      <c r="BL821" s="296">
        <v>64.815605163574219</v>
      </c>
      <c r="BM821" s="283">
        <v>42235</v>
      </c>
      <c r="BP821" s="282">
        <v>3.9304759502410889</v>
      </c>
      <c r="BQ821" s="283">
        <v>42235</v>
      </c>
      <c r="BR821" s="282">
        <v>48.472671508789063</v>
      </c>
      <c r="BS821" s="283">
        <v>42235</v>
      </c>
      <c r="BT821" s="282">
        <v>17.204898834228516</v>
      </c>
      <c r="BU821" s="283">
        <v>42235</v>
      </c>
      <c r="BV821" s="282">
        <v>9.5992145538330078</v>
      </c>
      <c r="BW821" s="283">
        <v>42235</v>
      </c>
      <c r="BX821" s="282">
        <v>5.616729736328125</v>
      </c>
      <c r="BY821" s="283">
        <v>42235</v>
      </c>
      <c r="CB821" s="267">
        <v>4.8099999999999996</v>
      </c>
      <c r="CD821" s="282">
        <v>5.0847457627118757</v>
      </c>
      <c r="CE821" s="291" t="s">
        <v>8399</v>
      </c>
      <c r="CH821" s="136">
        <v>2</v>
      </c>
      <c r="CI821" s="136">
        <v>3</v>
      </c>
      <c r="CL821" s="136">
        <v>1</v>
      </c>
      <c r="CM821" s="259">
        <v>42161</v>
      </c>
      <c r="CN821" s="137" t="s">
        <v>8406</v>
      </c>
    </row>
    <row r="822" spans="1:93">
      <c r="A822" s="258">
        <v>1359</v>
      </c>
      <c r="B822" s="235">
        <v>483</v>
      </c>
      <c r="C822" s="235" t="s">
        <v>7706</v>
      </c>
      <c r="D822" s="235" t="s">
        <v>7532</v>
      </c>
      <c r="E822" s="235" t="s">
        <v>7706</v>
      </c>
      <c r="F822" s="235" t="s">
        <v>8612</v>
      </c>
      <c r="G822" s="235" t="str">
        <f t="shared" si="430"/>
        <v>Rapsodyn</v>
      </c>
      <c r="H822" s="235" t="s">
        <v>267</v>
      </c>
      <c r="I822" s="235">
        <v>2</v>
      </c>
      <c r="J822" s="235">
        <v>9088</v>
      </c>
      <c r="K822" s="235">
        <v>45</v>
      </c>
      <c r="L822" s="235">
        <f t="shared" si="429"/>
        <v>117</v>
      </c>
      <c r="M822" s="235">
        <v>7</v>
      </c>
      <c r="N822" s="235">
        <v>7</v>
      </c>
      <c r="O822" s="248">
        <v>42048</v>
      </c>
      <c r="P822" s="136">
        <v>6.06</v>
      </c>
      <c r="Q822" s="264">
        <v>42204</v>
      </c>
      <c r="V822" s="219">
        <f t="shared" si="431"/>
        <v>18.402994709170571</v>
      </c>
      <c r="X822">
        <v>15.55</v>
      </c>
      <c r="AB822" s="220">
        <f t="shared" si="432"/>
        <v>6.3613336238063791</v>
      </c>
      <c r="AD822" s="221">
        <f t="shared" si="433"/>
        <v>77474.115285992026</v>
      </c>
      <c r="AF822" s="220">
        <f t="shared" si="434"/>
        <v>36.722730645560219</v>
      </c>
      <c r="AH822" s="220">
        <f t="shared" si="435"/>
        <v>41.178213327607338</v>
      </c>
      <c r="AJ822">
        <v>4.74</v>
      </c>
      <c r="AK822" s="285" t="s">
        <v>8399</v>
      </c>
      <c r="AL822" s="260">
        <v>190</v>
      </c>
      <c r="AN822" s="235">
        <v>70</v>
      </c>
      <c r="AO822" s="242">
        <v>42074</v>
      </c>
      <c r="AP822" s="235">
        <v>106</v>
      </c>
      <c r="AQ822" s="242">
        <v>42110</v>
      </c>
      <c r="AR822" s="136">
        <v>132</v>
      </c>
      <c r="AS822" s="297">
        <f t="shared" si="436"/>
        <v>132</v>
      </c>
      <c r="AT822" s="290">
        <v>42136</v>
      </c>
      <c r="AU822" s="298"/>
      <c r="BF822" s="282">
        <v>1.0258409976959229</v>
      </c>
      <c r="BG822" s="283">
        <v>42234</v>
      </c>
      <c r="BL822" s="296">
        <v>61.1771240234375</v>
      </c>
      <c r="BM822" s="283">
        <v>42234</v>
      </c>
      <c r="BP822" s="282">
        <v>3.2625288963317871</v>
      </c>
      <c r="BQ822" s="283">
        <v>42234</v>
      </c>
      <c r="BR822" s="282">
        <v>50.113361358642578</v>
      </c>
      <c r="BS822" s="283">
        <v>42234</v>
      </c>
      <c r="BT822" s="282">
        <v>17.322605133056641</v>
      </c>
      <c r="BU822" s="283">
        <v>42234</v>
      </c>
      <c r="BV822" s="282">
        <v>15.152920722961426</v>
      </c>
      <c r="BW822" s="283">
        <v>42234</v>
      </c>
      <c r="BX822" s="282">
        <v>5.2896041870117187</v>
      </c>
      <c r="BY822" s="283">
        <v>42234</v>
      </c>
      <c r="CB822" s="267">
        <v>3.9</v>
      </c>
      <c r="CD822" s="282">
        <v>3.8461538461538494</v>
      </c>
      <c r="CE822" s="291" t="s">
        <v>8399</v>
      </c>
      <c r="CH822" s="136">
        <v>2</v>
      </c>
      <c r="CI822" s="136">
        <v>2</v>
      </c>
      <c r="CL822" s="136">
        <v>4</v>
      </c>
      <c r="CM822" s="259">
        <v>42161</v>
      </c>
      <c r="CN822" s="137" t="s">
        <v>8406</v>
      </c>
    </row>
    <row r="823" spans="1:93">
      <c r="A823" s="258">
        <v>1362</v>
      </c>
      <c r="B823" s="235">
        <v>486</v>
      </c>
      <c r="C823" s="235" t="s">
        <v>7631</v>
      </c>
      <c r="D823" s="235" t="s">
        <v>7465</v>
      </c>
      <c r="E823" s="235" t="s">
        <v>7631</v>
      </c>
      <c r="F823" s="235" t="s">
        <v>8611</v>
      </c>
      <c r="G823" s="235" t="str">
        <f t="shared" si="430"/>
        <v>Rapsodyn</v>
      </c>
      <c r="H823" s="235" t="s">
        <v>267</v>
      </c>
      <c r="I823" s="235">
        <v>2</v>
      </c>
      <c r="J823" s="235">
        <v>9021</v>
      </c>
      <c r="K823" s="235">
        <v>48</v>
      </c>
      <c r="L823" s="235">
        <f t="shared" si="429"/>
        <v>120</v>
      </c>
      <c r="M823" s="235">
        <v>7</v>
      </c>
      <c r="N823" s="235">
        <v>7</v>
      </c>
      <c r="O823" s="248">
        <v>42048</v>
      </c>
      <c r="P823" s="136">
        <v>5.17</v>
      </c>
      <c r="Q823" s="264">
        <v>42204</v>
      </c>
      <c r="V823" s="219">
        <f t="shared" si="431"/>
        <v>14.616165807889589</v>
      </c>
      <c r="X823">
        <v>15.55</v>
      </c>
      <c r="AB823" s="220">
        <f t="shared" si="432"/>
        <v>6.1019730423833538</v>
      </c>
      <c r="AD823" s="221">
        <f t="shared" si="433"/>
        <v>69055.393831046036</v>
      </c>
      <c r="AF823" s="220">
        <f t="shared" si="434"/>
        <v>30.867761042477575</v>
      </c>
      <c r="AH823" s="220">
        <f t="shared" si="435"/>
        <v>34.612874010403203</v>
      </c>
      <c r="AJ823">
        <v>4.47</v>
      </c>
      <c r="AK823" s="285" t="s">
        <v>8399</v>
      </c>
      <c r="AL823" s="260">
        <v>175</v>
      </c>
      <c r="AN823" s="235">
        <v>70</v>
      </c>
      <c r="AO823" s="242">
        <v>42074</v>
      </c>
      <c r="AP823" s="235">
        <v>110</v>
      </c>
      <c r="AQ823" s="242">
        <v>42114</v>
      </c>
      <c r="AR823" s="136">
        <v>141</v>
      </c>
      <c r="AS823" s="297">
        <f t="shared" si="436"/>
        <v>141</v>
      </c>
      <c r="AT823" s="290">
        <v>42145</v>
      </c>
      <c r="AU823" s="298"/>
      <c r="BF823" s="282">
        <v>41.483367919921875</v>
      </c>
      <c r="BG823" s="283">
        <v>42234</v>
      </c>
      <c r="BL823" s="296">
        <v>60.166172027587891</v>
      </c>
      <c r="BM823" s="283">
        <v>42234</v>
      </c>
      <c r="BP823" s="282">
        <v>3.8157739639282227</v>
      </c>
      <c r="BQ823" s="283">
        <v>42234</v>
      </c>
      <c r="BR823" s="282">
        <v>47.350910186767578</v>
      </c>
      <c r="BS823" s="283">
        <v>42234</v>
      </c>
      <c r="BT823" s="282">
        <v>19.768110275268555</v>
      </c>
      <c r="BU823" s="283">
        <v>42234</v>
      </c>
      <c r="BV823" s="282">
        <v>64.894264221191406</v>
      </c>
      <c r="BW823" s="283">
        <v>42234</v>
      </c>
      <c r="BX823" s="282">
        <v>5.686981201171875</v>
      </c>
      <c r="BY823" s="283">
        <v>42234</v>
      </c>
      <c r="CB823" s="267">
        <v>4.6100000000000003</v>
      </c>
      <c r="CD823" s="282">
        <v>5.2631578947368389</v>
      </c>
      <c r="CE823" s="291" t="s">
        <v>8399</v>
      </c>
      <c r="CH823" s="136">
        <v>3</v>
      </c>
      <c r="CI823" s="136">
        <v>6</v>
      </c>
      <c r="CL823" s="136">
        <v>6</v>
      </c>
      <c r="CM823" s="259">
        <v>42161</v>
      </c>
      <c r="CN823" s="137" t="s">
        <v>8406</v>
      </c>
    </row>
    <row r="824" spans="1:93">
      <c r="A824" s="258">
        <v>1363</v>
      </c>
      <c r="B824" s="235">
        <v>487</v>
      </c>
      <c r="C824" s="235" t="s">
        <v>7703</v>
      </c>
      <c r="D824" s="235" t="s">
        <v>7529</v>
      </c>
      <c r="E824" s="235" t="s">
        <v>7703</v>
      </c>
      <c r="F824" s="235" t="s">
        <v>8610</v>
      </c>
      <c r="G824" s="235" t="str">
        <f t="shared" si="430"/>
        <v>Rapsodyn</v>
      </c>
      <c r="H824" s="235" t="s">
        <v>267</v>
      </c>
      <c r="I824" s="235">
        <v>2</v>
      </c>
      <c r="J824" s="235">
        <v>9085</v>
      </c>
      <c r="K824" s="235">
        <v>49</v>
      </c>
      <c r="L824" s="235">
        <f t="shared" si="429"/>
        <v>121</v>
      </c>
      <c r="M824" s="235">
        <v>7</v>
      </c>
      <c r="N824" s="235">
        <v>5</v>
      </c>
      <c r="O824" s="248">
        <v>42048</v>
      </c>
      <c r="P824" s="136">
        <v>5.52</v>
      </c>
      <c r="Q824" s="264">
        <v>42204</v>
      </c>
      <c r="V824" s="219">
        <f t="shared" si="431"/>
        <v>15.914361513879905</v>
      </c>
      <c r="X824">
        <v>15.55</v>
      </c>
      <c r="AB824" s="220">
        <f t="shared" si="432"/>
        <v>6.5017114342881293</v>
      </c>
      <c r="AD824" s="221">
        <f t="shared" si="433"/>
        <v>70045.726390025186</v>
      </c>
      <c r="AF824" s="220">
        <f t="shared" si="434"/>
        <v>32.781399950531785</v>
      </c>
      <c r="AH824" s="220">
        <f t="shared" si="435"/>
        <v>36.758690233832461</v>
      </c>
      <c r="AJ824">
        <v>4.68</v>
      </c>
      <c r="AK824" s="285" t="s">
        <v>8400</v>
      </c>
      <c r="AL824" s="260">
        <v>175</v>
      </c>
      <c r="AN824" s="235">
        <v>70</v>
      </c>
      <c r="AO824" s="242">
        <v>42074</v>
      </c>
      <c r="AP824" s="235">
        <v>104</v>
      </c>
      <c r="AQ824" s="242">
        <v>42108</v>
      </c>
      <c r="AR824" s="136">
        <v>131</v>
      </c>
      <c r="AS824" s="297">
        <f t="shared" si="436"/>
        <v>131</v>
      </c>
      <c r="AT824" s="290">
        <v>42135</v>
      </c>
      <c r="AU824" s="298"/>
      <c r="BF824" s="282">
        <v>-3.7508471012115479</v>
      </c>
      <c r="BG824" s="283">
        <v>42234</v>
      </c>
      <c r="BL824" s="296">
        <v>63.445415496826172</v>
      </c>
      <c r="BM824" s="283">
        <v>42234</v>
      </c>
      <c r="BP824" s="282">
        <v>3.42569899559021</v>
      </c>
      <c r="BQ824" s="283">
        <v>42234</v>
      </c>
      <c r="BR824" s="282">
        <v>48.546924591064453</v>
      </c>
      <c r="BS824" s="283">
        <v>42234</v>
      </c>
      <c r="BT824" s="282">
        <v>19.833538055419922</v>
      </c>
      <c r="BU824" s="283">
        <v>42234</v>
      </c>
      <c r="BV824" s="282">
        <v>13.877431869506836</v>
      </c>
      <c r="BW824" s="283">
        <v>42234</v>
      </c>
      <c r="BX824" s="282">
        <v>5.4073638916015625</v>
      </c>
      <c r="BY824" s="283">
        <v>42234</v>
      </c>
      <c r="CB824" s="267">
        <v>3.34</v>
      </c>
      <c r="CD824" s="282">
        <v>5.7692307692307656</v>
      </c>
      <c r="CE824" s="291" t="s">
        <v>8400</v>
      </c>
      <c r="CH824" s="136">
        <v>2</v>
      </c>
      <c r="CI824" s="136">
        <v>6</v>
      </c>
      <c r="CL824" s="136">
        <v>5</v>
      </c>
      <c r="CM824" s="259">
        <v>42161</v>
      </c>
      <c r="CN824" s="137" t="s">
        <v>8406</v>
      </c>
    </row>
    <row r="825" spans="1:93">
      <c r="A825" s="258">
        <v>1364</v>
      </c>
      <c r="B825" s="235">
        <v>488</v>
      </c>
      <c r="C825" s="235" t="s">
        <v>7604</v>
      </c>
      <c r="D825" s="235" t="s">
        <v>7810</v>
      </c>
      <c r="E825" s="235" t="s">
        <v>7604</v>
      </c>
      <c r="F825" s="235" t="s">
        <v>8609</v>
      </c>
      <c r="G825" s="235" t="str">
        <f t="shared" si="430"/>
        <v>Rapsodyn</v>
      </c>
      <c r="H825" s="235" t="s">
        <v>267</v>
      </c>
      <c r="I825" s="235">
        <v>2</v>
      </c>
      <c r="J825" s="235">
        <v>9001</v>
      </c>
      <c r="K825" s="235">
        <v>50</v>
      </c>
      <c r="L825" s="235">
        <f t="shared" si="429"/>
        <v>122</v>
      </c>
      <c r="M825" s="235">
        <v>7</v>
      </c>
      <c r="N825" s="235">
        <v>7</v>
      </c>
      <c r="O825" s="248">
        <v>42048</v>
      </c>
      <c r="P825" s="136">
        <v>3.73</v>
      </c>
      <c r="Q825" s="264">
        <v>42204</v>
      </c>
      <c r="V825" s="219">
        <f t="shared" si="431"/>
        <v>10.295941301683563</v>
      </c>
      <c r="X825">
        <v>15.55</v>
      </c>
      <c r="AB825" s="220">
        <f t="shared" si="432"/>
        <v>4.4642674807438452</v>
      </c>
      <c r="AD825" s="221">
        <f t="shared" si="433"/>
        <v>55690.065671368931</v>
      </c>
      <c r="AF825" s="220">
        <f t="shared" si="434"/>
        <v>21.88619580884799</v>
      </c>
      <c r="AH825" s="220">
        <f t="shared" si="435"/>
        <v>24.541596556232328</v>
      </c>
      <c r="AJ825">
        <v>3.93</v>
      </c>
      <c r="AK825" s="285" t="s">
        <v>8400</v>
      </c>
      <c r="AL825" s="260">
        <v>170</v>
      </c>
      <c r="AN825" s="235">
        <v>75</v>
      </c>
      <c r="AO825" s="242">
        <v>42079</v>
      </c>
      <c r="AP825" s="235">
        <v>110</v>
      </c>
      <c r="AQ825" s="242">
        <v>42114</v>
      </c>
      <c r="AR825" s="136">
        <v>133</v>
      </c>
      <c r="AS825" s="297">
        <f t="shared" si="436"/>
        <v>133</v>
      </c>
      <c r="AT825" s="290">
        <v>42137</v>
      </c>
      <c r="AU825" s="298"/>
      <c r="BF825" s="282">
        <v>42.262374877929687</v>
      </c>
      <c r="BG825" s="283">
        <v>42234</v>
      </c>
      <c r="BL825" s="296">
        <v>60.008651733398437</v>
      </c>
      <c r="BM825" s="283">
        <v>42234</v>
      </c>
      <c r="BP825" s="282">
        <v>3.1594939231872559</v>
      </c>
      <c r="BQ825" s="283">
        <v>42234</v>
      </c>
      <c r="BR825" s="282">
        <v>47.043083190917969</v>
      </c>
      <c r="BS825" s="283">
        <v>42234</v>
      </c>
      <c r="BT825" s="282">
        <v>20.397640228271484</v>
      </c>
      <c r="BU825" s="283">
        <v>42234</v>
      </c>
      <c r="BV825" s="282">
        <v>55.613677978515625</v>
      </c>
      <c r="BW825" s="283">
        <v>42234</v>
      </c>
      <c r="BX825" s="282">
        <v>5.32232666015625</v>
      </c>
      <c r="BY825" s="283">
        <v>42234</v>
      </c>
      <c r="CB825" s="267">
        <v>3.1</v>
      </c>
      <c r="CD825" s="282">
        <v>6.8965517241379226</v>
      </c>
      <c r="CE825" s="291" t="s">
        <v>8400</v>
      </c>
      <c r="CH825" s="136">
        <v>2</v>
      </c>
      <c r="CI825" s="136">
        <v>7</v>
      </c>
      <c r="CL825" s="136">
        <v>7</v>
      </c>
      <c r="CM825" s="259">
        <v>42161</v>
      </c>
      <c r="CO825" s="137" t="s">
        <v>8405</v>
      </c>
    </row>
    <row r="826" spans="1:93">
      <c r="A826" s="258">
        <v>1365</v>
      </c>
      <c r="B826" s="235">
        <v>489</v>
      </c>
      <c r="C826" s="235" t="s">
        <v>7576</v>
      </c>
      <c r="D826" s="235"/>
      <c r="E826" s="235"/>
      <c r="F826" s="235"/>
      <c r="G826" s="235"/>
      <c r="H826" s="235" t="s">
        <v>267</v>
      </c>
      <c r="I826" s="235">
        <v>2</v>
      </c>
      <c r="K826" s="235">
        <v>51</v>
      </c>
      <c r="L826" s="235">
        <f t="shared" si="429"/>
        <v>123</v>
      </c>
      <c r="M826" s="235">
        <v>7</v>
      </c>
      <c r="O826" s="248">
        <v>42048</v>
      </c>
      <c r="V826" s="219"/>
      <c r="X826">
        <v>15.55</v>
      </c>
      <c r="AB826" s="220"/>
      <c r="AD826" s="221"/>
      <c r="AF826" s="220"/>
      <c r="AH826" s="220"/>
      <c r="AJ826" s="286"/>
      <c r="AK826" s="285"/>
      <c r="AL826" s="260"/>
      <c r="AN826" s="235">
        <v>70</v>
      </c>
      <c r="AO826" s="242">
        <v>42074</v>
      </c>
      <c r="AP826" s="235">
        <v>106</v>
      </c>
      <c r="AQ826" s="242">
        <v>42110</v>
      </c>
      <c r="AS826" s="297"/>
      <c r="AT826" s="290"/>
      <c r="AU826" s="298"/>
      <c r="BF826" s="282"/>
      <c r="BG826" s="235"/>
      <c r="BL826" s="296"/>
      <c r="BM826" s="235"/>
      <c r="BP826" s="282"/>
      <c r="BQ826" s="235"/>
      <c r="BR826" s="282"/>
      <c r="BS826" s="235"/>
      <c r="BT826" s="282"/>
      <c r="BU826" s="235"/>
      <c r="BV826" s="282"/>
      <c r="BW826" s="235"/>
      <c r="BX826" s="282"/>
      <c r="BY826" s="235"/>
      <c r="CB826" s="267"/>
      <c r="CD826" s="282"/>
      <c r="CE826" s="291"/>
      <c r="CL826" s="136">
        <v>3</v>
      </c>
      <c r="CM826" s="259">
        <v>42161</v>
      </c>
    </row>
    <row r="827" spans="1:93">
      <c r="A827" s="258">
        <v>1366</v>
      </c>
      <c r="B827" s="235">
        <v>490</v>
      </c>
      <c r="C827" s="235" t="s">
        <v>7576</v>
      </c>
      <c r="D827" s="235"/>
      <c r="E827" s="235"/>
      <c r="F827" s="235"/>
      <c r="G827" s="235"/>
      <c r="H827" s="235" t="s">
        <v>267</v>
      </c>
      <c r="I827" s="235">
        <v>2</v>
      </c>
      <c r="K827" s="235">
        <v>52</v>
      </c>
      <c r="L827" s="235">
        <f t="shared" si="429"/>
        <v>124</v>
      </c>
      <c r="M827" s="235">
        <v>7</v>
      </c>
      <c r="O827" s="248">
        <v>42048</v>
      </c>
      <c r="V827" s="219"/>
      <c r="X827">
        <v>15.55</v>
      </c>
      <c r="AB827" s="220"/>
      <c r="AD827" s="221"/>
      <c r="AF827" s="220"/>
      <c r="AH827" s="220"/>
      <c r="AJ827" s="286"/>
      <c r="AK827" s="285"/>
      <c r="AL827" s="260"/>
      <c r="AN827" s="235">
        <v>70</v>
      </c>
      <c r="AO827" s="242">
        <v>42074</v>
      </c>
      <c r="AP827" s="235">
        <v>106</v>
      </c>
      <c r="AQ827" s="242">
        <v>42110</v>
      </c>
      <c r="AS827" s="297"/>
      <c r="AT827" s="290"/>
      <c r="AU827" s="298"/>
      <c r="BF827" s="282"/>
      <c r="BG827" s="235"/>
      <c r="BL827" s="296"/>
      <c r="BM827" s="235"/>
      <c r="BP827" s="282"/>
      <c r="BQ827" s="235"/>
      <c r="BR827" s="282"/>
      <c r="BS827" s="235"/>
      <c r="BT827" s="282"/>
      <c r="BU827" s="235"/>
      <c r="BV827" s="282"/>
      <c r="BW827" s="235"/>
      <c r="BX827" s="282"/>
      <c r="BY827" s="235"/>
      <c r="CB827" s="267"/>
      <c r="CD827" s="282"/>
      <c r="CE827" s="291"/>
      <c r="CL827" s="136">
        <v>3</v>
      </c>
      <c r="CM827" s="259">
        <v>42161</v>
      </c>
    </row>
    <row r="828" spans="1:93">
      <c r="A828" s="258">
        <v>1367</v>
      </c>
      <c r="B828" s="235">
        <v>491</v>
      </c>
      <c r="C828" s="235" t="s">
        <v>7677</v>
      </c>
      <c r="D828" s="235" t="s">
        <v>258</v>
      </c>
      <c r="E828" s="235" t="s">
        <v>7677</v>
      </c>
      <c r="F828" s="235" t="s">
        <v>8608</v>
      </c>
      <c r="G828" s="235" t="str">
        <f t="shared" ref="G828:G838" si="437">IF(MID(C828,1,3)="BGA","Complement","Rapsodyn")</f>
        <v>Rapsodyn</v>
      </c>
      <c r="H828" s="235" t="s">
        <v>267</v>
      </c>
      <c r="I828" s="235">
        <v>2</v>
      </c>
      <c r="J828" s="235">
        <v>9059</v>
      </c>
      <c r="K828" s="235">
        <v>53</v>
      </c>
      <c r="L828" s="235">
        <f t="shared" si="429"/>
        <v>125</v>
      </c>
      <c r="M828" s="235">
        <v>7</v>
      </c>
      <c r="N828" s="235">
        <v>7</v>
      </c>
      <c r="O828" s="248">
        <v>42048</v>
      </c>
      <c r="P828" s="136">
        <v>5.46</v>
      </c>
      <c r="Q828" s="264">
        <v>42204</v>
      </c>
      <c r="V828" s="219">
        <f t="shared" ref="V828:V830" si="438">+BR828*AF828/100</f>
        <v>16.093959787150737</v>
      </c>
      <c r="X828">
        <v>15.55</v>
      </c>
      <c r="AB828" s="220">
        <f t="shared" ref="AB828:AB830" si="439">+AF828*BT828/100</f>
        <v>6.4073713663204614</v>
      </c>
      <c r="AD828" s="221">
        <f t="shared" ref="AD828:AD830" si="440">+(AF828/AJ828)*10000</f>
        <v>65530.034883621753</v>
      </c>
      <c r="AF828" s="220">
        <f t="shared" ref="AF828:AF830" si="441">($P828/$X828)*(((100-$CD828)/100*(100-2)/100))*100</f>
        <v>33.223727685996231</v>
      </c>
      <c r="AH828" s="220">
        <f t="shared" ref="AH828:AH830" si="442">($P828/$X828)*(((100-$CD828)/(100-9)*(100-2)/(100-2))*100)</f>
        <v>37.254684554828692</v>
      </c>
      <c r="AJ828">
        <v>5.07</v>
      </c>
      <c r="AK828" s="285" t="s">
        <v>8399</v>
      </c>
      <c r="AL828" s="260">
        <v>185</v>
      </c>
      <c r="AN828" s="235">
        <v>65</v>
      </c>
      <c r="AO828" s="242">
        <v>42069</v>
      </c>
      <c r="AP828" s="235">
        <v>106</v>
      </c>
      <c r="AQ828" s="242">
        <v>42110</v>
      </c>
      <c r="AR828" s="136">
        <v>132</v>
      </c>
      <c r="AS828" s="297">
        <f t="shared" ref="AS828:AS838" si="443">IF(AR828=0,,AR828)</f>
        <v>132</v>
      </c>
      <c r="AT828" s="290">
        <v>42136</v>
      </c>
      <c r="AU828" s="298"/>
      <c r="BF828" s="282">
        <v>-3.8299961090087891</v>
      </c>
      <c r="BG828" s="283">
        <v>42234</v>
      </c>
      <c r="BL828" s="296">
        <v>62.391372680664063</v>
      </c>
      <c r="BM828" s="283">
        <v>42234</v>
      </c>
      <c r="BP828" s="282">
        <v>3.6846129894256592</v>
      </c>
      <c r="BQ828" s="283">
        <v>42234</v>
      </c>
      <c r="BR828" s="282">
        <v>48.441162109375</v>
      </c>
      <c r="BS828" s="283">
        <v>42234</v>
      </c>
      <c r="BT828" s="282">
        <v>19.285528182983398</v>
      </c>
      <c r="BU828" s="283">
        <v>42234</v>
      </c>
      <c r="BV828" s="282">
        <v>15.272103309631348</v>
      </c>
      <c r="BW828" s="283">
        <v>42234</v>
      </c>
      <c r="BX828" s="282">
        <v>5.5804672241210937</v>
      </c>
      <c r="BY828" s="283">
        <v>42234</v>
      </c>
      <c r="CB828" s="267">
        <v>4.57</v>
      </c>
      <c r="CD828" s="282">
        <v>3.4482758620689689</v>
      </c>
      <c r="CE828" s="291" t="s">
        <v>8399</v>
      </c>
      <c r="CH828" s="136">
        <v>2</v>
      </c>
      <c r="CI828" s="136">
        <v>3</v>
      </c>
      <c r="CL828" s="136">
        <v>3</v>
      </c>
      <c r="CM828" s="259">
        <v>42161</v>
      </c>
      <c r="CN828" s="137" t="s">
        <v>8406</v>
      </c>
    </row>
    <row r="829" spans="1:93">
      <c r="A829" s="258">
        <v>1368</v>
      </c>
      <c r="B829" s="235">
        <v>492</v>
      </c>
      <c r="C829" s="235" t="s">
        <v>7765</v>
      </c>
      <c r="D829" s="235" t="s">
        <v>7567</v>
      </c>
      <c r="E829" s="235" t="s">
        <v>7765</v>
      </c>
      <c r="F829" s="235" t="s">
        <v>8607</v>
      </c>
      <c r="G829" s="235" t="str">
        <f t="shared" si="437"/>
        <v>Rapsodyn</v>
      </c>
      <c r="H829" s="235" t="s">
        <v>267</v>
      </c>
      <c r="I829" s="235">
        <v>2</v>
      </c>
      <c r="J829" s="235">
        <v>9136</v>
      </c>
      <c r="K829" s="235">
        <v>54</v>
      </c>
      <c r="L829" s="235">
        <f t="shared" si="429"/>
        <v>126</v>
      </c>
      <c r="M829" s="235">
        <v>7</v>
      </c>
      <c r="N829" s="235">
        <v>5</v>
      </c>
      <c r="O829" s="248">
        <v>42048</v>
      </c>
      <c r="P829" s="136">
        <v>7.95</v>
      </c>
      <c r="Q829" s="264">
        <v>42204</v>
      </c>
      <c r="V829" s="219">
        <f t="shared" si="438"/>
        <v>24.057285338534765</v>
      </c>
      <c r="X829">
        <v>15.55</v>
      </c>
      <c r="AB829" s="220">
        <f t="shared" si="439"/>
        <v>7.6315707201206422</v>
      </c>
      <c r="AD829" s="221">
        <f t="shared" si="440"/>
        <v>112785.73516515639</v>
      </c>
      <c r="AF829" s="220">
        <f t="shared" si="441"/>
        <v>47.370008769365683</v>
      </c>
      <c r="AH829" s="220">
        <f t="shared" si="442"/>
        <v>53.11730070572515</v>
      </c>
      <c r="AJ829">
        <v>4.2</v>
      </c>
      <c r="AK829" s="285" t="s">
        <v>8399</v>
      </c>
      <c r="AL829" s="260">
        <v>170</v>
      </c>
      <c r="AN829" s="235">
        <v>70</v>
      </c>
      <c r="AO829" s="242">
        <v>42074</v>
      </c>
      <c r="AP829" s="235">
        <v>110</v>
      </c>
      <c r="AQ829" s="242">
        <v>42114</v>
      </c>
      <c r="AR829" s="136">
        <v>132</v>
      </c>
      <c r="AS829" s="297">
        <f t="shared" si="443"/>
        <v>132</v>
      </c>
      <c r="AT829" s="290">
        <v>42136</v>
      </c>
      <c r="AU829" s="298"/>
      <c r="BF829" s="282">
        <v>-3.1826128959655762</v>
      </c>
      <c r="BG829" s="283">
        <v>42234</v>
      </c>
      <c r="BL829" s="296">
        <v>67.722305297851563</v>
      </c>
      <c r="BM829" s="283">
        <v>42234</v>
      </c>
      <c r="BP829" s="282">
        <v>3.6937770843505859</v>
      </c>
      <c r="BQ829" s="283">
        <v>42234</v>
      </c>
      <c r="BR829" s="282">
        <v>50.785900115966797</v>
      </c>
      <c r="BS829" s="283">
        <v>42234</v>
      </c>
      <c r="BT829" s="282">
        <v>16.110553741455078</v>
      </c>
      <c r="BU829" s="283">
        <v>42234</v>
      </c>
      <c r="BV829" s="282">
        <v>12.098525047302246</v>
      </c>
      <c r="BW829" s="283">
        <v>42234</v>
      </c>
      <c r="BX829" s="282">
        <v>5.6602325439453125</v>
      </c>
      <c r="BY829" s="283">
        <v>42234</v>
      </c>
      <c r="CB829" s="267">
        <v>3.39</v>
      </c>
      <c r="CD829" s="282">
        <v>5.4545454545454515</v>
      </c>
      <c r="CE829" s="291" t="s">
        <v>8399</v>
      </c>
      <c r="CH829" s="136">
        <v>3</v>
      </c>
      <c r="CI829" s="136">
        <v>3</v>
      </c>
      <c r="CL829" s="136">
        <v>3</v>
      </c>
      <c r="CM829" s="259">
        <v>42161</v>
      </c>
      <c r="CN829" s="137" t="s">
        <v>8406</v>
      </c>
    </row>
    <row r="830" spans="1:93">
      <c r="A830" s="258">
        <v>1371</v>
      </c>
      <c r="B830" s="235">
        <v>495</v>
      </c>
      <c r="C830" s="235" t="s">
        <v>7782</v>
      </c>
      <c r="D830" s="235" t="s">
        <v>7580</v>
      </c>
      <c r="E830" s="235" t="s">
        <v>7782</v>
      </c>
      <c r="F830" s="235" t="s">
        <v>8606</v>
      </c>
      <c r="G830" s="235" t="str">
        <f t="shared" si="437"/>
        <v>Rapsodyn</v>
      </c>
      <c r="H830" s="235" t="s">
        <v>267</v>
      </c>
      <c r="I830" s="235">
        <v>2</v>
      </c>
      <c r="J830" s="235">
        <v>9153</v>
      </c>
      <c r="K830" s="235">
        <v>57</v>
      </c>
      <c r="L830" s="235">
        <f t="shared" si="429"/>
        <v>129</v>
      </c>
      <c r="M830" s="235">
        <v>7</v>
      </c>
      <c r="N830" s="235">
        <v>7</v>
      </c>
      <c r="O830" s="248">
        <v>42048</v>
      </c>
      <c r="P830" s="136">
        <v>6.99</v>
      </c>
      <c r="Q830" s="264">
        <v>42204</v>
      </c>
      <c r="V830" s="219">
        <f t="shared" si="438"/>
        <v>21.142757216144489</v>
      </c>
      <c r="X830">
        <v>15.55</v>
      </c>
      <c r="AB830" s="220">
        <f t="shared" si="439"/>
        <v>7.3730520401581998</v>
      </c>
      <c r="AD830" s="221">
        <f t="shared" si="440"/>
        <v>97282.443398537507</v>
      </c>
      <c r="AF830" s="220">
        <f t="shared" si="441"/>
        <v>41.734168217972588</v>
      </c>
      <c r="AH830" s="220">
        <f t="shared" si="442"/>
        <v>46.797676853523875</v>
      </c>
      <c r="AJ830">
        <v>4.29</v>
      </c>
      <c r="AK830" s="285" t="s">
        <v>8403</v>
      </c>
      <c r="AL830" s="260">
        <v>185</v>
      </c>
      <c r="AN830" s="235">
        <v>70</v>
      </c>
      <c r="AO830" s="242">
        <v>42074</v>
      </c>
      <c r="AP830" s="235">
        <v>104</v>
      </c>
      <c r="AQ830" s="242">
        <v>42108</v>
      </c>
      <c r="AR830" s="136">
        <v>127</v>
      </c>
      <c r="AS830" s="297">
        <f t="shared" si="443"/>
        <v>127</v>
      </c>
      <c r="AT830" s="290">
        <v>42131</v>
      </c>
      <c r="AU830" s="298"/>
      <c r="BF830" s="282">
        <v>-3.2595059871673584</v>
      </c>
      <c r="BG830" s="283">
        <v>42234</v>
      </c>
      <c r="BL830" s="296">
        <v>64.378761291503906</v>
      </c>
      <c r="BM830" s="283">
        <v>42234</v>
      </c>
      <c r="BP830" s="282">
        <v>2.9475901126861572</v>
      </c>
      <c r="BQ830" s="283">
        <v>42234</v>
      </c>
      <c r="BR830" s="282">
        <v>50.660545349121094</v>
      </c>
      <c r="BS830" s="283">
        <v>42234</v>
      </c>
      <c r="BT830" s="282">
        <v>17.666704177856445</v>
      </c>
      <c r="BU830" s="283">
        <v>42234</v>
      </c>
      <c r="BV830" s="282">
        <v>17.856523513793945</v>
      </c>
      <c r="BW830" s="283">
        <v>42234</v>
      </c>
      <c r="BX830" s="282">
        <v>5.2335128784179687</v>
      </c>
      <c r="BY830" s="283">
        <v>42234</v>
      </c>
      <c r="CB830" s="267">
        <v>3.19</v>
      </c>
      <c r="CD830" s="282">
        <v>5.2631578947368389</v>
      </c>
      <c r="CE830" s="291" t="s">
        <v>8403</v>
      </c>
      <c r="CH830" s="136">
        <v>2</v>
      </c>
      <c r="CI830" s="136">
        <v>3</v>
      </c>
      <c r="CL830" s="136">
        <v>1</v>
      </c>
      <c r="CM830" s="259">
        <v>42161</v>
      </c>
      <c r="CN830" s="137" t="s">
        <v>8406</v>
      </c>
    </row>
    <row r="831" spans="1:93">
      <c r="A831" s="258">
        <v>1374</v>
      </c>
      <c r="B831" s="235">
        <v>498</v>
      </c>
      <c r="C831" s="235" t="s">
        <v>7753</v>
      </c>
      <c r="D831" s="235" t="s">
        <v>7561</v>
      </c>
      <c r="E831" s="235" t="s">
        <v>7753</v>
      </c>
      <c r="F831" s="235" t="s">
        <v>8605</v>
      </c>
      <c r="G831" s="235" t="str">
        <f t="shared" si="437"/>
        <v>Rapsodyn</v>
      </c>
      <c r="H831" s="235" t="s">
        <v>267</v>
      </c>
      <c r="I831" s="235">
        <v>2</v>
      </c>
      <c r="J831" s="235">
        <v>9125</v>
      </c>
      <c r="K831" s="235">
        <v>60</v>
      </c>
      <c r="L831" s="235">
        <f t="shared" si="429"/>
        <v>132</v>
      </c>
      <c r="M831" s="235">
        <v>7</v>
      </c>
      <c r="N831" s="235">
        <v>9</v>
      </c>
      <c r="O831" s="248">
        <v>42048</v>
      </c>
      <c r="P831" s="136">
        <v>5.15</v>
      </c>
      <c r="Q831" s="264">
        <v>42204</v>
      </c>
      <c r="V831" s="219" t="s">
        <v>8379</v>
      </c>
      <c r="X831">
        <v>15.55</v>
      </c>
      <c r="AB831" s="219" t="s">
        <v>8379</v>
      </c>
      <c r="AC831" s="219" t="s">
        <v>8379</v>
      </c>
      <c r="AD831" s="219" t="s">
        <v>8379</v>
      </c>
      <c r="AE831" s="219" t="s">
        <v>8379</v>
      </c>
      <c r="AF831" s="219" t="s">
        <v>8379</v>
      </c>
      <c r="AG831" s="219" t="s">
        <v>8379</v>
      </c>
      <c r="AH831" s="219" t="s">
        <v>8379</v>
      </c>
      <c r="AI831" s="219" t="s">
        <v>8379</v>
      </c>
      <c r="AJ831" t="s">
        <v>8379</v>
      </c>
      <c r="AK831" t="s">
        <v>8379</v>
      </c>
      <c r="AL831" s="260">
        <v>165</v>
      </c>
      <c r="AN831" s="235">
        <v>79</v>
      </c>
      <c r="AO831" s="242">
        <v>42083</v>
      </c>
      <c r="AP831" s="235">
        <v>110</v>
      </c>
      <c r="AQ831" s="242">
        <v>42114</v>
      </c>
      <c r="AR831" s="136">
        <v>137</v>
      </c>
      <c r="AS831" s="297">
        <f t="shared" si="443"/>
        <v>137</v>
      </c>
      <c r="AT831" s="290">
        <v>42141</v>
      </c>
      <c r="AU831" s="298"/>
      <c r="BF831" s="219" t="s">
        <v>8379</v>
      </c>
      <c r="BG831" s="219" t="s">
        <v>8379</v>
      </c>
      <c r="BH831" s="219" t="s">
        <v>8379</v>
      </c>
      <c r="BI831" s="219" t="s">
        <v>8379</v>
      </c>
      <c r="BJ831" s="219" t="s">
        <v>8379</v>
      </c>
      <c r="BK831" s="219" t="s">
        <v>8379</v>
      </c>
      <c r="BL831" s="219" t="s">
        <v>8379</v>
      </c>
      <c r="BM831" s="219" t="s">
        <v>8379</v>
      </c>
      <c r="BP831" s="219" t="s">
        <v>8379</v>
      </c>
      <c r="BQ831" s="219" t="s">
        <v>8379</v>
      </c>
      <c r="BR831" s="219" t="s">
        <v>8379</v>
      </c>
      <c r="BS831" s="219" t="s">
        <v>8379</v>
      </c>
      <c r="BT831" s="219" t="s">
        <v>8379</v>
      </c>
      <c r="BU831" s="219" t="s">
        <v>8379</v>
      </c>
      <c r="BV831" s="219" t="s">
        <v>8379</v>
      </c>
      <c r="BW831" s="219" t="s">
        <v>8379</v>
      </c>
      <c r="BX831" s="219" t="s">
        <v>8379</v>
      </c>
      <c r="BY831" s="219" t="s">
        <v>8379</v>
      </c>
      <c r="CB831" s="267">
        <v>3.63</v>
      </c>
      <c r="CD831" s="277" t="s">
        <v>8379</v>
      </c>
      <c r="CE831" t="s">
        <v>8379</v>
      </c>
      <c r="CF831" s="219" t="s">
        <v>8379</v>
      </c>
      <c r="CG831" s="219" t="s">
        <v>8379</v>
      </c>
      <c r="CH831" s="136">
        <v>1</v>
      </c>
      <c r="CI831" s="136">
        <v>4</v>
      </c>
      <c r="CL831" s="136">
        <v>4</v>
      </c>
      <c r="CM831" s="259">
        <v>42161</v>
      </c>
      <c r="CN831" s="137" t="s">
        <v>8406</v>
      </c>
    </row>
    <row r="832" spans="1:93">
      <c r="A832" s="258">
        <v>1376</v>
      </c>
      <c r="B832" s="235">
        <v>500</v>
      </c>
      <c r="C832" s="235" t="s">
        <v>7676</v>
      </c>
      <c r="D832" s="235" t="s">
        <v>7505</v>
      </c>
      <c r="E832" s="235" t="s">
        <v>7676</v>
      </c>
      <c r="F832" s="235" t="s">
        <v>8604</v>
      </c>
      <c r="G832" s="235" t="str">
        <f t="shared" si="437"/>
        <v>Rapsodyn</v>
      </c>
      <c r="H832" s="235" t="s">
        <v>267</v>
      </c>
      <c r="I832" s="235">
        <v>2</v>
      </c>
      <c r="J832" s="235">
        <v>9058</v>
      </c>
      <c r="K832" s="235">
        <v>62</v>
      </c>
      <c r="L832" s="235">
        <f t="shared" si="429"/>
        <v>134</v>
      </c>
      <c r="M832" s="235">
        <v>7</v>
      </c>
      <c r="N832" s="235">
        <v>7</v>
      </c>
      <c r="O832" s="248">
        <v>42048</v>
      </c>
      <c r="P832" s="136">
        <v>6.02</v>
      </c>
      <c r="Q832" s="264">
        <v>42204</v>
      </c>
      <c r="V832" s="219">
        <f t="shared" ref="V832:V836" si="444">+BR832*AF832/100</f>
        <v>17.475769574126261</v>
      </c>
      <c r="X832">
        <v>15.55</v>
      </c>
      <c r="AB832" s="220">
        <f t="shared" ref="AB832:AB836" si="445">+AF832*BT832/100</f>
        <v>6.6491991964733268</v>
      </c>
      <c r="AD832" s="221">
        <f t="shared" ref="AD832:AD836" si="446">+(AF832/AJ832)*10000</f>
        <v>88568.197155549773</v>
      </c>
      <c r="AF832" s="220">
        <f t="shared" ref="AF832:AF836" si="447">($P832/$X832)*(((100-$CD832)/100*(100-2)/100))*100</f>
        <v>35.870119847997657</v>
      </c>
      <c r="AH832" s="220">
        <f t="shared" ref="AH832:AH836" si="448">($P832/$X832)*(((100-$CD832)/(100-9)*(100-2)/(100-2))*100)</f>
        <v>40.222157263957904</v>
      </c>
      <c r="AJ832">
        <v>4.05</v>
      </c>
      <c r="AK832" s="285" t="s">
        <v>8402</v>
      </c>
      <c r="AL832" s="260">
        <v>155</v>
      </c>
      <c r="AN832" s="235">
        <v>75</v>
      </c>
      <c r="AO832" s="242">
        <v>42079</v>
      </c>
      <c r="AP832" s="235">
        <v>104</v>
      </c>
      <c r="AQ832" s="242">
        <v>42108</v>
      </c>
      <c r="AR832" s="136">
        <v>137</v>
      </c>
      <c r="AS832" s="297">
        <f t="shared" si="443"/>
        <v>137</v>
      </c>
      <c r="AT832" s="290">
        <v>42141</v>
      </c>
      <c r="AU832" s="298"/>
      <c r="BF832" s="282">
        <v>-3.8682959079742432</v>
      </c>
      <c r="BG832" s="283">
        <v>42234</v>
      </c>
      <c r="BL832" s="296">
        <v>64.462387084960937</v>
      </c>
      <c r="BM832" s="283">
        <v>42234</v>
      </c>
      <c r="BP832" s="282">
        <v>3.8314449787139893</v>
      </c>
      <c r="BQ832" s="283">
        <v>42234</v>
      </c>
      <c r="BR832" s="282">
        <v>48.719573974609375</v>
      </c>
      <c r="BS832" s="283">
        <v>42234</v>
      </c>
      <c r="BT832" s="282">
        <v>18.536874771118164</v>
      </c>
      <c r="BU832" s="283">
        <v>42234</v>
      </c>
      <c r="BV832" s="282">
        <v>16.274589538574219</v>
      </c>
      <c r="BW832" s="283">
        <v>42234</v>
      </c>
      <c r="BX832" s="282">
        <v>5.3480453491210937</v>
      </c>
      <c r="BY832" s="283">
        <v>42234</v>
      </c>
      <c r="CB832" s="267">
        <v>3.85</v>
      </c>
      <c r="CD832" s="282">
        <v>5.4545454545454515</v>
      </c>
      <c r="CE832" s="291" t="s">
        <v>8402</v>
      </c>
      <c r="CH832" s="136">
        <v>3</v>
      </c>
      <c r="CI832" s="136">
        <v>5</v>
      </c>
      <c r="CL832" s="136">
        <v>2</v>
      </c>
      <c r="CM832" s="259">
        <v>42161</v>
      </c>
      <c r="CN832" s="137" t="s">
        <v>8406</v>
      </c>
    </row>
    <row r="833" spans="1:94">
      <c r="A833" s="258">
        <v>1378</v>
      </c>
      <c r="B833" s="235">
        <v>502</v>
      </c>
      <c r="C833" s="235" t="s">
        <v>7794</v>
      </c>
      <c r="D833" s="235" t="s">
        <v>7592</v>
      </c>
      <c r="E833" s="235" t="s">
        <v>7794</v>
      </c>
      <c r="F833" s="235" t="s">
        <v>8603</v>
      </c>
      <c r="G833" s="235" t="str">
        <f t="shared" si="437"/>
        <v>Rapsodyn</v>
      </c>
      <c r="H833" s="235" t="s">
        <v>267</v>
      </c>
      <c r="I833" s="235">
        <v>2</v>
      </c>
      <c r="J833" s="235">
        <v>9165</v>
      </c>
      <c r="K833" s="235">
        <v>64</v>
      </c>
      <c r="L833" s="235">
        <f t="shared" si="429"/>
        <v>136</v>
      </c>
      <c r="M833" s="235">
        <v>7</v>
      </c>
      <c r="N833" s="235">
        <v>7</v>
      </c>
      <c r="O833" s="248">
        <v>42048</v>
      </c>
      <c r="P833" s="136">
        <v>6.99</v>
      </c>
      <c r="Q833" s="264">
        <v>42204</v>
      </c>
      <c r="V833" s="219">
        <f t="shared" si="444"/>
        <v>20.592793167867978</v>
      </c>
      <c r="X833">
        <v>15.55</v>
      </c>
      <c r="AB833" s="220">
        <f t="shared" si="445"/>
        <v>6.9011100614302201</v>
      </c>
      <c r="AD833" s="221">
        <f t="shared" si="446"/>
        <v>101143.42641247038</v>
      </c>
      <c r="AF833" s="220">
        <f t="shared" si="447"/>
        <v>40.255083712163213</v>
      </c>
      <c r="AH833" s="220">
        <f t="shared" si="448"/>
        <v>45.139138497603952</v>
      </c>
      <c r="AJ833">
        <v>3.98</v>
      </c>
      <c r="AK833" s="285" t="s">
        <v>8401</v>
      </c>
      <c r="AL833" s="260">
        <v>170</v>
      </c>
      <c r="AN833" s="235">
        <v>65</v>
      </c>
      <c r="AO833" s="242">
        <v>42069</v>
      </c>
      <c r="AP833" s="235">
        <v>106</v>
      </c>
      <c r="AQ833" s="242">
        <v>42110</v>
      </c>
      <c r="AR833" s="136">
        <v>132</v>
      </c>
      <c r="AS833" s="297">
        <f t="shared" si="443"/>
        <v>132</v>
      </c>
      <c r="AT833" s="290">
        <v>42136</v>
      </c>
      <c r="AU833" s="298"/>
      <c r="BF833" s="282">
        <v>-2.2103579044342041</v>
      </c>
      <c r="BG833" s="283">
        <v>42234</v>
      </c>
      <c r="BL833" s="296">
        <v>65.342514038085938</v>
      </c>
      <c r="BM833" s="283">
        <v>42234</v>
      </c>
      <c r="BP833" s="282">
        <v>3.7773010730743408</v>
      </c>
      <c r="BQ833" s="283">
        <v>42234</v>
      </c>
      <c r="BR833" s="282">
        <v>51.155757904052734</v>
      </c>
      <c r="BS833" s="283">
        <v>42234</v>
      </c>
      <c r="BT833" s="282">
        <v>17.143449783325195</v>
      </c>
      <c r="BU833" s="283">
        <v>42234</v>
      </c>
      <c r="BV833" s="282">
        <v>11.092583656311035</v>
      </c>
      <c r="BW833" s="283">
        <v>42234</v>
      </c>
      <c r="BX833" s="282">
        <v>5.2762069702148437</v>
      </c>
      <c r="BY833" s="283">
        <v>42234</v>
      </c>
      <c r="CB833" s="267">
        <v>3.57</v>
      </c>
      <c r="CD833" s="282">
        <v>8.6206896551724146</v>
      </c>
      <c r="CE833" s="291" t="s">
        <v>8401</v>
      </c>
      <c r="CH833" s="136">
        <v>2</v>
      </c>
      <c r="CI833" s="136">
        <v>3</v>
      </c>
      <c r="CL833" s="136">
        <v>2</v>
      </c>
      <c r="CM833" s="259">
        <v>42161</v>
      </c>
      <c r="CN833" s="137" t="s">
        <v>8406</v>
      </c>
    </row>
    <row r="834" spans="1:94">
      <c r="A834" s="258">
        <v>1379</v>
      </c>
      <c r="B834" s="235">
        <v>503</v>
      </c>
      <c r="C834" s="235" t="s">
        <v>7779</v>
      </c>
      <c r="D834" s="235" t="s">
        <v>7577</v>
      </c>
      <c r="E834" s="235" t="s">
        <v>7779</v>
      </c>
      <c r="F834" s="235" t="s">
        <v>8602</v>
      </c>
      <c r="G834" s="235" t="str">
        <f t="shared" si="437"/>
        <v>Rapsodyn</v>
      </c>
      <c r="H834" s="235" t="s">
        <v>267</v>
      </c>
      <c r="I834" s="235">
        <v>2</v>
      </c>
      <c r="J834" s="235">
        <v>9150</v>
      </c>
      <c r="K834" s="235">
        <v>65</v>
      </c>
      <c r="L834" s="235">
        <f t="shared" si="429"/>
        <v>137</v>
      </c>
      <c r="M834" s="235">
        <v>7</v>
      </c>
      <c r="N834" s="235">
        <v>7</v>
      </c>
      <c r="O834" s="248">
        <v>42048</v>
      </c>
      <c r="P834" s="136">
        <v>6.57</v>
      </c>
      <c r="Q834" s="264">
        <v>42204</v>
      </c>
      <c r="V834" s="219">
        <f t="shared" si="444"/>
        <v>20.38097693461923</v>
      </c>
      <c r="X834">
        <v>15.55</v>
      </c>
      <c r="AB834" s="220">
        <f t="shared" si="445"/>
        <v>7.2229919853991591</v>
      </c>
      <c r="AD834" s="221">
        <f t="shared" si="446"/>
        <v>86921.731734728863</v>
      </c>
      <c r="AF834" s="220">
        <f t="shared" si="447"/>
        <v>40.679370451853103</v>
      </c>
      <c r="AH834" s="220">
        <f t="shared" si="448"/>
        <v>45.614902951169661</v>
      </c>
      <c r="AJ834">
        <v>4.68</v>
      </c>
      <c r="AK834" s="285" t="s">
        <v>8399</v>
      </c>
      <c r="AL834" s="260">
        <v>165</v>
      </c>
      <c r="AN834" s="235">
        <v>72</v>
      </c>
      <c r="AO834" s="242">
        <v>42076</v>
      </c>
      <c r="AP834" s="235">
        <v>106</v>
      </c>
      <c r="AQ834" s="242">
        <v>42110</v>
      </c>
      <c r="AR834" s="136">
        <v>121</v>
      </c>
      <c r="AS834" s="297">
        <f t="shared" si="443"/>
        <v>121</v>
      </c>
      <c r="AT834" s="290">
        <v>42125</v>
      </c>
      <c r="AU834" s="298"/>
      <c r="BF834" s="282">
        <v>-0.2292419970035553</v>
      </c>
      <c r="BG834" s="283">
        <v>42235</v>
      </c>
      <c r="BL834" s="296">
        <v>61.504909515380859</v>
      </c>
      <c r="BM834" s="283">
        <v>42235</v>
      </c>
      <c r="BP834" s="282">
        <v>3.3997650146484375</v>
      </c>
      <c r="BQ834" s="283">
        <v>42235</v>
      </c>
      <c r="BR834" s="282">
        <v>50.101505279541016</v>
      </c>
      <c r="BS834" s="283">
        <v>42235</v>
      </c>
      <c r="BT834" s="282">
        <v>17.755908966064453</v>
      </c>
      <c r="BU834" s="283">
        <v>42235</v>
      </c>
      <c r="BV834" s="282">
        <v>11.913495063781738</v>
      </c>
      <c r="BW834" s="283">
        <v>42235</v>
      </c>
      <c r="BX834" s="282">
        <v>5.4903640747070312</v>
      </c>
      <c r="BY834" s="283">
        <v>42235</v>
      </c>
      <c r="CB834" s="267">
        <v>3.6</v>
      </c>
      <c r="CD834" s="282">
        <v>1.7543859649122899</v>
      </c>
      <c r="CE834" s="291" t="s">
        <v>8399</v>
      </c>
      <c r="CH834" s="136">
        <v>1</v>
      </c>
      <c r="CI834" s="136">
        <v>2</v>
      </c>
      <c r="CL834" s="136">
        <v>2</v>
      </c>
      <c r="CM834" s="259">
        <v>42161</v>
      </c>
      <c r="CN834" s="137" t="s">
        <v>8406</v>
      </c>
    </row>
    <row r="835" spans="1:94">
      <c r="A835" s="258">
        <v>1380</v>
      </c>
      <c r="B835" s="235">
        <v>504</v>
      </c>
      <c r="C835" s="235" t="s">
        <v>7755</v>
      </c>
      <c r="D835" s="235" t="s">
        <v>7563</v>
      </c>
      <c r="E835" s="235" t="s">
        <v>7755</v>
      </c>
      <c r="F835" s="235" t="s">
        <v>8601</v>
      </c>
      <c r="G835" s="235" t="str">
        <f t="shared" si="437"/>
        <v>Rapsodyn</v>
      </c>
      <c r="H835" s="235" t="s">
        <v>267</v>
      </c>
      <c r="I835" s="235">
        <v>2</v>
      </c>
      <c r="J835" s="235">
        <v>9127</v>
      </c>
      <c r="K835" s="235">
        <v>66</v>
      </c>
      <c r="L835" s="235">
        <f t="shared" si="429"/>
        <v>138</v>
      </c>
      <c r="M835" s="235">
        <v>7</v>
      </c>
      <c r="N835" s="236">
        <v>9</v>
      </c>
      <c r="O835" s="248">
        <v>42048</v>
      </c>
      <c r="P835" s="136">
        <v>4.95</v>
      </c>
      <c r="Q835" s="264">
        <v>42204</v>
      </c>
      <c r="V835" s="219">
        <f t="shared" si="444"/>
        <v>14.429183026808428</v>
      </c>
      <c r="X835">
        <v>15.55</v>
      </c>
      <c r="AB835" s="220">
        <f t="shared" si="445"/>
        <v>5.5168627700739616</v>
      </c>
      <c r="AD835" s="221">
        <f t="shared" si="446"/>
        <v>66806.881701001534</v>
      </c>
      <c r="AF835" s="220">
        <f t="shared" si="447"/>
        <v>29.996289883749689</v>
      </c>
      <c r="AH835" s="220">
        <f t="shared" si="448"/>
        <v>33.635669302253518</v>
      </c>
      <c r="AJ835">
        <v>4.49</v>
      </c>
      <c r="AK835" s="285" t="s">
        <v>8399</v>
      </c>
      <c r="AL835" s="260">
        <v>165</v>
      </c>
      <c r="AN835" s="235">
        <v>72</v>
      </c>
      <c r="AO835" s="242">
        <v>42076</v>
      </c>
      <c r="AP835" s="235">
        <v>110</v>
      </c>
      <c r="AQ835" s="242">
        <v>42114</v>
      </c>
      <c r="AR835" s="136">
        <v>137</v>
      </c>
      <c r="AS835" s="297">
        <f t="shared" si="443"/>
        <v>137</v>
      </c>
      <c r="AT835" s="290">
        <v>42141</v>
      </c>
      <c r="AU835" s="298"/>
      <c r="BF835" s="282">
        <v>-3.9510860443115234</v>
      </c>
      <c r="BG835" s="283">
        <v>42235</v>
      </c>
      <c r="BL835" s="296">
        <v>61.502105712890625</v>
      </c>
      <c r="BM835" s="283">
        <v>42235</v>
      </c>
      <c r="BP835" s="282">
        <v>3.7072091102600098</v>
      </c>
      <c r="BQ835" s="283">
        <v>42235</v>
      </c>
      <c r="BR835" s="282">
        <v>48.103225708007813</v>
      </c>
      <c r="BS835" s="283">
        <v>42235</v>
      </c>
      <c r="BT835" s="282">
        <v>18.391817092895508</v>
      </c>
      <c r="BU835" s="283">
        <v>42235</v>
      </c>
      <c r="BV835" s="282">
        <v>57.510231018066406</v>
      </c>
      <c r="BW835" s="283">
        <v>42235</v>
      </c>
      <c r="BX835" s="282">
        <v>5.693359375</v>
      </c>
      <c r="BY835" s="283">
        <v>42235</v>
      </c>
      <c r="CB835" s="267">
        <v>3.72</v>
      </c>
      <c r="CD835" s="282">
        <v>3.8461538461538494</v>
      </c>
      <c r="CE835" s="291" t="s">
        <v>8399</v>
      </c>
      <c r="CH835" s="136">
        <v>1</v>
      </c>
      <c r="CI835" s="136">
        <v>4</v>
      </c>
      <c r="CL835" s="136">
        <v>6</v>
      </c>
      <c r="CM835" s="259">
        <v>42161</v>
      </c>
      <c r="CN835" s="137" t="s">
        <v>8406</v>
      </c>
    </row>
    <row r="836" spans="1:94">
      <c r="A836" s="258">
        <v>1381</v>
      </c>
      <c r="B836" s="235">
        <v>505</v>
      </c>
      <c r="C836" s="235" t="s">
        <v>7663</v>
      </c>
      <c r="D836" s="235" t="s">
        <v>7493</v>
      </c>
      <c r="E836" s="235" t="s">
        <v>7663</v>
      </c>
      <c r="F836" s="235" t="s">
        <v>8600</v>
      </c>
      <c r="G836" s="235" t="str">
        <f t="shared" si="437"/>
        <v>Rapsodyn</v>
      </c>
      <c r="H836" s="235" t="s">
        <v>267</v>
      </c>
      <c r="I836" s="235">
        <v>2</v>
      </c>
      <c r="J836" s="235">
        <v>9046</v>
      </c>
      <c r="K836" s="235">
        <v>67</v>
      </c>
      <c r="L836" s="235">
        <f t="shared" si="429"/>
        <v>139</v>
      </c>
      <c r="M836" s="235">
        <v>7</v>
      </c>
      <c r="N836" s="235">
        <v>7</v>
      </c>
      <c r="O836" s="248">
        <v>42048</v>
      </c>
      <c r="P836" s="136">
        <v>5.32</v>
      </c>
      <c r="Q836" s="264">
        <v>42204</v>
      </c>
      <c r="V836" s="219">
        <f t="shared" si="444"/>
        <v>15.722089908543857</v>
      </c>
      <c r="X836">
        <v>15.55</v>
      </c>
      <c r="AB836" s="220">
        <f t="shared" si="445"/>
        <v>5.5835071875104099</v>
      </c>
      <c r="AD836" s="221">
        <f t="shared" si="446"/>
        <v>77195.485858357002</v>
      </c>
      <c r="AF836" s="220">
        <f t="shared" si="447"/>
        <v>31.341367258492941</v>
      </c>
      <c r="AH836" s="220">
        <f t="shared" si="448"/>
        <v>35.143941756551854</v>
      </c>
      <c r="AJ836">
        <v>4.0599999999999996</v>
      </c>
      <c r="AK836" s="285" t="s">
        <v>8400</v>
      </c>
      <c r="AL836" s="260">
        <v>160</v>
      </c>
      <c r="AN836" s="235">
        <v>65</v>
      </c>
      <c r="AO836" s="242">
        <v>42069</v>
      </c>
      <c r="AP836" s="235">
        <v>104</v>
      </c>
      <c r="AQ836" s="242">
        <v>42108</v>
      </c>
      <c r="AR836" s="136">
        <v>131</v>
      </c>
      <c r="AS836" s="297">
        <f t="shared" si="443"/>
        <v>131</v>
      </c>
      <c r="AT836" s="290">
        <v>42135</v>
      </c>
      <c r="AU836" s="298"/>
      <c r="BF836" s="282">
        <v>-1.7016639709472656</v>
      </c>
      <c r="BG836" s="283">
        <v>42234</v>
      </c>
      <c r="BL836" s="296">
        <v>63.825168609619141</v>
      </c>
      <c r="BM836" s="283">
        <v>42234</v>
      </c>
      <c r="BP836" s="282">
        <v>3.0449800491333008</v>
      </c>
      <c r="BQ836" s="283">
        <v>42234</v>
      </c>
      <c r="BR836" s="282">
        <v>50.164020538330078</v>
      </c>
      <c r="BS836" s="283">
        <v>42234</v>
      </c>
      <c r="BT836" s="282">
        <v>17.815135955810547</v>
      </c>
      <c r="BU836" s="283">
        <v>42234</v>
      </c>
      <c r="BV836" s="282">
        <v>13.871923446655273</v>
      </c>
      <c r="BW836" s="283">
        <v>42234</v>
      </c>
      <c r="BX836" s="282">
        <v>5.4949417114257812</v>
      </c>
      <c r="BY836" s="283">
        <v>42234</v>
      </c>
      <c r="CB836" s="267">
        <v>3.76</v>
      </c>
      <c r="CD836" s="282">
        <v>6.5217391304347796</v>
      </c>
      <c r="CE836" s="291" t="s">
        <v>8400</v>
      </c>
      <c r="CH836" s="136">
        <v>1</v>
      </c>
      <c r="CI836" s="136">
        <v>3</v>
      </c>
      <c r="CL836" s="136">
        <v>1</v>
      </c>
      <c r="CM836" s="259">
        <v>42161</v>
      </c>
      <c r="CN836" s="137" t="s">
        <v>8406</v>
      </c>
    </row>
    <row r="837" spans="1:94">
      <c r="A837" s="258">
        <v>1382</v>
      </c>
      <c r="B837" s="235">
        <v>506</v>
      </c>
      <c r="C837" s="346" t="s">
        <v>8238</v>
      </c>
      <c r="D837" s="235" t="s">
        <v>7562</v>
      </c>
      <c r="E837" s="235" t="s">
        <v>8461</v>
      </c>
      <c r="F837" s="235" t="s">
        <v>8469</v>
      </c>
      <c r="G837" s="235" t="str">
        <f t="shared" si="437"/>
        <v>Rapsodyn</v>
      </c>
      <c r="H837" s="235" t="s">
        <v>267</v>
      </c>
      <c r="I837" s="235">
        <v>2</v>
      </c>
      <c r="J837" s="235">
        <v>9359</v>
      </c>
      <c r="K837" s="235">
        <v>68</v>
      </c>
      <c r="L837" s="235">
        <f t="shared" si="429"/>
        <v>140</v>
      </c>
      <c r="M837" s="235">
        <v>7</v>
      </c>
      <c r="N837" s="235">
        <v>5</v>
      </c>
      <c r="O837" s="248">
        <v>42048</v>
      </c>
      <c r="P837" t="s">
        <v>8379</v>
      </c>
      <c r="Q837" s="264">
        <v>42204</v>
      </c>
      <c r="R837" s="278">
        <v>10.113498175922173</v>
      </c>
      <c r="S837" s="190">
        <v>42185</v>
      </c>
      <c r="T837" s="277">
        <v>27.546201099990014</v>
      </c>
      <c r="U837" s="190">
        <v>42185</v>
      </c>
      <c r="V837" t="s">
        <v>8379</v>
      </c>
      <c r="X837">
        <v>15.55</v>
      </c>
      <c r="AB837" t="s">
        <v>8379</v>
      </c>
      <c r="AD837" t="s">
        <v>8379</v>
      </c>
      <c r="AF837" t="s">
        <v>8379</v>
      </c>
      <c r="AH837" t="s">
        <v>8379</v>
      </c>
      <c r="AJ837">
        <v>4.37</v>
      </c>
      <c r="AK837" s="285" t="s">
        <v>8400</v>
      </c>
      <c r="AL837" s="260">
        <v>165</v>
      </c>
      <c r="AN837" s="235">
        <v>75</v>
      </c>
      <c r="AO837" s="242">
        <v>42079</v>
      </c>
      <c r="AP837" s="235">
        <v>106</v>
      </c>
      <c r="AQ837" s="242">
        <v>42110</v>
      </c>
      <c r="AR837" s="136">
        <v>134</v>
      </c>
      <c r="AS837" s="297">
        <f t="shared" si="443"/>
        <v>134</v>
      </c>
      <c r="AT837" s="290">
        <v>42138</v>
      </c>
      <c r="AU837" s="298"/>
      <c r="BF837" s="282">
        <v>2.2667000070214272E-2</v>
      </c>
      <c r="BG837" s="283">
        <v>42234</v>
      </c>
      <c r="BL837" s="296">
        <v>61.070774078369141</v>
      </c>
      <c r="BM837" s="283">
        <v>42234</v>
      </c>
      <c r="BP837" s="282">
        <v>3.5713849067687988</v>
      </c>
      <c r="BQ837" s="283">
        <v>42234</v>
      </c>
      <c r="BR837" s="282">
        <v>49.859935760498047</v>
      </c>
      <c r="BS837" s="283">
        <v>42234</v>
      </c>
      <c r="BT837" s="282">
        <v>17.462543487548828</v>
      </c>
      <c r="BU837" s="283">
        <v>42234</v>
      </c>
      <c r="BV837" s="282">
        <v>15.095373153686523</v>
      </c>
      <c r="BW837" s="283">
        <v>42234</v>
      </c>
      <c r="BX837" s="282">
        <v>5.375244140625</v>
      </c>
      <c r="BY837" s="283">
        <v>42234</v>
      </c>
      <c r="CB837" s="267">
        <v>3.98</v>
      </c>
      <c r="CD837" s="282">
        <v>6.3829787234042508</v>
      </c>
      <c r="CE837" s="291" t="s">
        <v>8400</v>
      </c>
      <c r="CH837" s="136">
        <v>1</v>
      </c>
      <c r="CI837" s="136">
        <v>4</v>
      </c>
      <c r="CL837" s="136">
        <v>3</v>
      </c>
      <c r="CM837" s="259">
        <v>42161</v>
      </c>
      <c r="CP837" s="345" t="s">
        <v>8412</v>
      </c>
    </row>
    <row r="838" spans="1:94">
      <c r="A838" s="258">
        <v>1384</v>
      </c>
      <c r="B838" s="235">
        <v>508</v>
      </c>
      <c r="C838" s="235" t="s">
        <v>7685</v>
      </c>
      <c r="D838" s="235" t="s">
        <v>7512</v>
      </c>
      <c r="E838" s="235" t="s">
        <v>7685</v>
      </c>
      <c r="F838" s="235" t="s">
        <v>8599</v>
      </c>
      <c r="G838" s="235" t="str">
        <f t="shared" si="437"/>
        <v>Rapsodyn</v>
      </c>
      <c r="H838" s="235" t="s">
        <v>267</v>
      </c>
      <c r="I838" s="235">
        <v>2</v>
      </c>
      <c r="J838" s="235">
        <v>9067</v>
      </c>
      <c r="K838" s="235">
        <v>70</v>
      </c>
      <c r="L838" s="235">
        <f t="shared" si="429"/>
        <v>142</v>
      </c>
      <c r="M838" s="235">
        <v>7</v>
      </c>
      <c r="N838" s="235">
        <v>7</v>
      </c>
      <c r="O838" s="248">
        <v>42048</v>
      </c>
      <c r="P838" s="136">
        <v>5.45</v>
      </c>
      <c r="Q838" s="264">
        <v>42204</v>
      </c>
      <c r="V838" s="219">
        <f>+BR838*AF838/100</f>
        <v>15.726267991555812</v>
      </c>
      <c r="X838">
        <v>15.55</v>
      </c>
      <c r="AB838" s="220">
        <f>+AF838*BT838/100</f>
        <v>5.9044585546524857</v>
      </c>
      <c r="AD838" s="221">
        <f>+(AF838/AJ838)*10000</f>
        <v>71672.942714876073</v>
      </c>
      <c r="AF838" s="220">
        <f>($P838/$X838)*(((100-$CD838)/100*(100-2)/100))*100</f>
        <v>32.539515992553738</v>
      </c>
      <c r="AH838" s="220">
        <f>($P838/$X838)*(((100-$CD838)/(100-9)*(100-2)/(100-2))*100)</f>
        <v>36.487459063191004</v>
      </c>
      <c r="AJ838">
        <v>4.54</v>
      </c>
      <c r="AK838" s="285" t="s">
        <v>8403</v>
      </c>
      <c r="AL838" s="260">
        <v>170</v>
      </c>
      <c r="AN838" s="235">
        <v>70</v>
      </c>
      <c r="AO838" s="242">
        <v>42074</v>
      </c>
      <c r="AP838" s="235">
        <v>104</v>
      </c>
      <c r="AQ838" s="242">
        <v>42108</v>
      </c>
      <c r="AR838" s="136">
        <v>131</v>
      </c>
      <c r="AS838" s="297">
        <f t="shared" si="443"/>
        <v>131</v>
      </c>
      <c r="AT838" s="290">
        <v>42135</v>
      </c>
      <c r="AU838" s="298"/>
      <c r="BF838" s="282">
        <v>-1.5195660591125488</v>
      </c>
      <c r="BG838" s="283">
        <v>42235</v>
      </c>
      <c r="BL838" s="296">
        <v>64.515861511230469</v>
      </c>
      <c r="BM838" s="283">
        <v>42235</v>
      </c>
      <c r="BP838" s="282">
        <v>3.6589219570159912</v>
      </c>
      <c r="BQ838" s="283">
        <v>42235</v>
      </c>
      <c r="BR838" s="282">
        <v>48.329753875732422</v>
      </c>
      <c r="BS838" s="283">
        <v>42235</v>
      </c>
      <c r="BT838" s="282">
        <v>18.145502090454102</v>
      </c>
      <c r="BU838" s="283">
        <v>42235</v>
      </c>
      <c r="BV838" s="282">
        <v>13.32407283782959</v>
      </c>
      <c r="BW838" s="283">
        <v>42235</v>
      </c>
      <c r="BX838" s="282">
        <v>5.4115982055664062</v>
      </c>
      <c r="BY838" s="283">
        <v>42235</v>
      </c>
      <c r="CB838" s="267">
        <v>3.51</v>
      </c>
      <c r="CD838" s="281">
        <v>5.2631578947368389</v>
      </c>
      <c r="CE838" s="291" t="s">
        <v>8403</v>
      </c>
      <c r="CH838" s="136">
        <v>3</v>
      </c>
      <c r="CI838" s="136">
        <v>4</v>
      </c>
      <c r="CL838" s="136">
        <v>3</v>
      </c>
      <c r="CM838" s="259">
        <v>42161</v>
      </c>
      <c r="CN838" s="137" t="s">
        <v>8406</v>
      </c>
    </row>
    <row r="839" spans="1:94">
      <c r="A839" s="258">
        <v>1387</v>
      </c>
      <c r="B839" s="235">
        <v>511</v>
      </c>
      <c r="C839" s="235" t="s">
        <v>7576</v>
      </c>
      <c r="D839" s="235"/>
      <c r="E839" s="235"/>
      <c r="F839" s="235"/>
      <c r="G839" s="235"/>
      <c r="H839" s="235" t="s">
        <v>267</v>
      </c>
      <c r="I839" s="235">
        <v>2</v>
      </c>
      <c r="K839" s="235">
        <v>73</v>
      </c>
      <c r="L839" s="235">
        <f t="shared" si="429"/>
        <v>145</v>
      </c>
      <c r="M839" s="235">
        <v>7</v>
      </c>
      <c r="O839" s="248">
        <v>42048</v>
      </c>
      <c r="V839" s="219"/>
      <c r="X839">
        <v>15.55</v>
      </c>
      <c r="AB839" s="220"/>
      <c r="AD839" s="221"/>
      <c r="AF839" s="220"/>
      <c r="AH839" s="220"/>
      <c r="AJ839" s="286"/>
      <c r="AK839" s="285"/>
      <c r="AL839" s="260"/>
      <c r="AN839" s="235">
        <v>70</v>
      </c>
      <c r="AO839" s="242">
        <v>42074</v>
      </c>
      <c r="AP839" s="235">
        <v>106</v>
      </c>
      <c r="AQ839" s="242">
        <v>42110</v>
      </c>
      <c r="AS839" s="297"/>
      <c r="AT839" s="290"/>
      <c r="AU839" s="298"/>
      <c r="BF839" s="282"/>
      <c r="BG839" s="235"/>
      <c r="BL839" s="296"/>
      <c r="BM839" s="235"/>
      <c r="BP839" s="282"/>
      <c r="BQ839" s="235"/>
      <c r="BR839" s="282"/>
      <c r="BS839" s="235"/>
      <c r="BT839" s="282"/>
      <c r="BU839" s="235"/>
      <c r="BV839" s="282"/>
      <c r="BW839" s="235"/>
      <c r="BX839" s="282"/>
      <c r="BY839" s="235"/>
      <c r="CB839" s="267"/>
      <c r="CD839" s="282"/>
      <c r="CE839" s="291"/>
      <c r="CL839" s="136">
        <v>3</v>
      </c>
      <c r="CM839" s="259">
        <v>42161</v>
      </c>
    </row>
    <row r="840" spans="1:94">
      <c r="A840" s="258">
        <v>1388</v>
      </c>
      <c r="B840" s="235">
        <v>512</v>
      </c>
      <c r="C840" s="235" t="s">
        <v>7576</v>
      </c>
      <c r="D840" s="235"/>
      <c r="E840" s="235"/>
      <c r="F840" s="235"/>
      <c r="G840" s="235"/>
      <c r="H840" s="235" t="s">
        <v>267</v>
      </c>
      <c r="I840" s="235">
        <v>2</v>
      </c>
      <c r="K840" s="235">
        <v>73</v>
      </c>
      <c r="L840" s="235">
        <f t="shared" si="429"/>
        <v>145</v>
      </c>
      <c r="M840" s="235">
        <v>8</v>
      </c>
      <c r="O840" s="248">
        <v>42048</v>
      </c>
      <c r="V840" s="219"/>
      <c r="X840">
        <v>15.55</v>
      </c>
      <c r="AB840" s="220"/>
      <c r="AD840" s="221"/>
      <c r="AF840" s="220"/>
      <c r="AH840" s="220"/>
      <c r="AJ840" s="286"/>
      <c r="AK840" s="285"/>
      <c r="AL840" s="260"/>
      <c r="AN840" s="235">
        <v>70</v>
      </c>
      <c r="AO840" s="242">
        <v>42074</v>
      </c>
      <c r="AP840" s="235">
        <v>106</v>
      </c>
      <c r="AQ840" s="242">
        <v>42110</v>
      </c>
      <c r="AS840" s="297"/>
      <c r="AT840" s="290"/>
      <c r="AU840" s="298"/>
      <c r="BF840" s="282"/>
      <c r="BG840" s="235"/>
      <c r="BL840" s="296"/>
      <c r="BM840" s="235"/>
      <c r="BP840" s="282"/>
      <c r="BQ840" s="235"/>
      <c r="BR840" s="282"/>
      <c r="BS840" s="235"/>
      <c r="BT840" s="282"/>
      <c r="BU840" s="235"/>
      <c r="BV840" s="282"/>
      <c r="BW840" s="235"/>
      <c r="BX840" s="282"/>
      <c r="BY840" s="235"/>
      <c r="CB840" s="267"/>
      <c r="CD840" s="282"/>
      <c r="CE840" s="291"/>
      <c r="CL840" s="136">
        <v>4</v>
      </c>
      <c r="CM840" s="259">
        <v>42161</v>
      </c>
    </row>
    <row r="841" spans="1:94">
      <c r="A841" s="258">
        <v>1391</v>
      </c>
      <c r="B841" s="235">
        <v>515</v>
      </c>
      <c r="C841" s="235" t="s">
        <v>7733</v>
      </c>
      <c r="D841" s="235" t="s">
        <v>7556</v>
      </c>
      <c r="E841" s="235" t="s">
        <v>7733</v>
      </c>
      <c r="F841" s="235" t="s">
        <v>8598</v>
      </c>
      <c r="G841" s="235" t="str">
        <f t="shared" ref="G841:G851" si="449">IF(MID(C841,1,3)="BGA","Complement","Rapsodyn")</f>
        <v>Rapsodyn</v>
      </c>
      <c r="H841" s="235" t="s">
        <v>267</v>
      </c>
      <c r="I841" s="235">
        <v>2</v>
      </c>
      <c r="J841" s="235">
        <v>9114</v>
      </c>
      <c r="K841" s="235">
        <v>70</v>
      </c>
      <c r="L841" s="235">
        <f t="shared" ref="L841:L879" si="450">72+K841</f>
        <v>142</v>
      </c>
      <c r="M841" s="235">
        <v>8</v>
      </c>
      <c r="N841" s="235">
        <v>7</v>
      </c>
      <c r="O841" s="248">
        <v>42048</v>
      </c>
      <c r="P841" s="136">
        <v>5.42</v>
      </c>
      <c r="Q841" s="264">
        <v>42204</v>
      </c>
      <c r="V841" s="219">
        <f t="shared" ref="V841:V851" si="451">+BR841*AF841/100</f>
        <v>15.608768866130116</v>
      </c>
      <c r="X841">
        <v>15.55</v>
      </c>
      <c r="AB841" s="220">
        <f t="shared" ref="AB841:AB851" si="452">+AF841*BT841/100</f>
        <v>5.6146055399122217</v>
      </c>
      <c r="AD841" s="221">
        <f t="shared" ref="AD841:AD851" si="453">+(AF841/AJ841)*10000</f>
        <v>74398.105679955042</v>
      </c>
      <c r="AF841" s="220">
        <f t="shared" ref="AF841:AF851" si="454">($P841/$X841)*(((100-$CD841)/100*(100-2)/100))*100</f>
        <v>31.842389231020757</v>
      </c>
      <c r="AH841" s="220">
        <f t="shared" ref="AH841:AH851" si="455">($P841/$X841)*(((100-$CD841)/(100-9)*(100-2)/(100-2))*100)</f>
        <v>35.705751548576764</v>
      </c>
      <c r="AJ841">
        <v>4.28</v>
      </c>
      <c r="AK841" s="285" t="s">
        <v>8403</v>
      </c>
      <c r="AL841" s="260">
        <v>165</v>
      </c>
      <c r="AN841" s="235">
        <v>70</v>
      </c>
      <c r="AO841" s="242">
        <v>42074</v>
      </c>
      <c r="AP841" s="235">
        <v>106</v>
      </c>
      <c r="AQ841" s="242">
        <v>42110</v>
      </c>
      <c r="AR841" s="136">
        <v>133</v>
      </c>
      <c r="AS841" s="297">
        <f t="shared" ref="AS841:AS851" si="456">IF(AR841=0,,AR841)</f>
        <v>133</v>
      </c>
      <c r="AT841" s="290">
        <v>42137</v>
      </c>
      <c r="AU841" s="298"/>
      <c r="BF841" s="282">
        <v>-1.8268389701843262</v>
      </c>
      <c r="BG841" s="283">
        <v>42235</v>
      </c>
      <c r="BL841" s="296">
        <v>59.696456909179688</v>
      </c>
      <c r="BM841" s="283">
        <v>42235</v>
      </c>
      <c r="BP841" s="282">
        <v>3.7051188945770264</v>
      </c>
      <c r="BQ841" s="283">
        <v>42235</v>
      </c>
      <c r="BR841" s="282">
        <v>49.018836975097656</v>
      </c>
      <c r="BS841" s="283">
        <v>42235</v>
      </c>
      <c r="BT841" s="282">
        <v>17.632488250732422</v>
      </c>
      <c r="BU841" s="283">
        <v>42235</v>
      </c>
      <c r="BV841" s="282">
        <v>13.397699356079102</v>
      </c>
      <c r="BW841" s="283">
        <v>42235</v>
      </c>
      <c r="BX841" s="282">
        <v>5.3144454956054687</v>
      </c>
      <c r="BY841" s="283">
        <v>42235</v>
      </c>
      <c r="CB841" s="267">
        <v>3.24</v>
      </c>
      <c r="CD841" s="282">
        <v>6.7796610169491585</v>
      </c>
      <c r="CE841" s="291" t="s">
        <v>8403</v>
      </c>
      <c r="CH841" s="136">
        <v>3</v>
      </c>
      <c r="CI841" s="136">
        <v>6</v>
      </c>
      <c r="CL841" s="136">
        <v>4</v>
      </c>
      <c r="CM841" s="259">
        <v>42161</v>
      </c>
      <c r="CN841" s="137" t="s">
        <v>8406</v>
      </c>
    </row>
    <row r="842" spans="1:94">
      <c r="A842" s="258">
        <v>1392</v>
      </c>
      <c r="B842" s="235">
        <v>516</v>
      </c>
      <c r="C842" s="235" t="s">
        <v>7735</v>
      </c>
      <c r="D842" s="235" t="s">
        <v>7558</v>
      </c>
      <c r="E842" s="235" t="s">
        <v>7735</v>
      </c>
      <c r="F842" s="235" t="s">
        <v>8597</v>
      </c>
      <c r="G842" s="235" t="str">
        <f t="shared" si="449"/>
        <v>Rapsodyn</v>
      </c>
      <c r="H842" s="235" t="s">
        <v>267</v>
      </c>
      <c r="I842" s="235">
        <v>2</v>
      </c>
      <c r="J842" s="235">
        <v>9115</v>
      </c>
      <c r="K842" s="235">
        <v>69</v>
      </c>
      <c r="L842" s="235">
        <f t="shared" si="450"/>
        <v>141</v>
      </c>
      <c r="M842" s="235">
        <v>8</v>
      </c>
      <c r="N842" s="235">
        <v>7</v>
      </c>
      <c r="O842" s="248">
        <v>42048</v>
      </c>
      <c r="P842" s="136">
        <v>4.62</v>
      </c>
      <c r="Q842" s="264">
        <v>42204</v>
      </c>
      <c r="V842" s="219">
        <f t="shared" si="451"/>
        <v>13.35458101598611</v>
      </c>
      <c r="X842">
        <v>15.55</v>
      </c>
      <c r="AB842" s="220">
        <f t="shared" si="452"/>
        <v>5.6057520171824766</v>
      </c>
      <c r="AD842" s="221">
        <f t="shared" si="453"/>
        <v>65699.836542372359</v>
      </c>
      <c r="AF842" s="220">
        <f t="shared" si="454"/>
        <v>27.52823151125402</v>
      </c>
      <c r="AH842" s="220">
        <f t="shared" si="455"/>
        <v>30.868167202572351</v>
      </c>
      <c r="AJ842">
        <v>4.1900000000000004</v>
      </c>
      <c r="AK842" s="285" t="s">
        <v>8403</v>
      </c>
      <c r="AL842" s="260">
        <v>175</v>
      </c>
      <c r="AN842" s="235">
        <v>72</v>
      </c>
      <c r="AO842" s="242">
        <v>42076</v>
      </c>
      <c r="AP842" s="235">
        <v>106</v>
      </c>
      <c r="AQ842" s="242">
        <v>42110</v>
      </c>
      <c r="AR842" s="136">
        <v>133</v>
      </c>
      <c r="AS842" s="297">
        <f t="shared" si="456"/>
        <v>133</v>
      </c>
      <c r="AT842" s="290">
        <v>42137</v>
      </c>
      <c r="AU842" s="298"/>
      <c r="BF842" s="282">
        <v>34.990272521972656</v>
      </c>
      <c r="BG842" s="283">
        <v>42235</v>
      </c>
      <c r="BL842" s="296">
        <v>59.134979248046875</v>
      </c>
      <c r="BM842" s="283">
        <v>42235</v>
      </c>
      <c r="BP842" s="282">
        <v>3.4811129570007324</v>
      </c>
      <c r="BQ842" s="283">
        <v>42235</v>
      </c>
      <c r="BR842" s="282">
        <v>48.512310028076172</v>
      </c>
      <c r="BS842" s="283">
        <v>42235</v>
      </c>
      <c r="BT842" s="282">
        <v>20.3636474609375</v>
      </c>
      <c r="BU842" s="283">
        <v>42235</v>
      </c>
      <c r="BV842" s="282">
        <v>64.100791931152344</v>
      </c>
      <c r="BW842" s="283">
        <v>42235</v>
      </c>
      <c r="BX842" s="282">
        <v>5.4124984741210938</v>
      </c>
      <c r="BY842" s="283">
        <v>42235</v>
      </c>
      <c r="CB842" s="267">
        <v>4.54</v>
      </c>
      <c r="CD842" s="282">
        <v>5.4545454545454515</v>
      </c>
      <c r="CE842" s="291" t="s">
        <v>8403</v>
      </c>
      <c r="CH842" s="136">
        <v>3</v>
      </c>
      <c r="CI842" s="136">
        <v>3</v>
      </c>
      <c r="CL842" s="136">
        <v>7</v>
      </c>
      <c r="CM842" s="259">
        <v>42161</v>
      </c>
      <c r="CN842" s="137" t="s">
        <v>8406</v>
      </c>
    </row>
    <row r="843" spans="1:94">
      <c r="A843" s="258">
        <v>1393</v>
      </c>
      <c r="B843" s="235">
        <v>517</v>
      </c>
      <c r="C843" s="235" t="s">
        <v>7764</v>
      </c>
      <c r="D843" s="235" t="s">
        <v>7841</v>
      </c>
      <c r="E843" s="235" t="s">
        <v>7764</v>
      </c>
      <c r="F843" s="235" t="s">
        <v>8596</v>
      </c>
      <c r="G843" s="235" t="str">
        <f t="shared" si="449"/>
        <v>Rapsodyn</v>
      </c>
      <c r="H843" s="235" t="s">
        <v>267</v>
      </c>
      <c r="I843" s="235">
        <v>2</v>
      </c>
      <c r="J843" s="235">
        <v>9135</v>
      </c>
      <c r="K843" s="235">
        <v>68</v>
      </c>
      <c r="L843" s="235">
        <f t="shared" si="450"/>
        <v>140</v>
      </c>
      <c r="M843" s="235">
        <v>8</v>
      </c>
      <c r="N843" s="235">
        <v>7</v>
      </c>
      <c r="O843" s="248">
        <v>42048</v>
      </c>
      <c r="P843" s="136">
        <v>6.38</v>
      </c>
      <c r="Q843" s="264">
        <v>42204</v>
      </c>
      <c r="V843" s="219">
        <f t="shared" si="451"/>
        <v>18.859158436054585</v>
      </c>
      <c r="X843">
        <v>15.55</v>
      </c>
      <c r="AB843" s="220">
        <f t="shared" si="452"/>
        <v>6.9329657030872216</v>
      </c>
      <c r="AD843" s="221">
        <f t="shared" si="453"/>
        <v>81486.811212018976</v>
      </c>
      <c r="AF843" s="220">
        <f t="shared" si="454"/>
        <v>38.054340836012862</v>
      </c>
      <c r="AH843" s="220">
        <f t="shared" si="455"/>
        <v>42.671384655766829</v>
      </c>
      <c r="AJ843">
        <v>4.67</v>
      </c>
      <c r="AK843" s="285" t="s">
        <v>8403</v>
      </c>
      <c r="AL843" s="260">
        <v>160</v>
      </c>
      <c r="AN843" s="235">
        <v>72</v>
      </c>
      <c r="AO843" s="242">
        <v>42076</v>
      </c>
      <c r="AP843" s="235">
        <v>104</v>
      </c>
      <c r="AQ843" s="242">
        <v>42108</v>
      </c>
      <c r="AR843" s="136">
        <v>130</v>
      </c>
      <c r="AS843" s="297">
        <f t="shared" si="456"/>
        <v>130</v>
      </c>
      <c r="AT843" s="290">
        <v>42134</v>
      </c>
      <c r="AU843" s="298"/>
      <c r="BF843" s="282">
        <v>-2.5647449493408203</v>
      </c>
      <c r="BG843" s="283">
        <v>42235</v>
      </c>
      <c r="BL843" s="296">
        <v>61.304481506347656</v>
      </c>
      <c r="BM843" s="283">
        <v>42235</v>
      </c>
      <c r="BP843" s="282">
        <v>3.7567620277404785</v>
      </c>
      <c r="BQ843" s="283">
        <v>42235</v>
      </c>
      <c r="BR843" s="282">
        <v>49.558494567871094</v>
      </c>
      <c r="BS843" s="283">
        <v>42235</v>
      </c>
      <c r="BT843" s="282">
        <v>18.218593597412109</v>
      </c>
      <c r="BU843" s="283">
        <v>42235</v>
      </c>
      <c r="BV843" s="282">
        <v>12.38034725189209</v>
      </c>
      <c r="BW843" s="283">
        <v>42235</v>
      </c>
      <c r="BX843" s="282">
        <v>5.3368759155273438</v>
      </c>
      <c r="BY843" s="283">
        <v>42235</v>
      </c>
      <c r="CB843" s="267">
        <v>3.61</v>
      </c>
      <c r="CD843" s="282">
        <v>5.3571428571428541</v>
      </c>
      <c r="CE843" s="291" t="s">
        <v>8403</v>
      </c>
      <c r="CH843" s="136">
        <v>2</v>
      </c>
      <c r="CI843" s="136">
        <v>2</v>
      </c>
      <c r="CL843" s="136">
        <v>2</v>
      </c>
      <c r="CM843" s="259">
        <v>42161</v>
      </c>
      <c r="CN843" s="137" t="s">
        <v>8406</v>
      </c>
    </row>
    <row r="844" spans="1:94">
      <c r="A844" s="258">
        <v>1394</v>
      </c>
      <c r="B844" s="235">
        <v>518</v>
      </c>
      <c r="C844" s="235" t="s">
        <v>7785</v>
      </c>
      <c r="D844" s="235" t="s">
        <v>7583</v>
      </c>
      <c r="E844" s="235" t="s">
        <v>7785</v>
      </c>
      <c r="F844" s="235" t="s">
        <v>8595</v>
      </c>
      <c r="G844" s="235" t="str">
        <f t="shared" si="449"/>
        <v>Rapsodyn</v>
      </c>
      <c r="H844" s="235" t="s">
        <v>267</v>
      </c>
      <c r="I844" s="235">
        <v>2</v>
      </c>
      <c r="J844" s="235">
        <v>9156</v>
      </c>
      <c r="K844" s="235">
        <v>67</v>
      </c>
      <c r="L844" s="235">
        <f t="shared" si="450"/>
        <v>139</v>
      </c>
      <c r="M844" s="235">
        <v>8</v>
      </c>
      <c r="N844" s="235">
        <v>5</v>
      </c>
      <c r="O844" s="248">
        <v>42048</v>
      </c>
      <c r="P844" s="136">
        <v>5.68</v>
      </c>
      <c r="Q844" s="264">
        <v>42204</v>
      </c>
      <c r="V844" s="219">
        <f t="shared" si="451"/>
        <v>16.569344767590398</v>
      </c>
      <c r="X844">
        <v>15.55</v>
      </c>
      <c r="AB844" s="220">
        <f t="shared" si="452"/>
        <v>6.843116636081886</v>
      </c>
      <c r="AD844" s="221">
        <f t="shared" si="453"/>
        <v>57684.085800959831</v>
      </c>
      <c r="AF844" s="220">
        <f t="shared" si="454"/>
        <v>34.495083308973982</v>
      </c>
      <c r="AH844" s="220">
        <f t="shared" si="455"/>
        <v>38.68029077032292</v>
      </c>
      <c r="AJ844">
        <v>5.98</v>
      </c>
      <c r="AK844" s="285" t="s">
        <v>8403</v>
      </c>
      <c r="AL844" s="260">
        <v>165</v>
      </c>
      <c r="AN844" s="235">
        <v>65</v>
      </c>
      <c r="AO844" s="242">
        <v>42069</v>
      </c>
      <c r="AP844" s="235">
        <v>104</v>
      </c>
      <c r="AQ844" s="242">
        <v>42108</v>
      </c>
      <c r="AR844" s="136">
        <v>127</v>
      </c>
      <c r="AS844" s="297">
        <f t="shared" si="456"/>
        <v>127</v>
      </c>
      <c r="AT844" s="290">
        <v>42131</v>
      </c>
      <c r="AU844" s="298"/>
      <c r="BF844" s="282">
        <v>-5.1152482032775879</v>
      </c>
      <c r="BG844" s="283">
        <v>42235</v>
      </c>
      <c r="BL844" s="296">
        <v>62.907695770263672</v>
      </c>
      <c r="BM844" s="283">
        <v>42235</v>
      </c>
      <c r="BP844" s="282">
        <v>3.7227001190185547</v>
      </c>
      <c r="BQ844" s="283">
        <v>42235</v>
      </c>
      <c r="BR844" s="282">
        <v>48.033931732177734</v>
      </c>
      <c r="BS844" s="283">
        <v>42235</v>
      </c>
      <c r="BT844" s="282">
        <v>19.837947845458984</v>
      </c>
      <c r="BU844" s="283">
        <v>42235</v>
      </c>
      <c r="BV844" s="282">
        <v>14.573486328125</v>
      </c>
      <c r="BW844" s="283">
        <v>42235</v>
      </c>
      <c r="BX844" s="282">
        <v>5.3112640380859375</v>
      </c>
      <c r="BY844" s="283">
        <v>42235</v>
      </c>
      <c r="CB844" s="267">
        <v>4.74</v>
      </c>
      <c r="CD844" s="282">
        <v>3.6363636363636398</v>
      </c>
      <c r="CE844" s="291" t="s">
        <v>8403</v>
      </c>
      <c r="CH844" s="136">
        <v>2</v>
      </c>
      <c r="CI844" s="136">
        <v>2</v>
      </c>
      <c r="CL844" s="136">
        <v>2</v>
      </c>
      <c r="CM844" s="259">
        <v>42161</v>
      </c>
      <c r="CN844" s="137" t="s">
        <v>8406</v>
      </c>
    </row>
    <row r="845" spans="1:94">
      <c r="A845" s="258">
        <v>1396</v>
      </c>
      <c r="B845" s="235">
        <v>520</v>
      </c>
      <c r="C845" s="235" t="s">
        <v>7695</v>
      </c>
      <c r="D845" s="235" t="s">
        <v>7521</v>
      </c>
      <c r="E845" s="235" t="s">
        <v>7695</v>
      </c>
      <c r="F845" s="235" t="s">
        <v>8594</v>
      </c>
      <c r="G845" s="235" t="str">
        <f t="shared" si="449"/>
        <v>Rapsodyn</v>
      </c>
      <c r="H845" s="235" t="s">
        <v>267</v>
      </c>
      <c r="I845" s="235">
        <v>2</v>
      </c>
      <c r="J845" s="235">
        <v>9077</v>
      </c>
      <c r="K845" s="235">
        <v>65</v>
      </c>
      <c r="L845" s="235">
        <f t="shared" si="450"/>
        <v>137</v>
      </c>
      <c r="M845" s="235">
        <v>8</v>
      </c>
      <c r="N845" s="235">
        <v>5</v>
      </c>
      <c r="O845" s="248">
        <v>42048</v>
      </c>
      <c r="P845" s="136">
        <v>7.08</v>
      </c>
      <c r="Q845" s="264">
        <v>42204</v>
      </c>
      <c r="V845" s="219">
        <f t="shared" si="451"/>
        <v>21.880006991452543</v>
      </c>
      <c r="X845">
        <v>15.55</v>
      </c>
      <c r="AB845" s="220">
        <f t="shared" si="452"/>
        <v>7.1661361735456799</v>
      </c>
      <c r="AD845" s="221">
        <f t="shared" si="453"/>
        <v>101026.26948977733</v>
      </c>
      <c r="AF845" s="220">
        <f t="shared" si="454"/>
        <v>42.936164533155363</v>
      </c>
      <c r="AH845" s="220">
        <f t="shared" si="455"/>
        <v>48.145508559268187</v>
      </c>
      <c r="AJ845">
        <v>4.25</v>
      </c>
      <c r="AK845" s="285" t="s">
        <v>8399</v>
      </c>
      <c r="AL845" s="260">
        <v>165</v>
      </c>
      <c r="AN845" s="235">
        <v>75</v>
      </c>
      <c r="AO845" s="242">
        <v>42079</v>
      </c>
      <c r="AP845" s="235">
        <v>110</v>
      </c>
      <c r="AQ845" s="242">
        <v>42114</v>
      </c>
      <c r="AR845" s="136">
        <v>136</v>
      </c>
      <c r="AS845" s="297">
        <f t="shared" si="456"/>
        <v>136</v>
      </c>
      <c r="AT845" s="290">
        <v>42140</v>
      </c>
      <c r="AU845" s="298"/>
      <c r="BF845" s="282">
        <v>-1.5037610530853271</v>
      </c>
      <c r="BG845" s="283">
        <v>42235</v>
      </c>
      <c r="BL845" s="296">
        <v>63.83709716796875</v>
      </c>
      <c r="BM845" s="283">
        <v>42235</v>
      </c>
      <c r="BP845" s="282">
        <v>2.9383130073547363</v>
      </c>
      <c r="BQ845" s="283">
        <v>42235</v>
      </c>
      <c r="BR845" s="282">
        <v>50.959388732910156</v>
      </c>
      <c r="BS845" s="283">
        <v>42235</v>
      </c>
      <c r="BT845" s="282">
        <v>16.690210342407227</v>
      </c>
      <c r="BU845" s="283">
        <v>42235</v>
      </c>
      <c r="BV845" s="282">
        <v>12.356133460998535</v>
      </c>
      <c r="BW845" s="283">
        <v>42235</v>
      </c>
      <c r="BX845" s="282">
        <v>5.2688217163085938</v>
      </c>
      <c r="BY845" s="283">
        <v>42235</v>
      </c>
      <c r="CB845" s="267">
        <v>3.61</v>
      </c>
      <c r="CD845" s="282">
        <v>3.7735849056603805</v>
      </c>
      <c r="CE845" s="291" t="s">
        <v>8399</v>
      </c>
      <c r="CH845" s="136">
        <v>3</v>
      </c>
      <c r="CI845" s="136">
        <v>3</v>
      </c>
      <c r="CL845" s="136">
        <v>2</v>
      </c>
      <c r="CM845" s="259">
        <v>42161</v>
      </c>
      <c r="CN845" s="137" t="s">
        <v>8406</v>
      </c>
    </row>
    <row r="846" spans="1:94">
      <c r="A846" s="258">
        <v>1398</v>
      </c>
      <c r="B846" s="235">
        <v>522</v>
      </c>
      <c r="C846" s="235" t="s">
        <v>7757</v>
      </c>
      <c r="D846" s="235" t="s">
        <v>7814</v>
      </c>
      <c r="E846" s="235" t="s">
        <v>7757</v>
      </c>
      <c r="F846" s="235" t="s">
        <v>8593</v>
      </c>
      <c r="G846" s="235" t="str">
        <f t="shared" si="449"/>
        <v>Rapsodyn</v>
      </c>
      <c r="H846" s="235" t="s">
        <v>267</v>
      </c>
      <c r="I846" s="235">
        <v>2</v>
      </c>
      <c r="J846" s="235">
        <v>9128</v>
      </c>
      <c r="K846" s="235">
        <v>63</v>
      </c>
      <c r="L846" s="235">
        <f t="shared" si="450"/>
        <v>135</v>
      </c>
      <c r="M846" s="235">
        <v>8</v>
      </c>
      <c r="N846" s="235">
        <v>7</v>
      </c>
      <c r="O846" s="248">
        <v>42048</v>
      </c>
      <c r="P846" s="136">
        <v>3.73</v>
      </c>
      <c r="Q846" s="264">
        <v>42204</v>
      </c>
      <c r="V846" s="219">
        <f t="shared" si="451"/>
        <v>10.582607352950752</v>
      </c>
      <c r="X846">
        <v>15.55</v>
      </c>
      <c r="AB846" s="220">
        <f t="shared" si="452"/>
        <v>4.6506792696275987</v>
      </c>
      <c r="AD846" s="221">
        <f t="shared" si="453"/>
        <v>50898.129788018581</v>
      </c>
      <c r="AF846" s="220">
        <f t="shared" si="454"/>
        <v>21.88619580884799</v>
      </c>
      <c r="AH846" s="220">
        <f t="shared" si="455"/>
        <v>24.541596556232328</v>
      </c>
      <c r="AJ846">
        <v>4.3</v>
      </c>
      <c r="AK846" s="285" t="s">
        <v>8401</v>
      </c>
      <c r="AL846" s="260">
        <v>190</v>
      </c>
      <c r="AN846" s="235">
        <v>72</v>
      </c>
      <c r="AO846" s="242">
        <v>42076</v>
      </c>
      <c r="AP846" s="235">
        <v>113</v>
      </c>
      <c r="AQ846" s="242">
        <v>42117</v>
      </c>
      <c r="AR846" s="136">
        <v>145</v>
      </c>
      <c r="AS846" s="297">
        <f t="shared" si="456"/>
        <v>145</v>
      </c>
      <c r="AT846" s="290">
        <v>42149</v>
      </c>
      <c r="AU846" s="298"/>
      <c r="BF846" s="282">
        <v>39.537269592285156</v>
      </c>
      <c r="BG846" s="283">
        <v>42234</v>
      </c>
      <c r="BL846" s="296">
        <v>59.033676147460938</v>
      </c>
      <c r="BM846" s="283">
        <v>42234</v>
      </c>
      <c r="BP846" s="282">
        <v>3.061168909072876</v>
      </c>
      <c r="BQ846" s="283">
        <v>42234</v>
      </c>
      <c r="BR846" s="282">
        <v>48.352886199951172</v>
      </c>
      <c r="BS846" s="283">
        <v>42234</v>
      </c>
      <c r="BT846" s="282">
        <v>21.249372482299805</v>
      </c>
      <c r="BU846" s="283">
        <v>42234</v>
      </c>
      <c r="BV846" s="282">
        <v>67.985603332519531</v>
      </c>
      <c r="BW846" s="283">
        <v>42234</v>
      </c>
      <c r="BX846" s="282">
        <v>5.3284912109375</v>
      </c>
      <c r="BY846" s="283">
        <v>42234</v>
      </c>
      <c r="CB846" s="267">
        <v>5.53</v>
      </c>
      <c r="CD846" s="282">
        <v>6.8965517241379226</v>
      </c>
      <c r="CE846" s="291" t="s">
        <v>8401</v>
      </c>
      <c r="CH846" s="136">
        <v>2</v>
      </c>
      <c r="CI846" s="136">
        <v>2</v>
      </c>
      <c r="CL846" s="136">
        <v>4</v>
      </c>
      <c r="CM846" s="259">
        <v>42161</v>
      </c>
      <c r="CN846" s="137" t="s">
        <v>8406</v>
      </c>
    </row>
    <row r="847" spans="1:94">
      <c r="A847" s="258">
        <v>1400</v>
      </c>
      <c r="B847" s="235">
        <v>524</v>
      </c>
      <c r="C847" s="235" t="s">
        <v>7643</v>
      </c>
      <c r="D847" s="235" t="s">
        <v>7475</v>
      </c>
      <c r="E847" s="235" t="s">
        <v>7643</v>
      </c>
      <c r="F847" s="235" t="s">
        <v>8592</v>
      </c>
      <c r="G847" s="235" t="str">
        <f t="shared" si="449"/>
        <v>Rapsodyn</v>
      </c>
      <c r="H847" s="235" t="s">
        <v>267</v>
      </c>
      <c r="I847" s="235">
        <v>2</v>
      </c>
      <c r="J847" s="235">
        <v>9031</v>
      </c>
      <c r="K847" s="235">
        <v>61</v>
      </c>
      <c r="L847" s="235">
        <f t="shared" si="450"/>
        <v>133</v>
      </c>
      <c r="M847" s="235">
        <v>8</v>
      </c>
      <c r="N847" s="235">
        <v>7</v>
      </c>
      <c r="O847" s="248">
        <v>42048</v>
      </c>
      <c r="P847" s="136">
        <v>4.18</v>
      </c>
      <c r="Q847" s="264">
        <v>42204</v>
      </c>
      <c r="V847" s="219">
        <f t="shared" si="451"/>
        <v>11.328380675680767</v>
      </c>
      <c r="X847">
        <v>15.55</v>
      </c>
      <c r="AB847" s="220">
        <f t="shared" si="452"/>
        <v>4.9351395198907877</v>
      </c>
      <c r="AD847" s="221">
        <f t="shared" si="453"/>
        <v>47356.57150527466</v>
      </c>
      <c r="AF847" s="220">
        <f t="shared" si="454"/>
        <v>24.956913183279742</v>
      </c>
      <c r="AH847" s="220">
        <f t="shared" si="455"/>
        <v>27.98487685947493</v>
      </c>
      <c r="AJ847">
        <v>5.27</v>
      </c>
      <c r="AK847" s="285" t="s">
        <v>8402</v>
      </c>
      <c r="AL847" s="260">
        <v>150</v>
      </c>
      <c r="AN847" s="235">
        <v>79</v>
      </c>
      <c r="AO847" s="242">
        <v>42083</v>
      </c>
      <c r="AP847" s="235">
        <v>106</v>
      </c>
      <c r="AQ847" s="242">
        <v>42110</v>
      </c>
      <c r="AR847" s="136">
        <v>129</v>
      </c>
      <c r="AS847" s="297">
        <f t="shared" si="456"/>
        <v>129</v>
      </c>
      <c r="AT847" s="290">
        <v>42133</v>
      </c>
      <c r="AU847" s="298"/>
      <c r="BF847" s="282">
        <v>-1.1612759828567505</v>
      </c>
      <c r="BG847" s="283">
        <v>42234</v>
      </c>
      <c r="BL847" s="296">
        <v>60.098148345947266</v>
      </c>
      <c r="BM847" s="283">
        <v>42234</v>
      </c>
      <c r="BP847" s="282">
        <v>2.507673978805542</v>
      </c>
      <c r="BQ847" s="283">
        <v>42234</v>
      </c>
      <c r="BR847" s="282">
        <v>45.391754150390625</v>
      </c>
      <c r="BS847" s="283">
        <v>42234</v>
      </c>
      <c r="BT847" s="282">
        <v>19.774639129638672</v>
      </c>
      <c r="BU847" s="283">
        <v>42234</v>
      </c>
      <c r="BV847" s="282">
        <v>58.935791015625</v>
      </c>
      <c r="BW847" s="283">
        <v>42234</v>
      </c>
      <c r="BX847" s="282">
        <v>5.70556640625</v>
      </c>
      <c r="BY847" s="283">
        <v>42234</v>
      </c>
      <c r="CB847" s="267">
        <v>3.35</v>
      </c>
      <c r="CD847" s="282">
        <v>5.2631578947368389</v>
      </c>
      <c r="CE847" s="291" t="s">
        <v>8402</v>
      </c>
      <c r="CH847" s="136">
        <v>2</v>
      </c>
      <c r="CI847" s="136">
        <v>3</v>
      </c>
      <c r="CL847" s="136">
        <v>6</v>
      </c>
      <c r="CM847" s="259">
        <v>42161</v>
      </c>
      <c r="CN847" s="137" t="s">
        <v>8406</v>
      </c>
    </row>
    <row r="848" spans="1:94">
      <c r="A848" s="258">
        <v>1402</v>
      </c>
      <c r="B848" s="235">
        <v>526</v>
      </c>
      <c r="C848" s="235" t="s">
        <v>7730</v>
      </c>
      <c r="D848" s="235" t="s">
        <v>7553</v>
      </c>
      <c r="E848" s="235" t="s">
        <v>7730</v>
      </c>
      <c r="F848" s="235" t="s">
        <v>8591</v>
      </c>
      <c r="G848" s="235" t="str">
        <f t="shared" si="449"/>
        <v>Rapsodyn</v>
      </c>
      <c r="H848" s="235" t="s">
        <v>267</v>
      </c>
      <c r="I848" s="235">
        <v>2</v>
      </c>
      <c r="J848" s="235">
        <v>9112</v>
      </c>
      <c r="K848" s="235">
        <v>59</v>
      </c>
      <c r="L848" s="235">
        <f t="shared" si="450"/>
        <v>131</v>
      </c>
      <c r="M848" s="235">
        <v>8</v>
      </c>
      <c r="N848" s="235">
        <v>5</v>
      </c>
      <c r="O848" s="248">
        <v>42048</v>
      </c>
      <c r="P848" s="136">
        <v>6.12</v>
      </c>
      <c r="Q848" s="264">
        <v>42204</v>
      </c>
      <c r="V848" s="219">
        <f t="shared" si="451"/>
        <v>17.025673233107213</v>
      </c>
      <c r="X848">
        <v>15.55</v>
      </c>
      <c r="AB848" s="220">
        <f t="shared" si="452"/>
        <v>6.7452394772046897</v>
      </c>
      <c r="AD848" s="221">
        <f t="shared" si="453"/>
        <v>92861.584662986104</v>
      </c>
      <c r="AF848" s="220">
        <f t="shared" si="454"/>
        <v>35.658848510586665</v>
      </c>
      <c r="AH848" s="220">
        <f t="shared" si="455"/>
        <v>39.985252871256634</v>
      </c>
      <c r="AJ848">
        <v>3.84</v>
      </c>
      <c r="AK848" s="285" t="s">
        <v>8399</v>
      </c>
      <c r="AL848" s="260">
        <v>165</v>
      </c>
      <c r="AN848" s="235">
        <v>75</v>
      </c>
      <c r="AO848" s="242">
        <v>42079</v>
      </c>
      <c r="AP848" s="235">
        <v>106</v>
      </c>
      <c r="AQ848" s="242">
        <v>42110</v>
      </c>
      <c r="AR848" s="136">
        <v>134</v>
      </c>
      <c r="AS848" s="297">
        <f t="shared" si="456"/>
        <v>134</v>
      </c>
      <c r="AT848" s="290">
        <v>42138</v>
      </c>
      <c r="AU848" s="298"/>
      <c r="BF848" s="282">
        <v>-4.0573158264160156</v>
      </c>
      <c r="BG848" s="283">
        <v>42234</v>
      </c>
      <c r="BL848" s="296">
        <v>62.923202514648438</v>
      </c>
      <c r="BM848" s="283">
        <v>42234</v>
      </c>
      <c r="BP848" s="282">
        <v>3.5287199020385742</v>
      </c>
      <c r="BQ848" s="283">
        <v>42234</v>
      </c>
      <c r="BR848" s="282">
        <v>47.745998382568359</v>
      </c>
      <c r="BS848" s="283">
        <v>42234</v>
      </c>
      <c r="BT848" s="282">
        <v>18.916032791137695</v>
      </c>
      <c r="BU848" s="283">
        <v>42234</v>
      </c>
      <c r="BV848" s="282">
        <v>23.999755859375</v>
      </c>
      <c r="BW848" s="283">
        <v>42234</v>
      </c>
      <c r="BX848" s="282">
        <v>5.4213409423828125</v>
      </c>
      <c r="BY848" s="283">
        <v>42234</v>
      </c>
      <c r="CB848" s="267">
        <v>2.63</v>
      </c>
      <c r="CD848" s="282">
        <v>7.547169811320745</v>
      </c>
      <c r="CE848" s="291" t="s">
        <v>8399</v>
      </c>
      <c r="CH848" s="136">
        <v>1</v>
      </c>
      <c r="CI848" s="136">
        <v>4</v>
      </c>
      <c r="CL848" s="136">
        <v>2</v>
      </c>
      <c r="CM848" s="259">
        <v>42161</v>
      </c>
      <c r="CN848" s="137" t="s">
        <v>8406</v>
      </c>
    </row>
    <row r="849" spans="1:92">
      <c r="A849" s="258">
        <v>1404</v>
      </c>
      <c r="B849" s="235">
        <v>528</v>
      </c>
      <c r="C849" s="235" t="s">
        <v>7766</v>
      </c>
      <c r="D849" s="235" t="s">
        <v>7842</v>
      </c>
      <c r="E849" s="235" t="s">
        <v>7766</v>
      </c>
      <c r="F849" s="235" t="s">
        <v>8590</v>
      </c>
      <c r="G849" s="235" t="str">
        <f t="shared" si="449"/>
        <v>Rapsodyn</v>
      </c>
      <c r="H849" s="235" t="s">
        <v>267</v>
      </c>
      <c r="I849" s="235">
        <v>2</v>
      </c>
      <c r="J849" s="235">
        <v>9137</v>
      </c>
      <c r="K849" s="235">
        <v>57</v>
      </c>
      <c r="L849" s="235">
        <f t="shared" si="450"/>
        <v>129</v>
      </c>
      <c r="M849" s="235">
        <v>8</v>
      </c>
      <c r="N849" s="235">
        <v>7</v>
      </c>
      <c r="O849" s="248">
        <v>42048</v>
      </c>
      <c r="P849" s="136">
        <v>6.35</v>
      </c>
      <c r="Q849" s="264">
        <v>42204</v>
      </c>
      <c r="V849" s="219">
        <f t="shared" si="451"/>
        <v>20.021368872443194</v>
      </c>
      <c r="X849">
        <v>15.55</v>
      </c>
      <c r="AB849" s="220">
        <f t="shared" si="452"/>
        <v>6.3279528379614067</v>
      </c>
      <c r="AD849" s="221">
        <f t="shared" si="453"/>
        <v>81614.591106226886</v>
      </c>
      <c r="AF849" s="220">
        <f t="shared" si="454"/>
        <v>38.685316184351549</v>
      </c>
      <c r="AH849" s="220">
        <f t="shared" si="455"/>
        <v>43.378914761551414</v>
      </c>
      <c r="AJ849">
        <v>4.74</v>
      </c>
      <c r="AK849" s="285" t="s">
        <v>8403</v>
      </c>
      <c r="AL849" s="260">
        <v>170</v>
      </c>
      <c r="AN849" s="235">
        <v>70</v>
      </c>
      <c r="AO849" s="242">
        <v>42074</v>
      </c>
      <c r="AP849" s="235">
        <v>104</v>
      </c>
      <c r="AQ849" s="242">
        <v>42108</v>
      </c>
      <c r="AR849" s="136">
        <v>127</v>
      </c>
      <c r="AS849" s="297">
        <f t="shared" si="456"/>
        <v>127</v>
      </c>
      <c r="AT849" s="290">
        <v>42131</v>
      </c>
      <c r="AU849" s="298"/>
      <c r="BF849" s="282">
        <v>-2.5239279270172119</v>
      </c>
      <c r="BG849" s="283">
        <v>42234</v>
      </c>
      <c r="BL849" s="296">
        <v>63.633415222167969</v>
      </c>
      <c r="BM849" s="283">
        <v>42234</v>
      </c>
      <c r="BP849" s="282">
        <v>3.0388810634613037</v>
      </c>
      <c r="BQ849" s="283">
        <v>42234</v>
      </c>
      <c r="BR849" s="282">
        <v>51.754440307617188</v>
      </c>
      <c r="BS849" s="283">
        <v>42234</v>
      </c>
      <c r="BT849" s="282">
        <v>16.357505798339844</v>
      </c>
      <c r="BU849" s="283">
        <v>42234</v>
      </c>
      <c r="BV849" s="282">
        <v>9.4689464569091797</v>
      </c>
      <c r="BW849" s="283">
        <v>42234</v>
      </c>
      <c r="BX849" s="282">
        <v>5.0989456176757812</v>
      </c>
      <c r="BY849" s="283">
        <v>42234</v>
      </c>
      <c r="CB849" s="267">
        <v>3.33</v>
      </c>
      <c r="CD849" s="282">
        <v>3.3333333333333361</v>
      </c>
      <c r="CE849" s="291" t="s">
        <v>8403</v>
      </c>
      <c r="CH849" s="136">
        <v>1</v>
      </c>
      <c r="CI849" s="136">
        <v>3</v>
      </c>
      <c r="CL849" s="136">
        <v>3</v>
      </c>
      <c r="CM849" s="259">
        <v>42161</v>
      </c>
      <c r="CN849" s="137" t="s">
        <v>8406</v>
      </c>
    </row>
    <row r="850" spans="1:92">
      <c r="A850" s="258">
        <v>1405</v>
      </c>
      <c r="B850" s="235">
        <v>529</v>
      </c>
      <c r="C850" s="235" t="s">
        <v>7804</v>
      </c>
      <c r="D850" s="235" t="s">
        <v>8421</v>
      </c>
      <c r="E850" s="235" t="s">
        <v>7804</v>
      </c>
      <c r="F850" s="235" t="s">
        <v>8589</v>
      </c>
      <c r="G850" s="235" t="str">
        <f t="shared" si="449"/>
        <v>Rapsodyn</v>
      </c>
      <c r="H850" s="235" t="s">
        <v>267</v>
      </c>
      <c r="I850" s="235">
        <v>2</v>
      </c>
      <c r="J850" s="235">
        <v>9175</v>
      </c>
      <c r="K850" s="235">
        <v>56</v>
      </c>
      <c r="L850" s="235">
        <f t="shared" si="450"/>
        <v>128</v>
      </c>
      <c r="M850" s="235">
        <v>8</v>
      </c>
      <c r="N850" s="235">
        <v>7</v>
      </c>
      <c r="O850" s="248">
        <v>42048</v>
      </c>
      <c r="P850" s="136">
        <v>7.54</v>
      </c>
      <c r="Q850" s="264">
        <v>42204</v>
      </c>
      <c r="V850" s="219">
        <f t="shared" si="451"/>
        <v>23.132958431402063</v>
      </c>
      <c r="X850">
        <v>15.55</v>
      </c>
      <c r="AB850" s="220">
        <f t="shared" si="452"/>
        <v>7.5888691446654333</v>
      </c>
      <c r="AD850" s="221">
        <f t="shared" si="453"/>
        <v>100772.83240254979</v>
      </c>
      <c r="AF850" s="220">
        <f t="shared" si="454"/>
        <v>45.851638743160152</v>
      </c>
      <c r="AH850" s="220">
        <f t="shared" si="455"/>
        <v>51.414710409464178</v>
      </c>
      <c r="AJ850">
        <v>4.55</v>
      </c>
      <c r="AK850" s="285" t="s">
        <v>8399</v>
      </c>
      <c r="AL850" s="260">
        <v>165</v>
      </c>
      <c r="AN850" s="235">
        <v>70</v>
      </c>
      <c r="AO850" s="242">
        <v>42074</v>
      </c>
      <c r="AP850" s="235">
        <v>104</v>
      </c>
      <c r="AQ850" s="242">
        <v>42108</v>
      </c>
      <c r="AR850" s="136">
        <v>131</v>
      </c>
      <c r="AS850" s="297">
        <f t="shared" si="456"/>
        <v>131</v>
      </c>
      <c r="AT850" s="290">
        <v>42135</v>
      </c>
      <c r="AU850" s="298"/>
      <c r="BF850" s="282">
        <v>-3.1784799098968506</v>
      </c>
      <c r="BG850" s="283">
        <v>42234</v>
      </c>
      <c r="BL850" s="296">
        <v>63.754436492919922</v>
      </c>
      <c r="BM850" s="283">
        <v>42234</v>
      </c>
      <c r="BP850" s="282">
        <v>3.2580718994140625</v>
      </c>
      <c r="BQ850" s="283">
        <v>42234</v>
      </c>
      <c r="BR850" s="282">
        <v>50.451759338378906</v>
      </c>
      <c r="BS850" s="283">
        <v>42234</v>
      </c>
      <c r="BT850" s="282">
        <v>16.550922393798828</v>
      </c>
      <c r="BU850" s="283">
        <v>42234</v>
      </c>
      <c r="BV850" s="282">
        <v>13.34557056427002</v>
      </c>
      <c r="BW850" s="283">
        <v>42234</v>
      </c>
      <c r="BX850" s="282">
        <v>5.5533523559570312</v>
      </c>
      <c r="BY850" s="283">
        <v>42234</v>
      </c>
      <c r="CB850" s="267">
        <v>3.79</v>
      </c>
      <c r="CD850" s="282">
        <v>3.5087719298245648</v>
      </c>
      <c r="CE850" s="291" t="s">
        <v>8399</v>
      </c>
      <c r="CH850" s="136">
        <v>3</v>
      </c>
      <c r="CI850" s="136">
        <v>2</v>
      </c>
      <c r="CL850" s="136">
        <v>2</v>
      </c>
      <c r="CM850" s="259">
        <v>42161</v>
      </c>
      <c r="CN850" s="137" t="s">
        <v>8406</v>
      </c>
    </row>
    <row r="851" spans="1:92">
      <c r="A851" s="258">
        <v>1408</v>
      </c>
      <c r="B851" s="235">
        <v>532</v>
      </c>
      <c r="C851" s="235" t="s">
        <v>7796</v>
      </c>
      <c r="D851" s="235" t="s">
        <v>7594</v>
      </c>
      <c r="E851" s="235" t="s">
        <v>7796</v>
      </c>
      <c r="F851" s="235" t="s">
        <v>8588</v>
      </c>
      <c r="G851" s="235" t="str">
        <f t="shared" si="449"/>
        <v>Rapsodyn</v>
      </c>
      <c r="H851" s="235" t="s">
        <v>267</v>
      </c>
      <c r="I851" s="235">
        <v>2</v>
      </c>
      <c r="J851" s="235">
        <v>9167</v>
      </c>
      <c r="K851" s="235">
        <v>53</v>
      </c>
      <c r="L851" s="235">
        <f t="shared" si="450"/>
        <v>125</v>
      </c>
      <c r="M851" s="235">
        <v>8</v>
      </c>
      <c r="N851" s="235">
        <v>7</v>
      </c>
      <c r="O851" s="248">
        <v>42048</v>
      </c>
      <c r="P851" s="136">
        <v>5.98</v>
      </c>
      <c r="Q851" s="264">
        <v>42204</v>
      </c>
      <c r="V851" s="219">
        <f t="shared" si="451"/>
        <v>18.232122993541143</v>
      </c>
      <c r="X851">
        <v>15.55</v>
      </c>
      <c r="AB851" s="220">
        <f t="shared" si="452"/>
        <v>6.160191891567977</v>
      </c>
      <c r="AD851" s="221">
        <f t="shared" si="453"/>
        <v>69259.900073144468</v>
      </c>
      <c r="AF851" s="220">
        <f t="shared" si="454"/>
        <v>35.738108437742547</v>
      </c>
      <c r="AH851" s="220">
        <f t="shared" si="455"/>
        <v>40.07412921926727</v>
      </c>
      <c r="AJ851">
        <v>5.16</v>
      </c>
      <c r="AK851" s="285" t="s">
        <v>8399</v>
      </c>
      <c r="AL851" s="260">
        <v>175</v>
      </c>
      <c r="AN851" s="235">
        <v>75</v>
      </c>
      <c r="AO851" s="242">
        <v>42079</v>
      </c>
      <c r="AP851" s="235">
        <v>106</v>
      </c>
      <c r="AQ851" s="242">
        <v>42110</v>
      </c>
      <c r="AR851" s="136">
        <v>131</v>
      </c>
      <c r="AS851" s="297">
        <f t="shared" si="456"/>
        <v>131</v>
      </c>
      <c r="AT851" s="290">
        <v>42135</v>
      </c>
      <c r="AU851" s="298"/>
      <c r="BF851" s="282">
        <v>-8.3489665985107422</v>
      </c>
      <c r="BG851" s="283">
        <v>42234</v>
      </c>
      <c r="BL851" s="296">
        <v>62.240379333496094</v>
      </c>
      <c r="BM851" s="283">
        <v>42234</v>
      </c>
      <c r="BP851" s="282">
        <v>3.7136850357055664</v>
      </c>
      <c r="BQ851" s="283">
        <v>42234</v>
      </c>
      <c r="BR851" s="282">
        <v>51.015914916992188</v>
      </c>
      <c r="BS851" s="283">
        <v>42234</v>
      </c>
      <c r="BT851" s="282">
        <v>17.237039566040039</v>
      </c>
      <c r="BU851" s="283">
        <v>42234</v>
      </c>
      <c r="BV851" s="282">
        <v>16.02653694152832</v>
      </c>
      <c r="BW851" s="283">
        <v>42234</v>
      </c>
      <c r="BX851" s="282">
        <v>5.4722824096679687</v>
      </c>
      <c r="BY851" s="283">
        <v>42234</v>
      </c>
      <c r="CB851" s="267">
        <v>4.63</v>
      </c>
      <c r="CD851" s="282">
        <v>5.1724137931034457</v>
      </c>
      <c r="CE851" s="291" t="s">
        <v>8399</v>
      </c>
      <c r="CH851" s="136">
        <v>2</v>
      </c>
      <c r="CI851" s="136">
        <v>2</v>
      </c>
      <c r="CL851" s="136">
        <v>2</v>
      </c>
      <c r="CM851" s="259">
        <v>42161</v>
      </c>
      <c r="CN851" s="137" t="s">
        <v>8406</v>
      </c>
    </row>
    <row r="852" spans="1:92">
      <c r="A852" s="258">
        <v>1409</v>
      </c>
      <c r="B852" s="235">
        <v>533</v>
      </c>
      <c r="C852" s="235" t="s">
        <v>7576</v>
      </c>
      <c r="D852" s="235"/>
      <c r="E852" s="235"/>
      <c r="F852" s="235"/>
      <c r="G852" s="235"/>
      <c r="H852" s="235" t="s">
        <v>267</v>
      </c>
      <c r="I852" s="235">
        <v>2</v>
      </c>
      <c r="K852" s="235">
        <v>52</v>
      </c>
      <c r="L852" s="235">
        <f t="shared" si="450"/>
        <v>124</v>
      </c>
      <c r="M852" s="235">
        <v>8</v>
      </c>
      <c r="O852" s="248">
        <v>42048</v>
      </c>
      <c r="V852" s="219"/>
      <c r="X852">
        <v>15.55</v>
      </c>
      <c r="AB852" s="220"/>
      <c r="AD852" s="221"/>
      <c r="AF852" s="220"/>
      <c r="AH852" s="220"/>
      <c r="AJ852" s="286"/>
      <c r="AK852" s="285"/>
      <c r="AL852" s="260"/>
      <c r="AN852" s="235">
        <v>70</v>
      </c>
      <c r="AO852" s="242">
        <v>42074</v>
      </c>
      <c r="AP852" s="235">
        <v>106</v>
      </c>
      <c r="AQ852" s="242">
        <v>42110</v>
      </c>
      <c r="AS852" s="297"/>
      <c r="AT852" s="290"/>
      <c r="AU852" s="298"/>
      <c r="BF852" s="282"/>
      <c r="BG852" s="235"/>
      <c r="BL852" s="296"/>
      <c r="BM852" s="235"/>
      <c r="BP852" s="282"/>
      <c r="BQ852" s="235"/>
      <c r="BR852" s="282"/>
      <c r="BS852" s="235"/>
      <c r="BT852" s="282"/>
      <c r="BU852" s="235"/>
      <c r="BV852" s="282"/>
      <c r="BW852" s="235"/>
      <c r="BX852" s="282"/>
      <c r="BY852" s="235"/>
      <c r="CB852" s="267"/>
      <c r="CD852" s="282"/>
      <c r="CE852" s="291"/>
      <c r="CL852" s="136">
        <v>2</v>
      </c>
      <c r="CM852" s="259">
        <v>42161</v>
      </c>
    </row>
    <row r="853" spans="1:92">
      <c r="A853" s="258">
        <v>1410</v>
      </c>
      <c r="B853" s="235">
        <v>534</v>
      </c>
      <c r="C853" s="235" t="s">
        <v>7576</v>
      </c>
      <c r="D853" s="235"/>
      <c r="E853" s="235"/>
      <c r="F853" s="235"/>
      <c r="G853" s="235"/>
      <c r="H853" s="235" t="s">
        <v>267</v>
      </c>
      <c r="I853" s="235">
        <v>2</v>
      </c>
      <c r="K853" s="235">
        <v>51</v>
      </c>
      <c r="L853" s="235">
        <f t="shared" si="450"/>
        <v>123</v>
      </c>
      <c r="M853" s="235">
        <v>8</v>
      </c>
      <c r="O853" s="248">
        <v>42048</v>
      </c>
      <c r="V853" s="219"/>
      <c r="X853">
        <v>15.55</v>
      </c>
      <c r="AB853" s="220"/>
      <c r="AD853" s="221"/>
      <c r="AF853" s="220"/>
      <c r="AH853" s="220"/>
      <c r="AJ853" s="286"/>
      <c r="AK853" s="285"/>
      <c r="AL853" s="260"/>
      <c r="AN853" s="235">
        <v>70</v>
      </c>
      <c r="AO853" s="242">
        <v>42074</v>
      </c>
      <c r="AP853" s="235">
        <v>106</v>
      </c>
      <c r="AQ853" s="242">
        <v>42110</v>
      </c>
      <c r="AS853" s="297"/>
      <c r="AT853" s="290"/>
      <c r="AU853" s="298"/>
      <c r="BF853" s="282"/>
      <c r="BG853" s="235"/>
      <c r="BL853" s="296"/>
      <c r="BM853" s="235"/>
      <c r="BP853" s="282"/>
      <c r="BQ853" s="235"/>
      <c r="BR853" s="282"/>
      <c r="BS853" s="235"/>
      <c r="BT853" s="282"/>
      <c r="BU853" s="235"/>
      <c r="BV853" s="282"/>
      <c r="BW853" s="235"/>
      <c r="BX853" s="282"/>
      <c r="BY853" s="235"/>
      <c r="CB853" s="267"/>
      <c r="CD853" s="282"/>
      <c r="CE853" s="291"/>
      <c r="CL853" s="136">
        <v>3</v>
      </c>
      <c r="CM853" s="259">
        <v>42161</v>
      </c>
    </row>
    <row r="854" spans="1:92">
      <c r="A854" s="258">
        <v>1411</v>
      </c>
      <c r="B854" s="235">
        <v>535</v>
      </c>
      <c r="C854" s="235" t="s">
        <v>7710</v>
      </c>
      <c r="D854" s="235" t="s">
        <v>7535</v>
      </c>
      <c r="E854" s="235" t="s">
        <v>7710</v>
      </c>
      <c r="F854" s="235" t="s">
        <v>8587</v>
      </c>
      <c r="G854" s="235" t="str">
        <f t="shared" ref="G854:G864" si="457">IF(MID(C854,1,3)="BGA","Complement","Rapsodyn")</f>
        <v>Rapsodyn</v>
      </c>
      <c r="H854" s="235" t="s">
        <v>267</v>
      </c>
      <c r="I854" s="235">
        <v>2</v>
      </c>
      <c r="J854" s="235">
        <v>9092</v>
      </c>
      <c r="K854" s="235">
        <v>50</v>
      </c>
      <c r="L854" s="235">
        <f t="shared" si="450"/>
        <v>122</v>
      </c>
      <c r="M854" s="235">
        <v>8</v>
      </c>
      <c r="N854" s="235">
        <v>5</v>
      </c>
      <c r="O854" s="248">
        <v>42048</v>
      </c>
      <c r="P854" s="136">
        <v>6.54</v>
      </c>
      <c r="Q854" s="264">
        <v>42204</v>
      </c>
      <c r="V854" s="219">
        <f t="shared" ref="V854:V864" si="458">+BR854*AF854/100</f>
        <v>20.239753881627237</v>
      </c>
      <c r="X854">
        <v>15.55</v>
      </c>
      <c r="AB854" s="220">
        <f t="shared" ref="AB854:AB864" si="459">+AF854*BT854/100</f>
        <v>6.3015167824541223</v>
      </c>
      <c r="AD854" s="221">
        <f t="shared" ref="AD854:AD864" si="460">+(AF854/AJ854)*10000</f>
        <v>86623.271377408309</v>
      </c>
      <c r="AF854" s="220">
        <f t="shared" ref="AF854:AF864" si="461">($P854/$X854)*(((100-$CD854)/100*(100-2)/100))*100</f>
        <v>38.200862677437065</v>
      </c>
      <c r="AH854" s="220">
        <f t="shared" ref="AH854:AH864" si="462">($P854/$X854)*(((100-$CD854)/(100-9)*(100-2)/(100-2))*100)</f>
        <v>42.835683648168938</v>
      </c>
      <c r="AJ854">
        <v>4.41</v>
      </c>
      <c r="AK854" s="285" t="s">
        <v>8400</v>
      </c>
      <c r="AL854" s="260">
        <v>165</v>
      </c>
      <c r="AN854" s="235">
        <v>72</v>
      </c>
      <c r="AO854" s="242">
        <v>42076</v>
      </c>
      <c r="AP854" s="235">
        <v>104</v>
      </c>
      <c r="AQ854" s="242">
        <v>42108</v>
      </c>
      <c r="AR854" s="136">
        <v>130</v>
      </c>
      <c r="AS854" s="297">
        <f t="shared" ref="AS854:AS864" si="463">IF(AR854=0,,AR854)</f>
        <v>130</v>
      </c>
      <c r="AT854" s="290">
        <v>42134</v>
      </c>
      <c r="AU854" s="298"/>
      <c r="BF854" s="282">
        <v>-6.8948750495910645</v>
      </c>
      <c r="BG854" s="283">
        <v>42234</v>
      </c>
      <c r="BL854" s="296">
        <v>67.905860900878906</v>
      </c>
      <c r="BM854" s="283">
        <v>42234</v>
      </c>
      <c r="BP854" s="282">
        <v>3.017888069152832</v>
      </c>
      <c r="BQ854" s="283">
        <v>42234</v>
      </c>
      <c r="BR854" s="282">
        <v>52.982452392578125</v>
      </c>
      <c r="BS854" s="283">
        <v>42234</v>
      </c>
      <c r="BT854" s="282">
        <v>16.495744705200195</v>
      </c>
      <c r="BU854" s="283">
        <v>42234</v>
      </c>
      <c r="BV854" s="282">
        <v>13.378591537475586</v>
      </c>
      <c r="BW854" s="283">
        <v>42234</v>
      </c>
      <c r="BX854" s="282">
        <v>5.1561737060546875</v>
      </c>
      <c r="BY854" s="283">
        <v>42234</v>
      </c>
      <c r="CB854" s="267">
        <v>3.76</v>
      </c>
      <c r="CD854" s="282">
        <v>7.317073170731704</v>
      </c>
      <c r="CE854" s="291" t="s">
        <v>8400</v>
      </c>
      <c r="CH854" s="136">
        <v>1</v>
      </c>
      <c r="CI854" s="136">
        <v>2</v>
      </c>
      <c r="CL854" s="136">
        <v>2</v>
      </c>
      <c r="CM854" s="259">
        <v>42161</v>
      </c>
      <c r="CN854" s="137" t="s">
        <v>8406</v>
      </c>
    </row>
    <row r="855" spans="1:92">
      <c r="A855" s="258">
        <v>1414</v>
      </c>
      <c r="B855" s="235">
        <v>538</v>
      </c>
      <c r="C855" s="235" t="s">
        <v>7622</v>
      </c>
      <c r="D855" s="235" t="s">
        <v>7457</v>
      </c>
      <c r="E855" s="235" t="s">
        <v>7622</v>
      </c>
      <c r="F855" s="235" t="s">
        <v>8586</v>
      </c>
      <c r="G855" s="235" t="str">
        <f t="shared" si="457"/>
        <v>Rapsodyn</v>
      </c>
      <c r="H855" s="235" t="s">
        <v>267</v>
      </c>
      <c r="I855" s="235">
        <v>2</v>
      </c>
      <c r="J855" s="235">
        <v>9015</v>
      </c>
      <c r="K855" s="235">
        <v>47</v>
      </c>
      <c r="L855" s="235">
        <f t="shared" si="450"/>
        <v>119</v>
      </c>
      <c r="M855" s="235">
        <v>8</v>
      </c>
      <c r="N855" s="235">
        <v>7</v>
      </c>
      <c r="O855" s="248">
        <v>42048</v>
      </c>
      <c r="P855" s="136">
        <v>3.27</v>
      </c>
      <c r="Q855" s="264">
        <v>42204</v>
      </c>
      <c r="V855" s="219">
        <f t="shared" si="458"/>
        <v>8.3311805227308398</v>
      </c>
      <c r="X855">
        <v>15.55</v>
      </c>
      <c r="AB855" s="220">
        <f t="shared" si="459"/>
        <v>4.4933021193184937</v>
      </c>
      <c r="AD855" s="221">
        <f t="shared" si="460"/>
        <v>37064.138138950097</v>
      </c>
      <c r="AF855" s="220">
        <f t="shared" si="461"/>
        <v>19.162159417837199</v>
      </c>
      <c r="AH855" s="220">
        <f t="shared" si="462"/>
        <v>21.487059226101366</v>
      </c>
      <c r="AJ855">
        <v>5.17</v>
      </c>
      <c r="AK855" s="285" t="s">
        <v>8399</v>
      </c>
      <c r="AL855" s="260">
        <v>190</v>
      </c>
      <c r="AN855" s="235">
        <v>70</v>
      </c>
      <c r="AO855" s="242">
        <v>42074</v>
      </c>
      <c r="AP855" s="235">
        <v>110</v>
      </c>
      <c r="AQ855" s="242">
        <v>42114</v>
      </c>
      <c r="AR855" s="136">
        <v>143</v>
      </c>
      <c r="AS855" s="297">
        <f t="shared" si="463"/>
        <v>143</v>
      </c>
      <c r="AT855" s="290">
        <v>42147</v>
      </c>
      <c r="AU855" s="298"/>
      <c r="BF855" s="282">
        <v>21.81689453125</v>
      </c>
      <c r="BG855" s="283">
        <v>42234</v>
      </c>
      <c r="BL855" s="296">
        <v>63.490509033203125</v>
      </c>
      <c r="BM855" s="283">
        <v>42234</v>
      </c>
      <c r="BP855" s="282">
        <v>4.6571111679077148</v>
      </c>
      <c r="BQ855" s="283">
        <v>42234</v>
      </c>
      <c r="BR855" s="282">
        <v>43.477252960205078</v>
      </c>
      <c r="BS855" s="283">
        <v>42234</v>
      </c>
      <c r="BT855" s="282">
        <v>23.448829650878906</v>
      </c>
      <c r="BU855" s="283">
        <v>42234</v>
      </c>
      <c r="BV855" s="282">
        <v>75.245208740234375</v>
      </c>
      <c r="BW855" s="283">
        <v>42234</v>
      </c>
      <c r="BX855" s="282">
        <v>5.9748306274414062</v>
      </c>
      <c r="BY855" s="283">
        <v>42234</v>
      </c>
      <c r="CB855" s="267">
        <v>7.41</v>
      </c>
      <c r="CD855" s="282">
        <v>7.0175438596491295</v>
      </c>
      <c r="CE855" s="291" t="s">
        <v>8399</v>
      </c>
      <c r="CH855" s="136">
        <v>5</v>
      </c>
      <c r="CI855" s="136">
        <v>2</v>
      </c>
      <c r="CL855" s="136">
        <v>7</v>
      </c>
      <c r="CM855" s="259">
        <v>42161</v>
      </c>
      <c r="CN855" s="137" t="s">
        <v>8406</v>
      </c>
    </row>
    <row r="856" spans="1:92">
      <c r="A856" s="258">
        <v>1416</v>
      </c>
      <c r="B856" s="235">
        <v>540</v>
      </c>
      <c r="C856" s="235" t="s">
        <v>7639</v>
      </c>
      <c r="D856" s="235" t="s">
        <v>7817</v>
      </c>
      <c r="E856" s="235" t="s">
        <v>7639</v>
      </c>
      <c r="F856" s="235" t="s">
        <v>8585</v>
      </c>
      <c r="G856" s="235" t="str">
        <f t="shared" si="457"/>
        <v>Rapsodyn</v>
      </c>
      <c r="H856" s="235" t="s">
        <v>267</v>
      </c>
      <c r="I856" s="235">
        <v>2</v>
      </c>
      <c r="J856" s="235">
        <v>9027</v>
      </c>
      <c r="K856" s="235">
        <v>45</v>
      </c>
      <c r="L856" s="235">
        <f t="shared" si="450"/>
        <v>117</v>
      </c>
      <c r="M856" s="235">
        <v>8</v>
      </c>
      <c r="N856" s="235">
        <v>5</v>
      </c>
      <c r="O856" s="248">
        <v>42048</v>
      </c>
      <c r="P856" s="136">
        <v>4.8499999999999996</v>
      </c>
      <c r="Q856" s="264">
        <v>42204</v>
      </c>
      <c r="V856" s="219">
        <f t="shared" si="458"/>
        <v>14.108367946975012</v>
      </c>
      <c r="X856">
        <v>15.55</v>
      </c>
      <c r="AB856" s="220">
        <f t="shared" si="459"/>
        <v>5.2725764652182674</v>
      </c>
      <c r="AD856" s="221">
        <f t="shared" si="460"/>
        <v>72714.886478888176</v>
      </c>
      <c r="AF856" s="220">
        <f t="shared" si="461"/>
        <v>28.867809932118604</v>
      </c>
      <c r="AH856" s="220">
        <f t="shared" si="462"/>
        <v>32.370273527829788</v>
      </c>
      <c r="AJ856">
        <v>3.97</v>
      </c>
      <c r="AK856" s="285" t="s">
        <v>8399</v>
      </c>
      <c r="AL856" s="260">
        <v>165</v>
      </c>
      <c r="AN856" s="235">
        <v>65</v>
      </c>
      <c r="AO856" s="242">
        <v>42069</v>
      </c>
      <c r="AP856" s="235">
        <v>104</v>
      </c>
      <c r="AQ856" s="242">
        <v>42108</v>
      </c>
      <c r="AR856" s="136">
        <v>135</v>
      </c>
      <c r="AS856" s="297">
        <f t="shared" si="463"/>
        <v>135</v>
      </c>
      <c r="AT856" s="290">
        <v>42139</v>
      </c>
      <c r="AU856" s="298"/>
      <c r="BF856" s="282">
        <v>3.9216089248657227</v>
      </c>
      <c r="BG856" s="283">
        <v>42234</v>
      </c>
      <c r="BL856" s="296">
        <v>60.187656402587891</v>
      </c>
      <c r="BM856" s="283">
        <v>42234</v>
      </c>
      <c r="BP856" s="282">
        <v>3.0378110408782959</v>
      </c>
      <c r="BQ856" s="283">
        <v>42234</v>
      </c>
      <c r="BR856" s="282">
        <v>48.872318267822266</v>
      </c>
      <c r="BS856" s="283">
        <v>42234</v>
      </c>
      <c r="BT856" s="282">
        <v>18.264553070068359</v>
      </c>
      <c r="BU856" s="283">
        <v>42234</v>
      </c>
      <c r="BV856" s="282">
        <v>50.723365783691406</v>
      </c>
      <c r="BW856" s="283">
        <v>42234</v>
      </c>
      <c r="BX856" s="282">
        <v>5.5762176513671875</v>
      </c>
      <c r="BY856" s="283">
        <v>42234</v>
      </c>
      <c r="CB856" s="267">
        <v>2.89</v>
      </c>
      <c r="CD856" s="282">
        <v>5.5555555555555687</v>
      </c>
      <c r="CE856" s="291" t="s">
        <v>8399</v>
      </c>
      <c r="CH856" s="136">
        <v>3</v>
      </c>
      <c r="CI856" s="136">
        <v>4</v>
      </c>
      <c r="CL856" s="136">
        <v>4</v>
      </c>
      <c r="CM856" s="259">
        <v>42161</v>
      </c>
      <c r="CN856" s="137" t="s">
        <v>8406</v>
      </c>
    </row>
    <row r="857" spans="1:92">
      <c r="A857" s="258">
        <v>1418</v>
      </c>
      <c r="B857" s="235">
        <v>542</v>
      </c>
      <c r="C857" s="235" t="s">
        <v>7722</v>
      </c>
      <c r="D857" s="235" t="s">
        <v>7546</v>
      </c>
      <c r="E857" s="235" t="s">
        <v>7722</v>
      </c>
      <c r="F857" s="235" t="s">
        <v>8584</v>
      </c>
      <c r="G857" s="235" t="str">
        <f t="shared" si="457"/>
        <v>Rapsodyn</v>
      </c>
      <c r="H857" s="235" t="s">
        <v>267</v>
      </c>
      <c r="I857" s="235">
        <v>2</v>
      </c>
      <c r="J857" s="235">
        <v>9104</v>
      </c>
      <c r="K857" s="235">
        <v>43</v>
      </c>
      <c r="L857" s="235">
        <f t="shared" si="450"/>
        <v>115</v>
      </c>
      <c r="M857" s="235">
        <v>8</v>
      </c>
      <c r="N857" s="235">
        <v>7</v>
      </c>
      <c r="O857" s="248">
        <v>42048</v>
      </c>
      <c r="P857" s="136">
        <v>6.58</v>
      </c>
      <c r="Q857" s="264">
        <v>42204</v>
      </c>
      <c r="V857" s="219">
        <f t="shared" si="458"/>
        <v>19.023294865866138</v>
      </c>
      <c r="X857">
        <v>15.55</v>
      </c>
      <c r="AB857" s="220">
        <f t="shared" si="459"/>
        <v>6.9781271947115897</v>
      </c>
      <c r="AD857" s="221">
        <f t="shared" si="460"/>
        <v>91936.590365103562</v>
      </c>
      <c r="AF857" s="220">
        <f t="shared" si="461"/>
        <v>39.164987495534113</v>
      </c>
      <c r="AH857" s="220">
        <f t="shared" si="462"/>
        <v>43.91678346662269</v>
      </c>
      <c r="AJ857">
        <v>4.26</v>
      </c>
      <c r="AK857" s="285" t="s">
        <v>8399</v>
      </c>
      <c r="AL857" s="260">
        <v>165</v>
      </c>
      <c r="AN857" s="235">
        <v>72</v>
      </c>
      <c r="AO857" s="242">
        <v>42076</v>
      </c>
      <c r="AP857" s="235">
        <v>106</v>
      </c>
      <c r="AQ857" s="242">
        <v>42110</v>
      </c>
      <c r="AR857" s="136">
        <v>131</v>
      </c>
      <c r="AS857" s="297">
        <f t="shared" si="463"/>
        <v>131</v>
      </c>
      <c r="AT857" s="290">
        <v>42135</v>
      </c>
      <c r="AU857" s="298"/>
      <c r="BF857" s="282">
        <v>-1.8585610389709473</v>
      </c>
      <c r="BG857" s="283">
        <v>42235</v>
      </c>
      <c r="BL857" s="296">
        <v>60.796440124511719</v>
      </c>
      <c r="BM857" s="283">
        <v>42235</v>
      </c>
      <c r="BP857" s="282">
        <v>3.1947751045227051</v>
      </c>
      <c r="BQ857" s="283">
        <v>42235</v>
      </c>
      <c r="BR857" s="282">
        <v>48.572196960449219</v>
      </c>
      <c r="BS857" s="283">
        <v>42235</v>
      </c>
      <c r="BT857" s="282">
        <v>17.817258834838867</v>
      </c>
      <c r="BU857" s="283">
        <v>42235</v>
      </c>
      <c r="BV857" s="282">
        <v>16.96946907043457</v>
      </c>
      <c r="BW857" s="283">
        <v>42235</v>
      </c>
      <c r="BX857" s="282">
        <v>5.3908843994140625</v>
      </c>
      <c r="BY857" s="283">
        <v>42235</v>
      </c>
      <c r="CB857" s="267">
        <v>3.62</v>
      </c>
      <c r="CD857" s="282">
        <v>5.5555555555555687</v>
      </c>
      <c r="CE857" s="291" t="s">
        <v>8399</v>
      </c>
      <c r="CH857" s="136">
        <v>1</v>
      </c>
      <c r="CI857" s="136">
        <v>3</v>
      </c>
      <c r="CL857" s="136">
        <v>3</v>
      </c>
      <c r="CM857" s="259">
        <v>42161</v>
      </c>
      <c r="CN857" s="137" t="s">
        <v>8406</v>
      </c>
    </row>
    <row r="858" spans="1:92">
      <c r="A858" s="258">
        <v>1419</v>
      </c>
      <c r="B858" s="235">
        <v>543</v>
      </c>
      <c r="C858" s="235" t="s">
        <v>7620</v>
      </c>
      <c r="D858" s="235" t="s">
        <v>7815</v>
      </c>
      <c r="E858" s="235" t="s">
        <v>7620</v>
      </c>
      <c r="F858" s="235" t="s">
        <v>8583</v>
      </c>
      <c r="G858" s="235" t="str">
        <f t="shared" si="457"/>
        <v>Rapsodyn</v>
      </c>
      <c r="H858" s="235" t="s">
        <v>267</v>
      </c>
      <c r="I858" s="235">
        <v>2</v>
      </c>
      <c r="J858" s="235">
        <v>9013</v>
      </c>
      <c r="K858" s="235">
        <v>42</v>
      </c>
      <c r="L858" s="235">
        <f t="shared" si="450"/>
        <v>114</v>
      </c>
      <c r="M858" s="235">
        <v>8</v>
      </c>
      <c r="N858" s="235">
        <v>7</v>
      </c>
      <c r="O858" s="248">
        <v>42048</v>
      </c>
      <c r="P858" s="136">
        <v>4.1399999999999997</v>
      </c>
      <c r="Q858" s="264">
        <v>42204</v>
      </c>
      <c r="V858" s="219">
        <f t="shared" si="458"/>
        <v>11.610819667619905</v>
      </c>
      <c r="X858">
        <v>15.55</v>
      </c>
      <c r="AB858" s="220">
        <f t="shared" si="459"/>
        <v>5.0507008355223473</v>
      </c>
      <c r="AD858" s="221">
        <f t="shared" si="460"/>
        <v>48150.808922196615</v>
      </c>
      <c r="AF858" s="220">
        <f t="shared" si="461"/>
        <v>24.46061093247588</v>
      </c>
      <c r="AH858" s="220">
        <f t="shared" si="462"/>
        <v>27.428359421928551</v>
      </c>
      <c r="AJ858">
        <v>5.08</v>
      </c>
      <c r="AK858" s="285" t="s">
        <v>8400</v>
      </c>
      <c r="AL858" s="260">
        <v>170</v>
      </c>
      <c r="AN858" s="235">
        <v>70</v>
      </c>
      <c r="AO858" s="242">
        <v>42074</v>
      </c>
      <c r="AP858" s="235">
        <v>104</v>
      </c>
      <c r="AQ858" s="242">
        <v>42108</v>
      </c>
      <c r="AR858" s="136">
        <v>131</v>
      </c>
      <c r="AS858" s="297">
        <f t="shared" si="463"/>
        <v>131</v>
      </c>
      <c r="AT858" s="290">
        <v>42135</v>
      </c>
      <c r="AU858" s="298"/>
      <c r="BF858" s="282">
        <v>14.870676040649414</v>
      </c>
      <c r="BG858" s="283">
        <v>42234</v>
      </c>
      <c r="BL858" s="296">
        <v>62.921676635742188</v>
      </c>
      <c r="BM858" s="283">
        <v>42234</v>
      </c>
      <c r="BP858" s="282">
        <v>3.1696939468383789</v>
      </c>
      <c r="BQ858" s="283">
        <v>42234</v>
      </c>
      <c r="BR858" s="282">
        <v>47.467414855957031</v>
      </c>
      <c r="BS858" s="283">
        <v>42234</v>
      </c>
      <c r="BT858" s="282">
        <v>20.64830207824707</v>
      </c>
      <c r="BU858" s="283">
        <v>42234</v>
      </c>
      <c r="BV858" s="282">
        <v>39.416011810302734</v>
      </c>
      <c r="BW858" s="283">
        <v>42234</v>
      </c>
      <c r="BX858" s="282">
        <v>5.80841064453125</v>
      </c>
      <c r="BY858" s="283">
        <v>42234</v>
      </c>
      <c r="CB858" s="267">
        <v>5.21</v>
      </c>
      <c r="CD858" s="282">
        <v>6.2499999999999964</v>
      </c>
      <c r="CE858" s="291" t="s">
        <v>8400</v>
      </c>
      <c r="CH858" s="136">
        <v>1</v>
      </c>
      <c r="CI858" s="136">
        <v>2</v>
      </c>
      <c r="CL858" s="136">
        <v>5</v>
      </c>
      <c r="CM858" s="259">
        <v>42161</v>
      </c>
      <c r="CN858" s="137" t="s">
        <v>8406</v>
      </c>
    </row>
    <row r="859" spans="1:92">
      <c r="A859" s="258">
        <v>1420</v>
      </c>
      <c r="B859" s="235">
        <v>544</v>
      </c>
      <c r="C859" s="235" t="s">
        <v>7686</v>
      </c>
      <c r="D859" s="235" t="s">
        <v>262</v>
      </c>
      <c r="E859" s="235" t="s">
        <v>7686</v>
      </c>
      <c r="F859" s="235" t="s">
        <v>8582</v>
      </c>
      <c r="G859" s="235" t="str">
        <f t="shared" si="457"/>
        <v>Rapsodyn</v>
      </c>
      <c r="H859" s="235" t="s">
        <v>267</v>
      </c>
      <c r="I859" s="235">
        <v>2</v>
      </c>
      <c r="J859" s="235">
        <v>9068</v>
      </c>
      <c r="K859" s="235">
        <v>41</v>
      </c>
      <c r="L859" s="235">
        <f t="shared" si="450"/>
        <v>113</v>
      </c>
      <c r="M859" s="235">
        <v>8</v>
      </c>
      <c r="N859" s="235">
        <v>7</v>
      </c>
      <c r="O859" s="248">
        <v>42048</v>
      </c>
      <c r="P859" s="136">
        <v>5.56</v>
      </c>
      <c r="Q859" s="264">
        <v>42204</v>
      </c>
      <c r="V859" s="219">
        <f t="shared" si="458"/>
        <v>16.125202273240564</v>
      </c>
      <c r="X859">
        <v>15.55</v>
      </c>
      <c r="AB859" s="220">
        <f t="shared" si="459"/>
        <v>6.2769982761299037</v>
      </c>
      <c r="AD859" s="221">
        <f t="shared" si="460"/>
        <v>77417.070543620212</v>
      </c>
      <c r="AF859" s="220">
        <f t="shared" si="461"/>
        <v>33.057089122125824</v>
      </c>
      <c r="AH859" s="220">
        <f t="shared" si="462"/>
        <v>37.067828125281252</v>
      </c>
      <c r="AJ859">
        <v>4.2699999999999996</v>
      </c>
      <c r="AK859" s="285" t="s">
        <v>8399</v>
      </c>
      <c r="AL859" s="260">
        <v>145</v>
      </c>
      <c r="AN859" s="235">
        <v>75</v>
      </c>
      <c r="AO859" s="242">
        <v>42079</v>
      </c>
      <c r="AP859" s="235">
        <v>104</v>
      </c>
      <c r="AQ859" s="242">
        <v>42108</v>
      </c>
      <c r="AR859" s="136">
        <v>131</v>
      </c>
      <c r="AS859" s="297">
        <f t="shared" si="463"/>
        <v>131</v>
      </c>
      <c r="AT859" s="290">
        <v>42135</v>
      </c>
      <c r="AU859" s="298"/>
      <c r="BF859" s="282">
        <v>-4.6652698516845703</v>
      </c>
      <c r="BG859" s="283">
        <v>42235</v>
      </c>
      <c r="BL859" s="296">
        <v>64.270652770996094</v>
      </c>
      <c r="BM859" s="283">
        <v>42235</v>
      </c>
      <c r="BP859" s="282">
        <v>3.7765440940856934</v>
      </c>
      <c r="BQ859" s="283">
        <v>42235</v>
      </c>
      <c r="BR859" s="282">
        <v>48.779861450195313</v>
      </c>
      <c r="BS859" s="283">
        <v>42235</v>
      </c>
      <c r="BT859" s="282">
        <v>18.988357543945313</v>
      </c>
      <c r="BU859" s="283">
        <v>42235</v>
      </c>
      <c r="BV859" s="282">
        <v>17.751955032348633</v>
      </c>
      <c r="BW859" s="283">
        <v>42235</v>
      </c>
      <c r="BX859" s="282">
        <v>5.4682235717773437</v>
      </c>
      <c r="BY859" s="283">
        <v>42235</v>
      </c>
      <c r="CB859" s="267">
        <v>4.2300000000000004</v>
      </c>
      <c r="CD859" s="282">
        <v>5.660377358490563</v>
      </c>
      <c r="CE859" s="291" t="s">
        <v>8399</v>
      </c>
      <c r="CH859" s="136">
        <v>2</v>
      </c>
      <c r="CI859" s="136">
        <v>4</v>
      </c>
      <c r="CL859" s="136">
        <v>4</v>
      </c>
      <c r="CM859" s="259">
        <v>42161</v>
      </c>
      <c r="CN859" s="137" t="s">
        <v>8406</v>
      </c>
    </row>
    <row r="860" spans="1:92">
      <c r="A860" s="258">
        <v>1422</v>
      </c>
      <c r="B860" s="235">
        <v>546</v>
      </c>
      <c r="C860" s="235" t="s">
        <v>7665</v>
      </c>
      <c r="D860" s="235" t="s">
        <v>7819</v>
      </c>
      <c r="E860" s="235" t="s">
        <v>7665</v>
      </c>
      <c r="F860" s="235" t="s">
        <v>8581</v>
      </c>
      <c r="G860" s="235" t="str">
        <f t="shared" si="457"/>
        <v>Rapsodyn</v>
      </c>
      <c r="H860" s="235" t="s">
        <v>267</v>
      </c>
      <c r="I860" s="235">
        <v>2</v>
      </c>
      <c r="J860" s="235">
        <v>9048</v>
      </c>
      <c r="K860" s="235">
        <v>39</v>
      </c>
      <c r="L860" s="235">
        <f t="shared" si="450"/>
        <v>111</v>
      </c>
      <c r="M860" s="235">
        <v>8</v>
      </c>
      <c r="N860" s="235">
        <v>5</v>
      </c>
      <c r="O860" s="248">
        <v>42048</v>
      </c>
      <c r="P860" s="136">
        <v>5</v>
      </c>
      <c r="Q860" s="264">
        <v>42204</v>
      </c>
      <c r="V860" s="219">
        <f t="shared" si="458"/>
        <v>13.608341876602539</v>
      </c>
      <c r="X860">
        <v>15.55</v>
      </c>
      <c r="AB860" s="220">
        <f t="shared" si="459"/>
        <v>5.5980192563077447</v>
      </c>
      <c r="AD860" s="221">
        <f t="shared" si="460"/>
        <v>66390.551801110792</v>
      </c>
      <c r="AF860" s="220">
        <f t="shared" si="461"/>
        <v>28.747108929880977</v>
      </c>
      <c r="AH860" s="220">
        <f t="shared" si="462"/>
        <v>32.234928156403875</v>
      </c>
      <c r="AJ860">
        <v>4.33</v>
      </c>
      <c r="AK860" s="285" t="s">
        <v>8400</v>
      </c>
      <c r="AL860" s="260">
        <v>165</v>
      </c>
      <c r="AN860" s="235">
        <v>79</v>
      </c>
      <c r="AO860" s="242">
        <v>42083</v>
      </c>
      <c r="AP860" s="235">
        <v>110</v>
      </c>
      <c r="AQ860" s="242">
        <v>42114</v>
      </c>
      <c r="AR860" s="136">
        <v>135</v>
      </c>
      <c r="AS860" s="297">
        <f t="shared" si="463"/>
        <v>135</v>
      </c>
      <c r="AT860" s="290">
        <v>42139</v>
      </c>
      <c r="AU860" s="298"/>
      <c r="BF860" s="282">
        <v>1.9306659698486328</v>
      </c>
      <c r="BG860" s="283">
        <v>42235</v>
      </c>
      <c r="BL860" s="296">
        <v>63.251331329345703</v>
      </c>
      <c r="BM860" s="283">
        <v>42235</v>
      </c>
      <c r="BP860" s="282">
        <v>3.205765962600708</v>
      </c>
      <c r="BQ860" s="283">
        <v>42235</v>
      </c>
      <c r="BR860" s="282">
        <v>47.338123321533203</v>
      </c>
      <c r="BS860" s="283">
        <v>42235</v>
      </c>
      <c r="BT860" s="282">
        <v>19.473329544067383</v>
      </c>
      <c r="BU860" s="283">
        <v>42235</v>
      </c>
      <c r="BV860" s="282">
        <v>15.509407043457031</v>
      </c>
      <c r="BW860" s="283">
        <v>42235</v>
      </c>
      <c r="BX860" s="282">
        <v>5.3843765258789062</v>
      </c>
      <c r="BY860" s="283">
        <v>42235</v>
      </c>
      <c r="CB860" s="267">
        <v>3.78</v>
      </c>
      <c r="CD860" s="282">
        <v>8.7719298245614024</v>
      </c>
      <c r="CE860" s="291" t="s">
        <v>8400</v>
      </c>
      <c r="CH860" s="136">
        <v>4</v>
      </c>
      <c r="CI860" s="136">
        <v>4</v>
      </c>
      <c r="CL860" s="136">
        <v>4</v>
      </c>
      <c r="CM860" s="259">
        <v>42161</v>
      </c>
      <c r="CN860" s="137" t="s">
        <v>8406</v>
      </c>
    </row>
    <row r="861" spans="1:92">
      <c r="A861" s="258">
        <v>1423</v>
      </c>
      <c r="B861" s="235">
        <v>547</v>
      </c>
      <c r="C861" s="235" t="s">
        <v>7634</v>
      </c>
      <c r="D861" s="235" t="s">
        <v>7467</v>
      </c>
      <c r="E861" s="235" t="s">
        <v>7634</v>
      </c>
      <c r="F861" s="235" t="s">
        <v>8580</v>
      </c>
      <c r="G861" s="235" t="str">
        <f t="shared" si="457"/>
        <v>Rapsodyn</v>
      </c>
      <c r="H861" s="235" t="s">
        <v>267</v>
      </c>
      <c r="I861" s="235">
        <v>2</v>
      </c>
      <c r="J861" s="235">
        <v>9022</v>
      </c>
      <c r="K861" s="235">
        <v>38</v>
      </c>
      <c r="L861" s="235">
        <f t="shared" si="450"/>
        <v>110</v>
      </c>
      <c r="M861" s="235">
        <v>8</v>
      </c>
      <c r="N861" s="235">
        <v>7</v>
      </c>
      <c r="O861" s="248">
        <v>42048</v>
      </c>
      <c r="P861" s="136">
        <v>6.17</v>
      </c>
      <c r="Q861" s="264">
        <v>42204</v>
      </c>
      <c r="V861" s="219">
        <f t="shared" si="458"/>
        <v>19.474619653248464</v>
      </c>
      <c r="X861">
        <v>15.55</v>
      </c>
      <c r="AB861" s="220">
        <f t="shared" si="459"/>
        <v>6.3602464959985898</v>
      </c>
      <c r="AD861" s="221">
        <f t="shared" si="460"/>
        <v>75785.810661928655</v>
      </c>
      <c r="AF861" s="220">
        <f t="shared" si="461"/>
        <v>36.907689792359257</v>
      </c>
      <c r="AH861" s="220">
        <f t="shared" si="462"/>
        <v>41.385613133392297</v>
      </c>
      <c r="AJ861">
        <v>4.87</v>
      </c>
      <c r="AK861" s="285" t="s">
        <v>8400</v>
      </c>
      <c r="AL861" s="260">
        <v>175</v>
      </c>
      <c r="AN861" s="235">
        <v>72</v>
      </c>
      <c r="AO861" s="242">
        <v>42076</v>
      </c>
      <c r="AP861" s="235">
        <v>106</v>
      </c>
      <c r="AQ861" s="242">
        <v>42110</v>
      </c>
      <c r="AR861" s="136">
        <v>131</v>
      </c>
      <c r="AS861" s="297">
        <f t="shared" si="463"/>
        <v>131</v>
      </c>
      <c r="AT861" s="290">
        <v>42135</v>
      </c>
      <c r="AU861" s="298"/>
      <c r="BF861" s="282">
        <v>44.253143310546875</v>
      </c>
      <c r="BG861" s="283">
        <v>42235</v>
      </c>
      <c r="BL861" s="296">
        <v>64.835136413574219</v>
      </c>
      <c r="BM861" s="283">
        <v>42235</v>
      </c>
      <c r="BP861" s="282">
        <v>2.2384979724884033</v>
      </c>
      <c r="BQ861" s="283">
        <v>42235</v>
      </c>
      <c r="BR861" s="282">
        <v>52.765750885009766</v>
      </c>
      <c r="BS861" s="283">
        <v>42235</v>
      </c>
      <c r="BT861" s="282">
        <v>17.23284912109375</v>
      </c>
      <c r="BU861" s="283">
        <v>42235</v>
      </c>
      <c r="BV861" s="282">
        <v>14.551239967346191</v>
      </c>
      <c r="BW861" s="283">
        <v>42235</v>
      </c>
      <c r="BX861" s="282">
        <v>4.9169921875</v>
      </c>
      <c r="BY861" s="283">
        <v>42235</v>
      </c>
      <c r="CB861" s="267">
        <v>3.52</v>
      </c>
      <c r="CD861" s="282">
        <v>5.0847457627118757</v>
      </c>
      <c r="CE861" s="291" t="s">
        <v>8400</v>
      </c>
      <c r="CH861" s="136">
        <v>2</v>
      </c>
      <c r="CI861" s="136">
        <v>4</v>
      </c>
      <c r="CL861" s="136">
        <v>3</v>
      </c>
      <c r="CM861" s="259">
        <v>42161</v>
      </c>
      <c r="CN861" s="137" t="s">
        <v>8406</v>
      </c>
    </row>
    <row r="862" spans="1:92">
      <c r="A862" s="258">
        <v>1424</v>
      </c>
      <c r="B862" s="235">
        <v>548</v>
      </c>
      <c r="C862" s="235" t="s">
        <v>7805</v>
      </c>
      <c r="D862" s="235" t="s">
        <v>7599</v>
      </c>
      <c r="E862" s="235" t="s">
        <v>7805</v>
      </c>
      <c r="F862" s="235" t="s">
        <v>8579</v>
      </c>
      <c r="G862" s="235" t="str">
        <f t="shared" si="457"/>
        <v>Rapsodyn</v>
      </c>
      <c r="H862" s="235" t="s">
        <v>267</v>
      </c>
      <c r="I862" s="235">
        <v>2</v>
      </c>
      <c r="J862" s="235">
        <v>9176</v>
      </c>
      <c r="K862" s="235">
        <v>37</v>
      </c>
      <c r="L862" s="235">
        <f t="shared" si="450"/>
        <v>109</v>
      </c>
      <c r="M862" s="235">
        <v>8</v>
      </c>
      <c r="N862" s="235">
        <v>7</v>
      </c>
      <c r="O862" s="248">
        <v>42048</v>
      </c>
      <c r="P862" s="136">
        <v>7.44</v>
      </c>
      <c r="Q862" s="264">
        <v>42204</v>
      </c>
      <c r="V862" s="219">
        <f t="shared" si="458"/>
        <v>22.063481677677849</v>
      </c>
      <c r="X862">
        <v>15.55</v>
      </c>
      <c r="AB862" s="220">
        <f t="shared" si="459"/>
        <v>7.7050311078846558</v>
      </c>
      <c r="AD862" s="221">
        <f t="shared" si="460"/>
        <v>95712.246661792436</v>
      </c>
      <c r="AF862" s="220">
        <f t="shared" si="461"/>
        <v>45.271892671027828</v>
      </c>
      <c r="AH862" s="220">
        <f t="shared" si="462"/>
        <v>50.764625107678654</v>
      </c>
      <c r="AJ862">
        <v>4.7300000000000004</v>
      </c>
      <c r="AK862" s="285" t="s">
        <v>8400</v>
      </c>
      <c r="AL862" s="260">
        <v>160</v>
      </c>
      <c r="AN862" s="235">
        <v>70</v>
      </c>
      <c r="AO862" s="242">
        <v>42074</v>
      </c>
      <c r="AP862" s="235">
        <v>104</v>
      </c>
      <c r="AQ862" s="242">
        <v>42108</v>
      </c>
      <c r="AR862" s="136">
        <v>131</v>
      </c>
      <c r="AS862" s="297">
        <f t="shared" si="463"/>
        <v>131</v>
      </c>
      <c r="AT862" s="290">
        <v>42135</v>
      </c>
      <c r="AU862" s="298"/>
      <c r="BF862" s="282">
        <v>-1.6844520568847656</v>
      </c>
      <c r="BG862" s="283">
        <v>42235</v>
      </c>
      <c r="BL862" s="296">
        <v>62.580894470214844</v>
      </c>
      <c r="BM862" s="283">
        <v>42235</v>
      </c>
      <c r="BP862" s="282">
        <v>3.4911611080169678</v>
      </c>
      <c r="BQ862" s="283">
        <v>42235</v>
      </c>
      <c r="BR862" s="282">
        <v>48.735496520996094</v>
      </c>
      <c r="BS862" s="283">
        <v>42235</v>
      </c>
      <c r="BT862" s="282">
        <v>17.019458770751953</v>
      </c>
      <c r="BU862" s="283">
        <v>42235</v>
      </c>
      <c r="BV862" s="282">
        <v>12.956594467163086</v>
      </c>
      <c r="BW862" s="283">
        <v>42235</v>
      </c>
      <c r="BX862" s="282">
        <v>5.4859619140625</v>
      </c>
      <c r="BY862" s="283">
        <v>42235</v>
      </c>
      <c r="CB862" s="267">
        <v>3.96</v>
      </c>
      <c r="CD862" s="282">
        <v>3.4482758620689689</v>
      </c>
      <c r="CE862" s="291" t="s">
        <v>8400</v>
      </c>
      <c r="CH862" s="136">
        <v>2</v>
      </c>
      <c r="CI862" s="136">
        <v>2</v>
      </c>
      <c r="CL862" s="136">
        <v>2</v>
      </c>
      <c r="CM862" s="259">
        <v>42161</v>
      </c>
      <c r="CN862" s="137" t="s">
        <v>8406</v>
      </c>
    </row>
    <row r="863" spans="1:92">
      <c r="A863" s="258">
        <v>1427</v>
      </c>
      <c r="B863" s="235">
        <v>551</v>
      </c>
      <c r="C863" s="235" t="s">
        <v>7678</v>
      </c>
      <c r="D863" s="235" t="s">
        <v>261</v>
      </c>
      <c r="E863" s="235" t="s">
        <v>7678</v>
      </c>
      <c r="F863" s="235" t="s">
        <v>8578</v>
      </c>
      <c r="G863" s="235" t="str">
        <f t="shared" si="457"/>
        <v>Rapsodyn</v>
      </c>
      <c r="H863" s="235" t="s">
        <v>267</v>
      </c>
      <c r="I863" s="235">
        <v>2</v>
      </c>
      <c r="J863" s="235">
        <v>9060</v>
      </c>
      <c r="K863" s="235">
        <v>34</v>
      </c>
      <c r="L863" s="235">
        <f t="shared" si="450"/>
        <v>106</v>
      </c>
      <c r="M863" s="235">
        <v>8</v>
      </c>
      <c r="N863" s="235">
        <v>7</v>
      </c>
      <c r="O863" s="248">
        <v>42048</v>
      </c>
      <c r="P863" s="136">
        <v>5.63</v>
      </c>
      <c r="Q863" s="264">
        <v>42204</v>
      </c>
      <c r="V863" s="219">
        <f t="shared" si="458"/>
        <v>16.126655211022431</v>
      </c>
      <c r="X863">
        <v>15.55</v>
      </c>
      <c r="AB863" s="220">
        <f t="shared" si="459"/>
        <v>6.6755951284610955</v>
      </c>
      <c r="AD863" s="221">
        <f t="shared" si="460"/>
        <v>71600.998224312512</v>
      </c>
      <c r="AF863" s="220">
        <f t="shared" si="461"/>
        <v>33.580868167202574</v>
      </c>
      <c r="AH863" s="220">
        <f t="shared" si="462"/>
        <v>37.655156052032481</v>
      </c>
      <c r="AJ863">
        <v>4.6900000000000004</v>
      </c>
      <c r="AK863" s="285" t="s">
        <v>8402</v>
      </c>
      <c r="AL863" s="260">
        <v>160</v>
      </c>
      <c r="AN863" s="235">
        <v>72</v>
      </c>
      <c r="AO863" s="242">
        <v>42076</v>
      </c>
      <c r="AP863" s="235">
        <v>110</v>
      </c>
      <c r="AQ863" s="242">
        <v>42114</v>
      </c>
      <c r="AR863" s="136">
        <v>126</v>
      </c>
      <c r="AS863" s="297">
        <f t="shared" si="463"/>
        <v>126</v>
      </c>
      <c r="AT863" s="290">
        <v>42130</v>
      </c>
      <c r="AU863" s="298"/>
      <c r="BF863" s="282">
        <v>-5.1279830932617188</v>
      </c>
      <c r="BG863" s="283">
        <v>42234</v>
      </c>
      <c r="BL863" s="296">
        <v>73.195510864257813</v>
      </c>
      <c r="BM863" s="283">
        <v>42234</v>
      </c>
      <c r="BP863" s="282">
        <v>3.5737659931182861</v>
      </c>
      <c r="BQ863" s="283">
        <v>42234</v>
      </c>
      <c r="BR863" s="282">
        <v>48.023342132568359</v>
      </c>
      <c r="BS863" s="283">
        <v>42234</v>
      </c>
      <c r="BT863" s="282">
        <v>19.879161834716797</v>
      </c>
      <c r="BU863" s="283">
        <v>42234</v>
      </c>
      <c r="BV863" s="282">
        <v>20.231433868408203</v>
      </c>
      <c r="BW863" s="283">
        <v>42234</v>
      </c>
      <c r="BX863" s="282">
        <v>5.7641220092773438</v>
      </c>
      <c r="BY863" s="283">
        <v>42234</v>
      </c>
      <c r="CB863" s="267">
        <v>4.79</v>
      </c>
      <c r="CD863" s="282">
        <v>5.3571428571428541</v>
      </c>
      <c r="CE863" s="291" t="s">
        <v>8402</v>
      </c>
      <c r="CH863" s="136">
        <v>2</v>
      </c>
      <c r="CI863" s="136">
        <v>2</v>
      </c>
      <c r="CL863" s="136">
        <v>4</v>
      </c>
      <c r="CM863" s="259">
        <v>42161</v>
      </c>
      <c r="CN863" s="137" t="s">
        <v>8406</v>
      </c>
    </row>
    <row r="864" spans="1:92">
      <c r="A864" s="258">
        <v>1430</v>
      </c>
      <c r="B864" s="235">
        <v>554</v>
      </c>
      <c r="C864" s="235" t="s">
        <v>7776</v>
      </c>
      <c r="D864" s="235" t="s">
        <v>7574</v>
      </c>
      <c r="E864" s="235" t="s">
        <v>7776</v>
      </c>
      <c r="F864" s="235" t="s">
        <v>8577</v>
      </c>
      <c r="G864" s="235" t="str">
        <f t="shared" si="457"/>
        <v>Rapsodyn</v>
      </c>
      <c r="H864" s="235" t="s">
        <v>267</v>
      </c>
      <c r="I864" s="235">
        <v>2</v>
      </c>
      <c r="J864" s="235">
        <v>9147</v>
      </c>
      <c r="K864" s="235">
        <v>31</v>
      </c>
      <c r="L864" s="235">
        <f t="shared" si="450"/>
        <v>103</v>
      </c>
      <c r="M864" s="235">
        <v>8</v>
      </c>
      <c r="N864" s="235">
        <v>7</v>
      </c>
      <c r="O864" s="248">
        <v>42048</v>
      </c>
      <c r="P864" s="136">
        <v>7.08</v>
      </c>
      <c r="Q864" s="264">
        <v>42204</v>
      </c>
      <c r="V864" s="219">
        <f t="shared" si="458"/>
        <v>21.052376619438167</v>
      </c>
      <c r="X864">
        <v>15.55</v>
      </c>
      <c r="AB864" s="220">
        <f t="shared" si="459"/>
        <v>7.4758782452377002</v>
      </c>
      <c r="AD864" s="221">
        <f t="shared" si="460"/>
        <v>99956.652480751509</v>
      </c>
      <c r="AF864" s="220">
        <f t="shared" si="461"/>
        <v>43.081317219203896</v>
      </c>
      <c r="AH864" s="220">
        <f t="shared" si="462"/>
        <v>48.308272279887753</v>
      </c>
      <c r="AJ864">
        <v>4.3099999999999996</v>
      </c>
      <c r="AK864" s="285" t="s">
        <v>8401</v>
      </c>
      <c r="AL864" s="260">
        <v>175</v>
      </c>
      <c r="AN864" s="235">
        <v>70</v>
      </c>
      <c r="AO864" s="242">
        <v>42074</v>
      </c>
      <c r="AP864" s="235">
        <v>106</v>
      </c>
      <c r="AQ864" s="242">
        <v>42110</v>
      </c>
      <c r="AR864" s="136">
        <v>132</v>
      </c>
      <c r="AS864" s="297">
        <f t="shared" si="463"/>
        <v>132</v>
      </c>
      <c r="AT864" s="290">
        <v>42136</v>
      </c>
      <c r="AU864" s="298"/>
      <c r="BF864" s="282">
        <v>-3.6436350345611572</v>
      </c>
      <c r="BG864" s="283">
        <v>42234</v>
      </c>
      <c r="BL864" s="296">
        <v>65.751594543457031</v>
      </c>
      <c r="BM864" s="283">
        <v>42234</v>
      </c>
      <c r="BP864" s="282">
        <v>3.69746994972229</v>
      </c>
      <c r="BQ864" s="283">
        <v>42234</v>
      </c>
      <c r="BR864" s="282">
        <v>48.866603851318359</v>
      </c>
      <c r="BS864" s="283">
        <v>42234</v>
      </c>
      <c r="BT864" s="282">
        <v>17.352947235107422</v>
      </c>
      <c r="BU864" s="283">
        <v>42234</v>
      </c>
      <c r="BV864" s="282">
        <v>12.332261085510254</v>
      </c>
      <c r="BW864" s="283">
        <v>42234</v>
      </c>
      <c r="BX864" s="282">
        <v>5.7236862182617188</v>
      </c>
      <c r="BY864" s="283">
        <v>42234</v>
      </c>
      <c r="CB864" s="267">
        <v>4.0999999999999996</v>
      </c>
      <c r="CD864" s="282">
        <v>3.4482758620689689</v>
      </c>
      <c r="CE864" s="291" t="s">
        <v>8401</v>
      </c>
      <c r="CH864" s="136">
        <v>2</v>
      </c>
      <c r="CI864" s="136">
        <v>3</v>
      </c>
      <c r="CL864" s="136">
        <v>3</v>
      </c>
      <c r="CM864" s="259">
        <v>42161</v>
      </c>
      <c r="CN864" s="137" t="s">
        <v>8406</v>
      </c>
    </row>
    <row r="865" spans="1:93">
      <c r="A865" s="258">
        <v>1431</v>
      </c>
      <c r="B865" s="235">
        <v>555</v>
      </c>
      <c r="C865" s="235" t="s">
        <v>7576</v>
      </c>
      <c r="D865" s="235"/>
      <c r="E865" s="235"/>
      <c r="F865" s="235"/>
      <c r="G865" s="235"/>
      <c r="H865" s="235" t="s">
        <v>267</v>
      </c>
      <c r="I865" s="235">
        <v>2</v>
      </c>
      <c r="K865" s="235">
        <v>30</v>
      </c>
      <c r="L865" s="235">
        <f t="shared" si="450"/>
        <v>102</v>
      </c>
      <c r="M865" s="235">
        <v>8</v>
      </c>
      <c r="O865" s="248">
        <v>42048</v>
      </c>
      <c r="V865" s="219"/>
      <c r="X865">
        <v>15.55</v>
      </c>
      <c r="AB865" s="220"/>
      <c r="AD865" s="221"/>
      <c r="AF865" s="220"/>
      <c r="AH865" s="220"/>
      <c r="AJ865" s="286"/>
      <c r="AK865" s="285"/>
      <c r="AL865" s="260"/>
      <c r="AN865" s="235">
        <v>70</v>
      </c>
      <c r="AO865" s="242">
        <v>42074</v>
      </c>
      <c r="AP865" s="235">
        <v>106</v>
      </c>
      <c r="AQ865" s="242">
        <v>42110</v>
      </c>
      <c r="AS865" s="297"/>
      <c r="AT865" s="290"/>
      <c r="AU865" s="298"/>
      <c r="BF865" s="282"/>
      <c r="BG865" s="235"/>
      <c r="BL865" s="296"/>
      <c r="BM865" s="235"/>
      <c r="BP865" s="282"/>
      <c r="BQ865" s="235"/>
      <c r="BR865" s="282"/>
      <c r="BS865" s="235"/>
      <c r="BT865" s="282"/>
      <c r="BU865" s="235"/>
      <c r="BV865" s="282"/>
      <c r="BW865" s="235"/>
      <c r="BX865" s="282"/>
      <c r="BY865" s="235"/>
      <c r="CB865" s="267"/>
      <c r="CD865" s="282"/>
      <c r="CE865" s="291"/>
      <c r="CL865" s="136">
        <v>4</v>
      </c>
      <c r="CM865" s="259">
        <v>42161</v>
      </c>
    </row>
    <row r="866" spans="1:93">
      <c r="A866" s="258">
        <v>1432</v>
      </c>
      <c r="B866" s="235">
        <v>556</v>
      </c>
      <c r="C866" s="235" t="s">
        <v>7576</v>
      </c>
      <c r="D866" s="235"/>
      <c r="E866" s="235"/>
      <c r="F866" s="235"/>
      <c r="G866" s="235"/>
      <c r="H866" s="235" t="s">
        <v>267</v>
      </c>
      <c r="I866" s="235">
        <v>2</v>
      </c>
      <c r="K866" s="235">
        <v>29</v>
      </c>
      <c r="L866" s="235">
        <f t="shared" si="450"/>
        <v>101</v>
      </c>
      <c r="M866" s="235">
        <v>8</v>
      </c>
      <c r="O866" s="248">
        <v>42048</v>
      </c>
      <c r="V866" s="219"/>
      <c r="X866">
        <v>15.55</v>
      </c>
      <c r="AB866" s="220"/>
      <c r="AD866" s="221"/>
      <c r="AF866" s="220"/>
      <c r="AH866" s="220"/>
      <c r="AJ866" s="286"/>
      <c r="AK866" s="285"/>
      <c r="AL866" s="260"/>
      <c r="AN866" s="235">
        <v>70</v>
      </c>
      <c r="AO866" s="242">
        <v>42074</v>
      </c>
      <c r="AP866" s="235">
        <v>106</v>
      </c>
      <c r="AQ866" s="242">
        <v>42110</v>
      </c>
      <c r="AS866" s="297"/>
      <c r="AT866" s="290"/>
      <c r="AU866" s="298"/>
      <c r="BF866" s="282"/>
      <c r="BG866" s="235"/>
      <c r="BL866" s="296"/>
      <c r="BM866" s="235"/>
      <c r="BP866" s="282"/>
      <c r="BQ866" s="235"/>
      <c r="BR866" s="282"/>
      <c r="BS866" s="235"/>
      <c r="BT866" s="282"/>
      <c r="BU866" s="235"/>
      <c r="BV866" s="282"/>
      <c r="BW866" s="235"/>
      <c r="BX866" s="282"/>
      <c r="BY866" s="235"/>
      <c r="CB866" s="267"/>
      <c r="CD866" s="282"/>
      <c r="CE866" s="291"/>
      <c r="CL866" s="136">
        <v>3</v>
      </c>
      <c r="CM866" s="259">
        <v>42161</v>
      </c>
    </row>
    <row r="867" spans="1:93">
      <c r="A867" s="258">
        <v>1433</v>
      </c>
      <c r="B867" s="235">
        <v>557</v>
      </c>
      <c r="C867" s="235" t="s">
        <v>7704</v>
      </c>
      <c r="D867" s="235" t="s">
        <v>7530</v>
      </c>
      <c r="E867" s="235" t="s">
        <v>7704</v>
      </c>
      <c r="F867" s="235" t="s">
        <v>8576</v>
      </c>
      <c r="G867" s="235" t="str">
        <f t="shared" ref="G867:G878" si="464">IF(MID(C867,1,3)="BGA","Complement","Rapsodyn")</f>
        <v>Rapsodyn</v>
      </c>
      <c r="H867" s="235" t="s">
        <v>267</v>
      </c>
      <c r="I867" s="235">
        <v>2</v>
      </c>
      <c r="J867" s="235">
        <v>9086</v>
      </c>
      <c r="K867" s="235">
        <v>28</v>
      </c>
      <c r="L867" s="235">
        <f t="shared" si="450"/>
        <v>100</v>
      </c>
      <c r="M867" s="235">
        <v>8</v>
      </c>
      <c r="N867" s="235">
        <v>7</v>
      </c>
      <c r="O867" s="248">
        <v>42048</v>
      </c>
      <c r="P867" s="136">
        <v>6.74</v>
      </c>
      <c r="Q867" s="264">
        <v>42204</v>
      </c>
      <c r="V867" s="219">
        <f t="shared" ref="V867:V872" si="465">+BR867*AF867/100</f>
        <v>19.467579647935082</v>
      </c>
      <c r="X867">
        <v>15.55</v>
      </c>
      <c r="AB867" s="220">
        <f t="shared" ref="AB867:AB872" si="466">+AF867*BT867/100</f>
        <v>7.154566910231611</v>
      </c>
      <c r="AD867" s="221">
        <f t="shared" ref="AD867:AD872" si="467">+(AF867/AJ867)*10000</f>
        <v>105439.78472554786</v>
      </c>
      <c r="AF867" s="220">
        <f t="shared" ref="AF867:AF872" si="468">($P867/$X867)*(((100-$CD867)/100*(100-2)/100))*100</f>
        <v>39.645359056805994</v>
      </c>
      <c r="AH867" s="220">
        <f t="shared" ref="AH867:AH872" si="469">($P867/$X867)*(((100-$CD867)/(100-9)*(100-2)/(100-2))*100)</f>
        <v>44.45543738148239</v>
      </c>
      <c r="AJ867">
        <v>3.76</v>
      </c>
      <c r="AK867" s="285" t="s">
        <v>8402</v>
      </c>
      <c r="AL867" s="260">
        <v>165</v>
      </c>
      <c r="AN867" s="235">
        <v>79</v>
      </c>
      <c r="AO867" s="242">
        <v>42083</v>
      </c>
      <c r="AP867" s="235">
        <v>106</v>
      </c>
      <c r="AQ867" s="242">
        <v>42110</v>
      </c>
      <c r="AR867" s="136">
        <v>136</v>
      </c>
      <c r="AS867" s="297">
        <f t="shared" ref="AS867:AS878" si="470">IF(AR867=0,,AR867)</f>
        <v>136</v>
      </c>
      <c r="AT867" s="290">
        <v>42140</v>
      </c>
      <c r="AU867" s="298"/>
      <c r="BF867" s="282">
        <v>-6.9538021087646484</v>
      </c>
      <c r="BG867" s="283">
        <v>42235</v>
      </c>
      <c r="BL867" s="296">
        <v>62.338245391845703</v>
      </c>
      <c r="BM867" s="283">
        <v>42235</v>
      </c>
      <c r="BP867" s="282">
        <v>3.4794940948486328</v>
      </c>
      <c r="BQ867" s="283">
        <v>42235</v>
      </c>
      <c r="BR867" s="282">
        <v>49.10430908203125</v>
      </c>
      <c r="BS867" s="283">
        <v>42235</v>
      </c>
      <c r="BT867" s="282">
        <v>18.046417236328125</v>
      </c>
      <c r="BU867" s="283">
        <v>42235</v>
      </c>
      <c r="BV867" s="282">
        <v>16.844188690185547</v>
      </c>
      <c r="BW867" s="283">
        <v>42235</v>
      </c>
      <c r="BX867" s="282">
        <v>5.7254867553710938</v>
      </c>
      <c r="BY867" s="283">
        <v>42235</v>
      </c>
      <c r="CB867" s="267">
        <v>5.07</v>
      </c>
      <c r="CD867" s="282">
        <v>6.6666666666666723</v>
      </c>
      <c r="CE867" s="291" t="s">
        <v>8402</v>
      </c>
      <c r="CH867" s="136">
        <v>3</v>
      </c>
      <c r="CI867" s="136">
        <v>2</v>
      </c>
      <c r="CL867" s="136">
        <v>2</v>
      </c>
      <c r="CM867" s="259">
        <v>42161</v>
      </c>
      <c r="CN867" s="137" t="s">
        <v>8406</v>
      </c>
    </row>
    <row r="868" spans="1:93">
      <c r="A868" s="258">
        <v>1434</v>
      </c>
      <c r="B868" s="235">
        <v>558</v>
      </c>
      <c r="C868" s="235" t="s">
        <v>7773</v>
      </c>
      <c r="D868" s="235" t="s">
        <v>7571</v>
      </c>
      <c r="E868" s="235" t="s">
        <v>7773</v>
      </c>
      <c r="F868" s="235" t="s">
        <v>8575</v>
      </c>
      <c r="G868" s="235" t="str">
        <f t="shared" si="464"/>
        <v>Rapsodyn</v>
      </c>
      <c r="H868" s="235" t="s">
        <v>267</v>
      </c>
      <c r="I868" s="235">
        <v>2</v>
      </c>
      <c r="J868" s="235">
        <v>9144</v>
      </c>
      <c r="K868" s="235">
        <v>27</v>
      </c>
      <c r="L868" s="235">
        <f t="shared" si="450"/>
        <v>99</v>
      </c>
      <c r="M868" s="235">
        <v>8</v>
      </c>
      <c r="N868" s="235">
        <v>5</v>
      </c>
      <c r="O868" s="248">
        <v>42048</v>
      </c>
      <c r="P868" s="136">
        <v>6.77</v>
      </c>
      <c r="Q868" s="264">
        <v>42204</v>
      </c>
      <c r="V868" s="219">
        <f t="shared" si="465"/>
        <v>20.06601907309382</v>
      </c>
      <c r="X868">
        <v>15.55</v>
      </c>
      <c r="AB868" s="220">
        <f t="shared" si="466"/>
        <v>7.1987927957154865</v>
      </c>
      <c r="AD868" s="221">
        <f t="shared" si="467"/>
        <v>86739.584702755732</v>
      </c>
      <c r="AF868" s="220">
        <f t="shared" si="468"/>
        <v>40.420646471484176</v>
      </c>
      <c r="AH868" s="220">
        <f t="shared" si="469"/>
        <v>45.32478859776203</v>
      </c>
      <c r="AJ868">
        <v>4.66</v>
      </c>
      <c r="AK868" s="285" t="s">
        <v>8402</v>
      </c>
      <c r="AL868" s="260">
        <v>170</v>
      </c>
      <c r="AN868" s="235">
        <v>72</v>
      </c>
      <c r="AO868" s="242">
        <v>42076</v>
      </c>
      <c r="AP868" s="235">
        <v>106</v>
      </c>
      <c r="AQ868" s="242">
        <v>42110</v>
      </c>
      <c r="AR868" s="136">
        <v>131</v>
      </c>
      <c r="AS868" s="297">
        <f t="shared" si="470"/>
        <v>131</v>
      </c>
      <c r="AT868" s="290">
        <v>42135</v>
      </c>
      <c r="AU868" s="298"/>
      <c r="BF868" s="282">
        <v>-4.6147751808166504</v>
      </c>
      <c r="BG868" s="283">
        <v>42235</v>
      </c>
      <c r="BL868" s="296">
        <v>63.467601776123047</v>
      </c>
      <c r="BM868" s="283">
        <v>42235</v>
      </c>
      <c r="BP868" s="282">
        <v>3.9654779434204102</v>
      </c>
      <c r="BQ868" s="283">
        <v>42235</v>
      </c>
      <c r="BR868" s="282">
        <v>49.642993927001953</v>
      </c>
      <c r="BS868" s="283">
        <v>42235</v>
      </c>
      <c r="BT868" s="282">
        <v>17.8096923828125</v>
      </c>
      <c r="BU868" s="283">
        <v>42235</v>
      </c>
      <c r="BV868" s="282">
        <v>10.823306083679199</v>
      </c>
      <c r="BW868" s="283">
        <v>42235</v>
      </c>
      <c r="BX868" s="282">
        <v>5.4602127075195313</v>
      </c>
      <c r="BY868" s="283">
        <v>42235</v>
      </c>
      <c r="CB868" s="267">
        <v>5.0599999999999996</v>
      </c>
      <c r="CD868" s="282">
        <v>5.2631578947368389</v>
      </c>
      <c r="CE868" s="291" t="s">
        <v>8402</v>
      </c>
      <c r="CH868" s="136">
        <v>2</v>
      </c>
      <c r="CI868" s="136">
        <v>3</v>
      </c>
      <c r="CL868" s="136">
        <v>3</v>
      </c>
      <c r="CM868" s="259">
        <v>42161</v>
      </c>
      <c r="CN868" s="137" t="s">
        <v>8406</v>
      </c>
    </row>
    <row r="869" spans="1:93">
      <c r="A869" s="258">
        <v>1436</v>
      </c>
      <c r="B869" s="235">
        <v>560</v>
      </c>
      <c r="C869" s="235" t="s">
        <v>7619</v>
      </c>
      <c r="D869" s="235" t="s">
        <v>7455</v>
      </c>
      <c r="E869" s="235" t="s">
        <v>7619</v>
      </c>
      <c r="F869" s="235" t="s">
        <v>8574</v>
      </c>
      <c r="G869" s="235" t="str">
        <f t="shared" si="464"/>
        <v>Rapsodyn</v>
      </c>
      <c r="H869" s="235" t="s">
        <v>267</v>
      </c>
      <c r="I869" s="235">
        <v>2</v>
      </c>
      <c r="J869" s="235">
        <v>9012</v>
      </c>
      <c r="K869" s="235">
        <v>25</v>
      </c>
      <c r="L869" s="235">
        <f t="shared" si="450"/>
        <v>97</v>
      </c>
      <c r="M869" s="235">
        <v>8</v>
      </c>
      <c r="N869" s="235">
        <v>7</v>
      </c>
      <c r="O869" s="248">
        <v>42048</v>
      </c>
      <c r="P869" s="136">
        <v>3.84</v>
      </c>
      <c r="Q869" s="264">
        <v>42204</v>
      </c>
      <c r="V869" s="219">
        <f t="shared" si="465"/>
        <v>10.141009339533149</v>
      </c>
      <c r="X869">
        <v>15.55</v>
      </c>
      <c r="AB869" s="220">
        <f t="shared" si="466"/>
        <v>4.9248398871787966</v>
      </c>
      <c r="AD869" s="221">
        <f t="shared" si="467"/>
        <v>46707.9120530203</v>
      </c>
      <c r="AF869" s="220">
        <f t="shared" si="468"/>
        <v>22.559921521608803</v>
      </c>
      <c r="AH869" s="220">
        <f t="shared" si="469"/>
        <v>25.297063827773947</v>
      </c>
      <c r="AJ869">
        <v>4.83</v>
      </c>
      <c r="AK869" s="285" t="s">
        <v>8399</v>
      </c>
      <c r="AL869" s="260">
        <v>160</v>
      </c>
      <c r="AN869" s="235">
        <v>72</v>
      </c>
      <c r="AO869" s="242">
        <v>42076</v>
      </c>
      <c r="AP869" s="235">
        <v>104</v>
      </c>
      <c r="AQ869" s="242">
        <v>42108</v>
      </c>
      <c r="AR869" s="136">
        <v>132</v>
      </c>
      <c r="AS869" s="297">
        <f t="shared" si="470"/>
        <v>132</v>
      </c>
      <c r="AT869" s="290">
        <v>42136</v>
      </c>
      <c r="AU869" s="298"/>
      <c r="BF869" s="282">
        <v>34.428325653076172</v>
      </c>
      <c r="BG869" s="283">
        <v>42235</v>
      </c>
      <c r="BL869" s="296">
        <v>56.918453216552734</v>
      </c>
      <c r="BM869" s="283">
        <v>42235</v>
      </c>
      <c r="BP869" s="282">
        <v>3.4453139305114746</v>
      </c>
      <c r="BQ869" s="283">
        <v>42235</v>
      </c>
      <c r="BR869" s="282">
        <v>44.951438903808594</v>
      </c>
      <c r="BS869" s="283">
        <v>42235</v>
      </c>
      <c r="BT869" s="282">
        <v>21.830039978027344</v>
      </c>
      <c r="BU869" s="283">
        <v>42235</v>
      </c>
      <c r="BV869" s="282">
        <v>67.214790344238281</v>
      </c>
      <c r="BW869" s="283">
        <v>42235</v>
      </c>
      <c r="BX869" s="282">
        <v>5.8283538818359375</v>
      </c>
      <c r="BY869" s="283">
        <v>42235</v>
      </c>
      <c r="CB869" s="267">
        <v>4.29</v>
      </c>
      <c r="CD869" s="282">
        <v>6.7796610169491585</v>
      </c>
      <c r="CE869" s="291" t="s">
        <v>8399</v>
      </c>
      <c r="CH869" s="136">
        <v>2</v>
      </c>
      <c r="CI869" s="136">
        <v>4</v>
      </c>
      <c r="CL869" s="136">
        <v>5</v>
      </c>
      <c r="CM869" s="259">
        <v>42161</v>
      </c>
      <c r="CN869" s="137" t="s">
        <v>8406</v>
      </c>
    </row>
    <row r="870" spans="1:93">
      <c r="A870" s="258">
        <v>1438</v>
      </c>
      <c r="B870" s="235">
        <v>562</v>
      </c>
      <c r="C870" s="235" t="s">
        <v>7613</v>
      </c>
      <c r="D870" s="235" t="s">
        <v>7814</v>
      </c>
      <c r="E870" s="235" t="s">
        <v>7613</v>
      </c>
      <c r="F870" s="235" t="s">
        <v>8573</v>
      </c>
      <c r="G870" s="235" t="str">
        <f t="shared" si="464"/>
        <v>Rapsodyn</v>
      </c>
      <c r="H870" s="235" t="s">
        <v>267</v>
      </c>
      <c r="I870" s="235">
        <v>2</v>
      </c>
      <c r="J870" s="235">
        <v>9006</v>
      </c>
      <c r="K870" s="235">
        <v>23</v>
      </c>
      <c r="L870" s="235">
        <f t="shared" si="450"/>
        <v>95</v>
      </c>
      <c r="M870" s="235">
        <v>8</v>
      </c>
      <c r="N870" s="235">
        <v>9</v>
      </c>
      <c r="O870" s="248">
        <v>42048</v>
      </c>
      <c r="P870" s="136">
        <v>3.45</v>
      </c>
      <c r="Q870" s="264">
        <v>42204</v>
      </c>
      <c r="V870" s="219">
        <f t="shared" si="465"/>
        <v>9.5533510226998501</v>
      </c>
      <c r="X870">
        <v>15.55</v>
      </c>
      <c r="AB870" s="220">
        <f t="shared" si="466"/>
        <v>4.1457083467795517</v>
      </c>
      <c r="AD870" s="221">
        <f t="shared" si="467"/>
        <v>43400.701901997156</v>
      </c>
      <c r="AF870" s="220">
        <f t="shared" si="468"/>
        <v>20.354929192036668</v>
      </c>
      <c r="AH870" s="220">
        <f t="shared" si="469"/>
        <v>22.824544956309342</v>
      </c>
      <c r="AJ870">
        <v>4.6900000000000004</v>
      </c>
      <c r="AK870" s="285" t="s">
        <v>8398</v>
      </c>
      <c r="AL870" s="260">
        <v>190</v>
      </c>
      <c r="AN870" s="235">
        <v>70</v>
      </c>
      <c r="AO870" s="242">
        <v>42074</v>
      </c>
      <c r="AP870" s="235">
        <v>110</v>
      </c>
      <c r="AQ870" s="242">
        <v>42114</v>
      </c>
      <c r="AR870" s="136">
        <v>136</v>
      </c>
      <c r="AS870" s="297">
        <f t="shared" si="470"/>
        <v>136</v>
      </c>
      <c r="AT870" s="290">
        <v>42140</v>
      </c>
      <c r="AU870" s="298"/>
      <c r="BF870" s="282">
        <v>33.797527313232422</v>
      </c>
      <c r="BG870" s="283">
        <v>42234</v>
      </c>
      <c r="BL870" s="296">
        <v>60.054325103759766</v>
      </c>
      <c r="BM870" s="283">
        <v>42234</v>
      </c>
      <c r="BP870" s="282">
        <v>3.4965119361877441</v>
      </c>
      <c r="BQ870" s="283">
        <v>42234</v>
      </c>
      <c r="BR870" s="282">
        <v>46.933845520019531</v>
      </c>
      <c r="BS870" s="283">
        <v>42234</v>
      </c>
      <c r="BT870" s="282">
        <v>20.367097854614258</v>
      </c>
      <c r="BU870" s="283">
        <v>42234</v>
      </c>
      <c r="BV870" s="282">
        <v>62.12213134765625</v>
      </c>
      <c r="BW870" s="283">
        <v>42234</v>
      </c>
      <c r="BX870" s="282">
        <v>5.8953704833984375</v>
      </c>
      <c r="BY870" s="283">
        <v>42234</v>
      </c>
      <c r="CB870" s="267">
        <v>6.52</v>
      </c>
      <c r="CD870" s="282">
        <v>6.3829787234042508</v>
      </c>
      <c r="CE870" s="291" t="s">
        <v>8398</v>
      </c>
      <c r="CH870" s="136">
        <v>1</v>
      </c>
      <c r="CI870" s="136">
        <v>2</v>
      </c>
      <c r="CL870" s="136">
        <v>6</v>
      </c>
      <c r="CM870" s="259">
        <v>42161</v>
      </c>
      <c r="CN870" s="137" t="s">
        <v>8406</v>
      </c>
    </row>
    <row r="871" spans="1:93">
      <c r="A871" s="258">
        <v>1439</v>
      </c>
      <c r="B871" s="235">
        <v>563</v>
      </c>
      <c r="C871" s="235" t="s">
        <v>7809</v>
      </c>
      <c r="D871" s="235" t="s">
        <v>7603</v>
      </c>
      <c r="E871" s="235" t="s">
        <v>7809</v>
      </c>
      <c r="F871" s="235" t="s">
        <v>8572</v>
      </c>
      <c r="G871" s="235" t="str">
        <f t="shared" si="464"/>
        <v>Rapsodyn</v>
      </c>
      <c r="H871" s="235" t="s">
        <v>267</v>
      </c>
      <c r="I871" s="235">
        <v>2</v>
      </c>
      <c r="J871" s="235">
        <v>9180</v>
      </c>
      <c r="K871" s="235">
        <v>22</v>
      </c>
      <c r="L871" s="235">
        <f t="shared" si="450"/>
        <v>94</v>
      </c>
      <c r="M871" s="235">
        <v>8</v>
      </c>
      <c r="N871" s="236">
        <v>9</v>
      </c>
      <c r="O871" s="248">
        <v>42048</v>
      </c>
      <c r="P871" s="136">
        <v>7.74</v>
      </c>
      <c r="Q871" s="264">
        <v>42204</v>
      </c>
      <c r="V871" s="219">
        <f t="shared" si="465"/>
        <v>22.429825277739397</v>
      </c>
      <c r="X871">
        <v>15.55</v>
      </c>
      <c r="AB871" s="220">
        <f t="shared" si="466"/>
        <v>7.8636447723037737</v>
      </c>
      <c r="AD871" s="221">
        <f t="shared" si="467"/>
        <v>106679.98080232904</v>
      </c>
      <c r="AF871" s="220">
        <f t="shared" si="468"/>
        <v>46.299111668210799</v>
      </c>
      <c r="AH871" s="220">
        <f t="shared" si="469"/>
        <v>51.916474173817896</v>
      </c>
      <c r="AJ871">
        <v>4.34</v>
      </c>
      <c r="AK871" s="285" t="s">
        <v>8398</v>
      </c>
      <c r="AL871" s="260">
        <v>165</v>
      </c>
      <c r="AN871" s="235">
        <v>72</v>
      </c>
      <c r="AO871" s="242">
        <v>42076</v>
      </c>
      <c r="AP871" s="235">
        <v>106</v>
      </c>
      <c r="AQ871" s="242">
        <v>42110</v>
      </c>
      <c r="AR871" s="136">
        <v>132</v>
      </c>
      <c r="AS871" s="297">
        <f t="shared" si="470"/>
        <v>132</v>
      </c>
      <c r="AT871" s="290">
        <v>42136</v>
      </c>
      <c r="AU871" s="298"/>
      <c r="BF871" s="282">
        <v>-3.8681159019470215</v>
      </c>
      <c r="BG871" s="283">
        <v>42235</v>
      </c>
      <c r="BL871" s="296">
        <v>62.294521331787109</v>
      </c>
      <c r="BM871" s="283">
        <v>42235</v>
      </c>
      <c r="BP871" s="282">
        <v>3.6254510879516602</v>
      </c>
      <c r="BQ871" s="283">
        <v>42235</v>
      </c>
      <c r="BR871" s="282">
        <v>48.445476531982422</v>
      </c>
      <c r="BS871" s="283">
        <v>42235</v>
      </c>
      <c r="BT871" s="282">
        <v>16.984439849853516</v>
      </c>
      <c r="BU871" s="283">
        <v>42235</v>
      </c>
      <c r="BV871" s="282">
        <v>16.109750747680664</v>
      </c>
      <c r="BW871" s="283">
        <v>42235</v>
      </c>
      <c r="BX871" s="282">
        <v>5.7691802978515625</v>
      </c>
      <c r="BY871" s="283">
        <v>42235</v>
      </c>
      <c r="CB871" s="267">
        <v>5.48</v>
      </c>
      <c r="CD871" s="282">
        <v>5.0847457627118757</v>
      </c>
      <c r="CE871" s="291" t="s">
        <v>8398</v>
      </c>
      <c r="CH871" s="136">
        <v>2</v>
      </c>
      <c r="CI871" s="136">
        <v>4</v>
      </c>
      <c r="CL871" s="136">
        <v>2</v>
      </c>
      <c r="CM871" s="259">
        <v>42161</v>
      </c>
      <c r="CN871" s="137" t="s">
        <v>8406</v>
      </c>
    </row>
    <row r="872" spans="1:93">
      <c r="A872" s="258">
        <v>1440</v>
      </c>
      <c r="B872" s="235">
        <v>564</v>
      </c>
      <c r="C872" s="235" t="s">
        <v>7775</v>
      </c>
      <c r="D872" s="235" t="s">
        <v>7573</v>
      </c>
      <c r="E872" s="235" t="s">
        <v>7775</v>
      </c>
      <c r="F872" s="235" t="s">
        <v>8571</v>
      </c>
      <c r="G872" s="235" t="str">
        <f t="shared" si="464"/>
        <v>Rapsodyn</v>
      </c>
      <c r="H872" s="235" t="s">
        <v>267</v>
      </c>
      <c r="I872" s="235">
        <v>2</v>
      </c>
      <c r="J872" s="235">
        <v>9146</v>
      </c>
      <c r="K872" s="235">
        <v>21</v>
      </c>
      <c r="L872" s="235">
        <f t="shared" si="450"/>
        <v>93</v>
      </c>
      <c r="M872" s="235">
        <v>8</v>
      </c>
      <c r="N872" s="235">
        <v>5</v>
      </c>
      <c r="O872" s="248">
        <v>42048</v>
      </c>
      <c r="P872" s="136">
        <v>6.01</v>
      </c>
      <c r="Q872" s="264">
        <v>42204</v>
      </c>
      <c r="V872" s="219">
        <f t="shared" si="465"/>
        <v>17.477996277560759</v>
      </c>
      <c r="X872">
        <v>15.55</v>
      </c>
      <c r="AB872" s="220">
        <f t="shared" si="466"/>
        <v>6.5607148608977388</v>
      </c>
      <c r="AD872" s="221">
        <f t="shared" si="467"/>
        <v>72419.045763097209</v>
      </c>
      <c r="AF872" s="220">
        <f t="shared" si="468"/>
        <v>35.847427652733117</v>
      </c>
      <c r="AH872" s="220">
        <f t="shared" si="469"/>
        <v>40.19671187792455</v>
      </c>
      <c r="AJ872">
        <v>4.95</v>
      </c>
      <c r="AK872" s="285" t="s">
        <v>8398</v>
      </c>
      <c r="AL872" s="260">
        <v>165</v>
      </c>
      <c r="AN872" s="235">
        <v>72</v>
      </c>
      <c r="AO872" s="242">
        <v>42076</v>
      </c>
      <c r="AP872" s="235">
        <v>104</v>
      </c>
      <c r="AQ872" s="242">
        <v>42108</v>
      </c>
      <c r="AR872" s="136">
        <v>132</v>
      </c>
      <c r="AS872" s="297">
        <f t="shared" si="470"/>
        <v>132</v>
      </c>
      <c r="AT872" s="290">
        <v>42136</v>
      </c>
      <c r="AU872" s="298"/>
      <c r="BF872" s="282">
        <v>-0.6619420051574707</v>
      </c>
      <c r="BG872" s="283">
        <v>42235</v>
      </c>
      <c r="BL872" s="296">
        <v>60.777843475341797</v>
      </c>
      <c r="BM872" s="283">
        <v>42235</v>
      </c>
      <c r="BP872" s="282">
        <v>3.6263840198516846</v>
      </c>
      <c r="BQ872" s="283">
        <v>42235</v>
      </c>
      <c r="BR872" s="282">
        <v>48.756626129150391</v>
      </c>
      <c r="BS872" s="283">
        <v>42235</v>
      </c>
      <c r="BT872" s="282">
        <v>18.301773071289063</v>
      </c>
      <c r="BU872" s="283">
        <v>42235</v>
      </c>
      <c r="BV872" s="282">
        <v>11.872812271118164</v>
      </c>
      <c r="BW872" s="283">
        <v>42235</v>
      </c>
      <c r="BX872" s="282">
        <v>5.460052490234375</v>
      </c>
      <c r="BY872" s="283">
        <v>42235</v>
      </c>
      <c r="CB872" s="267">
        <v>6.23</v>
      </c>
      <c r="CD872" s="282">
        <v>5.3571428571428541</v>
      </c>
      <c r="CE872" s="291" t="s">
        <v>8398</v>
      </c>
      <c r="CH872" s="136">
        <v>2</v>
      </c>
      <c r="CI872" s="136">
        <v>4</v>
      </c>
      <c r="CL872" s="136">
        <v>2</v>
      </c>
      <c r="CM872" s="259">
        <v>42161</v>
      </c>
      <c r="CN872" s="137" t="s">
        <v>8406</v>
      </c>
    </row>
    <row r="873" spans="1:93">
      <c r="A873" s="258">
        <v>1443</v>
      </c>
      <c r="B873" s="235">
        <v>567</v>
      </c>
      <c r="C873" s="235" t="s">
        <v>7736</v>
      </c>
      <c r="D873" s="235" t="s">
        <v>7884</v>
      </c>
      <c r="E873" s="235" t="s">
        <v>7736</v>
      </c>
      <c r="F873" s="235" t="s">
        <v>8570</v>
      </c>
      <c r="G873" s="235" t="str">
        <f t="shared" si="464"/>
        <v>Rapsodyn</v>
      </c>
      <c r="H873" s="235" t="s">
        <v>267</v>
      </c>
      <c r="I873" s="235">
        <v>2</v>
      </c>
      <c r="J873" s="235">
        <v>9116</v>
      </c>
      <c r="K873" s="235">
        <v>18</v>
      </c>
      <c r="L873" s="235">
        <f t="shared" si="450"/>
        <v>90</v>
      </c>
      <c r="M873" s="235">
        <v>8</v>
      </c>
      <c r="N873" s="235">
        <v>7</v>
      </c>
      <c r="O873" s="248">
        <v>42048</v>
      </c>
      <c r="P873" s="136">
        <v>3.34</v>
      </c>
      <c r="Q873" s="264">
        <v>42204</v>
      </c>
      <c r="V873" s="219">
        <f t="shared" ref="V873:V878" si="471">+BR873*AF873/100</f>
        <v>8.9837016615572853</v>
      </c>
      <c r="X873">
        <v>15.55</v>
      </c>
      <c r="AB873" s="220">
        <f t="shared" ref="AB873:AB878" si="472">+AF873*BT873/100</f>
        <v>4.0555016548044973</v>
      </c>
      <c r="AD873" s="221">
        <f t="shared" ref="AD873:AD878" si="473">+(AF873/AJ873)*10000</f>
        <v>47674.10080510081</v>
      </c>
      <c r="AF873" s="220">
        <f t="shared" ref="AF873:AF878" si="474">($P873/$X873)*(((100-$CD873)/100*(100-2)/100))*100</f>
        <v>19.88010003572704</v>
      </c>
      <c r="AH873" s="220">
        <f t="shared" ref="AH873:AH878" si="475">($P873/$X873)*(((100-$CD873)/(100-9)*(100-2)/(100-2))*100)</f>
        <v>22.292105893392062</v>
      </c>
      <c r="AJ873">
        <v>4.17</v>
      </c>
      <c r="AK873" s="285" t="s">
        <v>8398</v>
      </c>
      <c r="AL873" s="260">
        <v>180</v>
      </c>
      <c r="AN873" s="235">
        <v>79</v>
      </c>
      <c r="AO873" s="242">
        <v>42083</v>
      </c>
      <c r="AP873" s="235">
        <v>110</v>
      </c>
      <c r="AQ873" s="242">
        <v>42114</v>
      </c>
      <c r="AR873" s="136">
        <v>141</v>
      </c>
      <c r="AS873" s="297">
        <f t="shared" si="470"/>
        <v>141</v>
      </c>
      <c r="AT873" s="290">
        <v>42145</v>
      </c>
      <c r="AU873" s="298"/>
      <c r="BF873" s="282">
        <v>39.807544708251953</v>
      </c>
      <c r="BG873" s="283">
        <v>42235</v>
      </c>
      <c r="BL873" s="296">
        <v>59.442527770996094</v>
      </c>
      <c r="BM873" s="283">
        <v>42235</v>
      </c>
      <c r="BP873" s="282">
        <v>3.0589718818664551</v>
      </c>
      <c r="BQ873" s="283">
        <v>42235</v>
      </c>
      <c r="BR873" s="282">
        <v>45.189418792724609</v>
      </c>
      <c r="BS873" s="283">
        <v>42235</v>
      </c>
      <c r="BT873" s="282">
        <v>20.399805068969727</v>
      </c>
      <c r="BU873" s="283">
        <v>42235</v>
      </c>
      <c r="BV873" s="282">
        <v>65.435836791992188</v>
      </c>
      <c r="BW873" s="283">
        <v>42235</v>
      </c>
      <c r="BX873" s="282">
        <v>5.9245452880859375</v>
      </c>
      <c r="BY873" s="283">
        <v>42235</v>
      </c>
      <c r="CB873" s="267">
        <v>5.93</v>
      </c>
      <c r="CD873" s="282">
        <v>5.5555555555555687</v>
      </c>
      <c r="CE873" s="291" t="s">
        <v>8398</v>
      </c>
      <c r="CH873" s="136">
        <v>1</v>
      </c>
      <c r="CI873" s="136">
        <v>4</v>
      </c>
      <c r="CL873" s="136">
        <v>8</v>
      </c>
      <c r="CM873" s="259">
        <v>42161</v>
      </c>
      <c r="CN873" s="137" t="s">
        <v>8391</v>
      </c>
    </row>
    <row r="874" spans="1:93">
      <c r="A874" s="258">
        <v>1447</v>
      </c>
      <c r="B874" s="235">
        <v>571</v>
      </c>
      <c r="C874" s="235" t="s">
        <v>7781</v>
      </c>
      <c r="D874" s="235" t="s">
        <v>7579</v>
      </c>
      <c r="E874" s="235" t="s">
        <v>7781</v>
      </c>
      <c r="F874" s="235" t="s">
        <v>8569</v>
      </c>
      <c r="G874" s="235" t="str">
        <f t="shared" si="464"/>
        <v>Rapsodyn</v>
      </c>
      <c r="H874" s="235" t="s">
        <v>267</v>
      </c>
      <c r="I874" s="235">
        <v>2</v>
      </c>
      <c r="J874" s="235">
        <v>9152</v>
      </c>
      <c r="K874" s="235">
        <v>14</v>
      </c>
      <c r="L874" s="235">
        <f t="shared" si="450"/>
        <v>86</v>
      </c>
      <c r="M874" s="235">
        <v>8</v>
      </c>
      <c r="N874" s="235">
        <v>7</v>
      </c>
      <c r="O874" s="248">
        <v>42048</v>
      </c>
      <c r="P874" s="136">
        <v>6.46</v>
      </c>
      <c r="Q874" s="264">
        <v>42204</v>
      </c>
      <c r="V874" s="219">
        <f t="shared" si="471"/>
        <v>19.06408505251477</v>
      </c>
      <c r="X874">
        <v>15.55</v>
      </c>
      <c r="AB874" s="220">
        <f t="shared" si="472"/>
        <v>7.5002339091408308</v>
      </c>
      <c r="AD874" s="221">
        <f t="shared" si="473"/>
        <v>66091.786027477356</v>
      </c>
      <c r="AF874" s="220">
        <f t="shared" si="474"/>
        <v>39.25852090032155</v>
      </c>
      <c r="AH874" s="220">
        <f t="shared" si="475"/>
        <v>44.021665059790926</v>
      </c>
      <c r="AJ874">
        <v>5.94</v>
      </c>
      <c r="AK874" s="285" t="s">
        <v>8398</v>
      </c>
      <c r="AL874" s="260">
        <v>165</v>
      </c>
      <c r="AN874" s="235">
        <v>70</v>
      </c>
      <c r="AO874" s="242">
        <v>42074</v>
      </c>
      <c r="AP874" s="235">
        <v>106</v>
      </c>
      <c r="AQ874" s="249">
        <v>42110</v>
      </c>
      <c r="AR874" s="136">
        <v>130</v>
      </c>
      <c r="AS874" s="297">
        <f t="shared" si="470"/>
        <v>130</v>
      </c>
      <c r="AT874" s="290">
        <v>42134</v>
      </c>
      <c r="AU874" s="298"/>
      <c r="BF874" s="282">
        <v>-4.8708529472351074</v>
      </c>
      <c r="BG874" s="283">
        <v>42235</v>
      </c>
      <c r="BL874" s="296">
        <v>62.525272369384766</v>
      </c>
      <c r="BM874" s="283">
        <v>42235</v>
      </c>
      <c r="BP874" s="282">
        <v>3.410830020904541</v>
      </c>
      <c r="BQ874" s="283">
        <v>42235</v>
      </c>
      <c r="BR874" s="282">
        <v>48.560375213623047</v>
      </c>
      <c r="BS874" s="283">
        <v>42235</v>
      </c>
      <c r="BT874" s="282">
        <v>19.104728698730469</v>
      </c>
      <c r="BU874" s="283">
        <v>42235</v>
      </c>
      <c r="BV874" s="282">
        <v>7.4731340408325195</v>
      </c>
      <c r="BW874" s="283">
        <v>42235</v>
      </c>
      <c r="BX874" s="282">
        <v>5.663238525390625</v>
      </c>
      <c r="BY874" s="283">
        <v>42235</v>
      </c>
      <c r="CB874" s="267">
        <v>7.65</v>
      </c>
      <c r="CD874" s="281">
        <v>3.5714285714285587</v>
      </c>
      <c r="CE874" s="291" t="s">
        <v>8398</v>
      </c>
      <c r="CH874" s="136">
        <v>1</v>
      </c>
      <c r="CI874" s="136">
        <v>2</v>
      </c>
      <c r="CL874" s="136">
        <v>3</v>
      </c>
      <c r="CM874" s="259">
        <v>42161</v>
      </c>
      <c r="CN874" s="137" t="s">
        <v>8406</v>
      </c>
    </row>
    <row r="875" spans="1:93">
      <c r="A875" s="258">
        <v>1449</v>
      </c>
      <c r="B875" s="235">
        <v>573</v>
      </c>
      <c r="C875" s="235" t="s">
        <v>7729</v>
      </c>
      <c r="D875" s="235" t="s">
        <v>7552</v>
      </c>
      <c r="E875" s="235" t="s">
        <v>7729</v>
      </c>
      <c r="F875" s="235" t="s">
        <v>8568</v>
      </c>
      <c r="G875" s="235" t="str">
        <f t="shared" si="464"/>
        <v>Rapsodyn</v>
      </c>
      <c r="H875" s="235" t="s">
        <v>267</v>
      </c>
      <c r="I875" s="235">
        <v>2</v>
      </c>
      <c r="J875" s="235">
        <v>9111</v>
      </c>
      <c r="K875" s="235">
        <v>12</v>
      </c>
      <c r="L875" s="235">
        <f t="shared" si="450"/>
        <v>84</v>
      </c>
      <c r="M875" s="235">
        <v>8</v>
      </c>
      <c r="N875" s="235">
        <v>7</v>
      </c>
      <c r="O875" s="248">
        <v>42048</v>
      </c>
      <c r="P875" s="136">
        <v>6.81</v>
      </c>
      <c r="Q875" s="264">
        <v>42204</v>
      </c>
      <c r="V875" s="219">
        <f t="shared" si="471"/>
        <v>20.271174579183647</v>
      </c>
      <c r="X875">
        <v>15.55</v>
      </c>
      <c r="AB875" s="220">
        <f t="shared" si="472"/>
        <v>7.1596402908683441</v>
      </c>
      <c r="AD875" s="221">
        <f t="shared" si="473"/>
        <v>77863.439721111252</v>
      </c>
      <c r="AF875" s="220">
        <f t="shared" si="474"/>
        <v>40.488988654977852</v>
      </c>
      <c r="AH875" s="220">
        <f t="shared" si="475"/>
        <v>45.401422577907439</v>
      </c>
      <c r="AJ875">
        <v>5.2</v>
      </c>
      <c r="AK875" s="285" t="s">
        <v>8401</v>
      </c>
      <c r="AL875" s="260">
        <v>175</v>
      </c>
      <c r="AN875" s="235">
        <v>72</v>
      </c>
      <c r="AO875" s="242">
        <v>42076</v>
      </c>
      <c r="AP875" s="235">
        <v>106</v>
      </c>
      <c r="AQ875" s="242">
        <v>42110</v>
      </c>
      <c r="AR875" s="136">
        <v>131</v>
      </c>
      <c r="AS875" s="297">
        <f t="shared" si="470"/>
        <v>131</v>
      </c>
      <c r="AT875" s="290">
        <v>42135</v>
      </c>
      <c r="AU875" s="298"/>
      <c r="BF875" s="282">
        <v>-3.8572640419006348</v>
      </c>
      <c r="BG875" s="283">
        <v>42234</v>
      </c>
      <c r="BL875" s="296">
        <v>61.609745025634766</v>
      </c>
      <c r="BM875" s="283">
        <v>42234</v>
      </c>
      <c r="BP875" s="282">
        <v>3.5199460983276367</v>
      </c>
      <c r="BQ875" s="283">
        <v>42234</v>
      </c>
      <c r="BR875" s="282">
        <v>50.065895080566406</v>
      </c>
      <c r="BS875" s="283">
        <v>42234</v>
      </c>
      <c r="BT875" s="282">
        <v>17.682931900024414</v>
      </c>
      <c r="BU875" s="283">
        <v>42234</v>
      </c>
      <c r="BV875" s="282">
        <v>15.659659385681152</v>
      </c>
      <c r="BW875" s="283">
        <v>42234</v>
      </c>
      <c r="BX875" s="282">
        <v>5.2987289428710938</v>
      </c>
      <c r="BY875" s="283">
        <v>42234</v>
      </c>
      <c r="CB875" s="267">
        <v>7.18</v>
      </c>
      <c r="CD875" s="282">
        <v>5.660377358490563</v>
      </c>
      <c r="CE875" s="291" t="s">
        <v>8401</v>
      </c>
      <c r="CH875" s="136">
        <v>3</v>
      </c>
      <c r="CI875" s="136">
        <v>3</v>
      </c>
      <c r="CL875" s="136">
        <v>4</v>
      </c>
      <c r="CM875" s="259">
        <v>42161</v>
      </c>
      <c r="CN875" s="137" t="s">
        <v>8406</v>
      </c>
    </row>
    <row r="876" spans="1:93">
      <c r="A876" s="258">
        <v>1450</v>
      </c>
      <c r="B876" s="235">
        <v>574</v>
      </c>
      <c r="C876" s="235" t="s">
        <v>7630</v>
      </c>
      <c r="D876" s="235" t="s">
        <v>7464</v>
      </c>
      <c r="E876" s="235" t="s">
        <v>7630</v>
      </c>
      <c r="F876" s="235" t="s">
        <v>8567</v>
      </c>
      <c r="G876" s="235" t="str">
        <f t="shared" si="464"/>
        <v>Rapsodyn</v>
      </c>
      <c r="H876" s="235" t="s">
        <v>267</v>
      </c>
      <c r="I876" s="235">
        <v>2</v>
      </c>
      <c r="J876" s="235">
        <v>9020</v>
      </c>
      <c r="K876" s="235">
        <v>11</v>
      </c>
      <c r="L876" s="235">
        <f t="shared" si="450"/>
        <v>83</v>
      </c>
      <c r="M876" s="235">
        <v>8</v>
      </c>
      <c r="N876" s="235">
        <v>7</v>
      </c>
      <c r="O876" s="248">
        <v>42048</v>
      </c>
      <c r="P876" s="136">
        <v>4.76</v>
      </c>
      <c r="Q876" s="264">
        <v>42204</v>
      </c>
      <c r="V876" s="219">
        <f t="shared" si="471"/>
        <v>12.273997953830728</v>
      </c>
      <c r="X876">
        <v>15.55</v>
      </c>
      <c r="AB876" s="220">
        <f t="shared" si="472"/>
        <v>5.6653323592305558</v>
      </c>
      <c r="AD876" s="221">
        <f t="shared" si="473"/>
        <v>61641.19279390388</v>
      </c>
      <c r="AF876" s="220">
        <f t="shared" si="474"/>
        <v>26.998842443729899</v>
      </c>
      <c r="AH876" s="220">
        <f t="shared" si="475"/>
        <v>30.274548602522881</v>
      </c>
      <c r="AJ876">
        <v>4.38</v>
      </c>
      <c r="AK876" s="285" t="s">
        <v>8401</v>
      </c>
      <c r="AL876" s="260">
        <v>175</v>
      </c>
      <c r="AN876" s="235">
        <v>75</v>
      </c>
      <c r="AO876" s="242">
        <v>42079</v>
      </c>
      <c r="AP876" s="235">
        <v>110</v>
      </c>
      <c r="AQ876" s="242">
        <v>42114</v>
      </c>
      <c r="AR876" s="136">
        <v>131</v>
      </c>
      <c r="AS876" s="297">
        <f t="shared" si="470"/>
        <v>131</v>
      </c>
      <c r="AT876" s="290">
        <v>42135</v>
      </c>
      <c r="AU876" s="298"/>
      <c r="BF876" s="282">
        <v>13.026294708251953</v>
      </c>
      <c r="BG876" s="283">
        <v>42234</v>
      </c>
      <c r="BL876" s="296">
        <v>60.639556884765625</v>
      </c>
      <c r="BM876" s="283">
        <v>42234</v>
      </c>
      <c r="BP876" s="282">
        <v>3.5643360614776611</v>
      </c>
      <c r="BQ876" s="283">
        <v>42234</v>
      </c>
      <c r="BR876" s="282">
        <v>45.461200714111328</v>
      </c>
      <c r="BS876" s="283">
        <v>42234</v>
      </c>
      <c r="BT876" s="282">
        <v>20.983612060546875</v>
      </c>
      <c r="BU876" s="283">
        <v>42234</v>
      </c>
      <c r="BV876" s="282">
        <v>57.440681457519531</v>
      </c>
      <c r="BW876" s="283">
        <v>42234</v>
      </c>
      <c r="BX876" s="282">
        <v>6.00665283203125</v>
      </c>
      <c r="BY876" s="283">
        <v>42234</v>
      </c>
      <c r="CB876" s="267">
        <v>7.35</v>
      </c>
      <c r="CD876" s="282">
        <v>9.9999999999999982</v>
      </c>
      <c r="CE876" s="291" t="s">
        <v>8401</v>
      </c>
      <c r="CH876" s="136">
        <v>2</v>
      </c>
      <c r="CI876" s="136">
        <v>2</v>
      </c>
      <c r="CL876" s="136">
        <v>4</v>
      </c>
      <c r="CM876" s="259">
        <v>42161</v>
      </c>
      <c r="CN876" s="137" t="s">
        <v>8406</v>
      </c>
    </row>
    <row r="877" spans="1:93">
      <c r="A877" s="258">
        <v>1451</v>
      </c>
      <c r="B877" s="235">
        <v>575</v>
      </c>
      <c r="C877" s="235" t="s">
        <v>7658</v>
      </c>
      <c r="D877" s="235" t="s">
        <v>7488</v>
      </c>
      <c r="E877" s="235" t="s">
        <v>7658</v>
      </c>
      <c r="F877" s="235" t="s">
        <v>8566</v>
      </c>
      <c r="G877" s="235" t="str">
        <f t="shared" si="464"/>
        <v>Rapsodyn</v>
      </c>
      <c r="H877" s="235" t="s">
        <v>267</v>
      </c>
      <c r="I877" s="235">
        <v>2</v>
      </c>
      <c r="J877" s="235">
        <v>9041</v>
      </c>
      <c r="K877" s="235">
        <v>10</v>
      </c>
      <c r="L877" s="235">
        <f t="shared" si="450"/>
        <v>82</v>
      </c>
      <c r="M877" s="235">
        <v>8</v>
      </c>
      <c r="N877" s="235">
        <v>7</v>
      </c>
      <c r="O877" s="248">
        <v>42048</v>
      </c>
      <c r="P877" s="136">
        <v>7.28</v>
      </c>
      <c r="Q877" s="264">
        <v>42204</v>
      </c>
      <c r="V877" s="219">
        <f t="shared" si="471"/>
        <v>20.989614279400499</v>
      </c>
      <c r="X877">
        <v>15.55</v>
      </c>
      <c r="AB877" s="220">
        <f t="shared" si="472"/>
        <v>7.8504652213436996</v>
      </c>
      <c r="AD877" s="221">
        <f t="shared" si="473"/>
        <v>107077.07676458651</v>
      </c>
      <c r="AF877" s="220">
        <f t="shared" si="474"/>
        <v>44.115755627009648</v>
      </c>
      <c r="AH877" s="220">
        <f t="shared" si="475"/>
        <v>49.468216670789019</v>
      </c>
      <c r="AJ877">
        <v>4.12</v>
      </c>
      <c r="AK877" s="285" t="s">
        <v>8401</v>
      </c>
      <c r="AL877" s="260">
        <v>165</v>
      </c>
      <c r="AN877" s="235">
        <v>75</v>
      </c>
      <c r="AO877" s="242">
        <v>42079</v>
      </c>
      <c r="AP877" s="235">
        <v>106</v>
      </c>
      <c r="AQ877" s="242">
        <v>42110</v>
      </c>
      <c r="AR877" s="136">
        <v>131</v>
      </c>
      <c r="AS877" s="297">
        <f t="shared" si="470"/>
        <v>131</v>
      </c>
      <c r="AT877" s="290">
        <v>42135</v>
      </c>
      <c r="AU877" s="298"/>
      <c r="BF877" s="282">
        <v>-1.552312970161438</v>
      </c>
      <c r="BG877" s="283">
        <v>42234</v>
      </c>
      <c r="BL877" s="296">
        <v>67.494071960449219</v>
      </c>
      <c r="BM877" s="283">
        <v>42234</v>
      </c>
      <c r="BP877" s="282">
        <v>4.5691370964050293</v>
      </c>
      <c r="BQ877" s="283">
        <v>42234</v>
      </c>
      <c r="BR877" s="282">
        <v>47.578498840332031</v>
      </c>
      <c r="BS877" s="283">
        <v>42234</v>
      </c>
      <c r="BT877" s="282">
        <v>17.795150756835938</v>
      </c>
      <c r="BU877" s="283">
        <v>42234</v>
      </c>
      <c r="BV877" s="282">
        <v>11.474845886230469</v>
      </c>
      <c r="BW877" s="283">
        <v>42234</v>
      </c>
      <c r="BX877" s="282">
        <v>5.65936279296875</v>
      </c>
      <c r="BY877" s="283">
        <v>42234</v>
      </c>
      <c r="CB877" s="267">
        <v>7.18</v>
      </c>
      <c r="CD877" s="282">
        <v>3.8461538461538494</v>
      </c>
      <c r="CE877" s="291" t="s">
        <v>8401</v>
      </c>
      <c r="CH877" s="136">
        <v>1</v>
      </c>
      <c r="CI877" s="136">
        <v>3</v>
      </c>
      <c r="CL877" s="136">
        <v>4</v>
      </c>
      <c r="CM877" s="259">
        <v>42161</v>
      </c>
      <c r="CN877" s="137" t="s">
        <v>8406</v>
      </c>
    </row>
    <row r="878" spans="1:93">
      <c r="A878" s="258">
        <v>1452</v>
      </c>
      <c r="B878" s="235">
        <v>576</v>
      </c>
      <c r="C878" s="235" t="s">
        <v>7618</v>
      </c>
      <c r="D878" s="235" t="s">
        <v>263</v>
      </c>
      <c r="E878" s="235" t="s">
        <v>7618</v>
      </c>
      <c r="F878" s="235" t="s">
        <v>8565</v>
      </c>
      <c r="G878" s="235" t="str">
        <f t="shared" si="464"/>
        <v>Rapsodyn</v>
      </c>
      <c r="H878" s="235" t="s">
        <v>267</v>
      </c>
      <c r="I878" s="235">
        <v>2</v>
      </c>
      <c r="J878" s="235">
        <v>9011</v>
      </c>
      <c r="K878" s="235">
        <v>9</v>
      </c>
      <c r="L878" s="235">
        <f t="shared" si="450"/>
        <v>81</v>
      </c>
      <c r="M878" s="235">
        <v>8</v>
      </c>
      <c r="N878" s="235">
        <v>7</v>
      </c>
      <c r="O878" s="248">
        <v>42048</v>
      </c>
      <c r="P878" s="136">
        <v>3.82</v>
      </c>
      <c r="Q878" s="264">
        <v>42204</v>
      </c>
      <c r="V878" s="219">
        <f t="shared" si="471"/>
        <v>10.47119570990376</v>
      </c>
      <c r="X878">
        <v>15.55</v>
      </c>
      <c r="AB878" s="220">
        <f t="shared" si="472"/>
        <v>5.0225115344686655</v>
      </c>
      <c r="AD878" s="221">
        <f t="shared" si="473"/>
        <v>51591.774552529707</v>
      </c>
      <c r="AF878" s="220">
        <f t="shared" si="474"/>
        <v>22.44242193035042</v>
      </c>
      <c r="AH878" s="220">
        <f t="shared" si="475"/>
        <v>25.16530828700429</v>
      </c>
      <c r="AJ878">
        <v>4.3499999999999996</v>
      </c>
      <c r="AK878" s="285" t="s">
        <v>8401</v>
      </c>
      <c r="AL878" s="260">
        <v>135</v>
      </c>
      <c r="AN878" s="235">
        <v>72</v>
      </c>
      <c r="AO878" s="242">
        <v>42076</v>
      </c>
      <c r="AP878" s="235">
        <v>104</v>
      </c>
      <c r="AQ878" s="242">
        <v>42108</v>
      </c>
      <c r="AR878" s="136">
        <v>127</v>
      </c>
      <c r="AS878" s="297">
        <f t="shared" si="470"/>
        <v>127</v>
      </c>
      <c r="AT878" s="290">
        <v>42131</v>
      </c>
      <c r="AU878" s="298"/>
      <c r="BF878" s="282">
        <v>36.176074981689453</v>
      </c>
      <c r="BG878" s="283">
        <v>42234</v>
      </c>
      <c r="BL878" s="296">
        <v>60.910591125488281</v>
      </c>
      <c r="BM878" s="283">
        <v>42234</v>
      </c>
      <c r="BP878" s="282">
        <v>2.4769949913024902</v>
      </c>
      <c r="BQ878" s="283">
        <v>42234</v>
      </c>
      <c r="BR878" s="282">
        <v>46.658046722412109</v>
      </c>
      <c r="BS878" s="283">
        <v>42234</v>
      </c>
      <c r="BT878" s="282">
        <v>22.379543304443359</v>
      </c>
      <c r="BU878" s="283">
        <v>42234</v>
      </c>
      <c r="BV878" s="282">
        <v>62.357696533203125</v>
      </c>
      <c r="BW878" s="283">
        <v>42234</v>
      </c>
      <c r="BX878" s="282">
        <v>5.823638916015625</v>
      </c>
      <c r="BY878" s="283">
        <v>42234</v>
      </c>
      <c r="CB878" s="267">
        <v>6.75</v>
      </c>
      <c r="CD878" s="282">
        <v>6.7796610169491585</v>
      </c>
      <c r="CE878" s="291" t="s">
        <v>8401</v>
      </c>
      <c r="CH878" s="136">
        <v>2</v>
      </c>
      <c r="CI878" s="136">
        <v>3</v>
      </c>
      <c r="CL878" s="136">
        <v>1</v>
      </c>
      <c r="CM878" s="259">
        <v>42161</v>
      </c>
      <c r="CN878" s="137" t="s">
        <v>8406</v>
      </c>
    </row>
    <row r="879" spans="1:93">
      <c r="A879" s="258">
        <v>1453</v>
      </c>
      <c r="B879" s="235">
        <v>577</v>
      </c>
      <c r="C879" s="235" t="s">
        <v>7576</v>
      </c>
      <c r="D879" s="235"/>
      <c r="E879" s="235"/>
      <c r="F879" s="235"/>
      <c r="G879" s="235"/>
      <c r="H879" s="235" t="s">
        <v>267</v>
      </c>
      <c r="I879" s="235">
        <v>2</v>
      </c>
      <c r="K879" s="235">
        <v>8</v>
      </c>
      <c r="L879" s="235">
        <f t="shared" si="450"/>
        <v>80</v>
      </c>
      <c r="M879" s="235">
        <v>8</v>
      </c>
      <c r="O879" s="248">
        <v>42048</v>
      </c>
      <c r="V879" s="219"/>
      <c r="X879">
        <v>15.55</v>
      </c>
      <c r="AB879" s="220"/>
      <c r="AD879" s="221"/>
      <c r="AF879" s="220"/>
      <c r="AH879" s="220"/>
      <c r="AJ879" s="286"/>
      <c r="AK879" s="285"/>
      <c r="AL879" s="260"/>
      <c r="AN879" s="235">
        <v>70</v>
      </c>
      <c r="AO879" s="242">
        <v>42074</v>
      </c>
      <c r="AP879" s="235">
        <v>106</v>
      </c>
      <c r="AQ879" s="242">
        <v>42110</v>
      </c>
      <c r="AS879" s="297"/>
      <c r="AT879" s="290"/>
      <c r="AU879" s="298"/>
      <c r="BF879" s="282"/>
      <c r="BG879" s="235"/>
      <c r="BL879" s="296"/>
      <c r="BM879" s="235"/>
      <c r="BP879" s="282"/>
      <c r="BQ879" s="235"/>
      <c r="BR879" s="282"/>
      <c r="BS879" s="235"/>
      <c r="BT879" s="282"/>
      <c r="BU879" s="235"/>
      <c r="BV879" s="282"/>
      <c r="BW879" s="235"/>
      <c r="BX879" s="282"/>
      <c r="BY879" s="235"/>
      <c r="CB879" s="267"/>
      <c r="CD879" s="282"/>
      <c r="CE879" s="291"/>
      <c r="CL879" s="136">
        <v>4</v>
      </c>
      <c r="CM879" s="259">
        <v>42161</v>
      </c>
    </row>
    <row r="880" spans="1:93">
      <c r="A880" s="258">
        <v>1454</v>
      </c>
      <c r="B880" s="235">
        <v>578</v>
      </c>
      <c r="C880" s="235" t="s">
        <v>7731</v>
      </c>
      <c r="D880" s="235" t="s">
        <v>7554</v>
      </c>
      <c r="E880" s="235" t="s">
        <v>7731</v>
      </c>
      <c r="F880" s="235" t="s">
        <v>8564</v>
      </c>
      <c r="G880" s="235" t="str">
        <f>IF(MID(C880,1,3)="BGA","Complement","Rapsodyn")</f>
        <v>Rapsodyn</v>
      </c>
      <c r="H880" s="235" t="s">
        <v>267</v>
      </c>
      <c r="I880" s="235">
        <v>2</v>
      </c>
      <c r="J880" s="235">
        <v>9374</v>
      </c>
      <c r="K880" s="235">
        <v>7</v>
      </c>
      <c r="L880" s="235">
        <f t="shared" ref="L880:L920" si="476">72+K880</f>
        <v>79</v>
      </c>
      <c r="M880" s="235">
        <v>8</v>
      </c>
      <c r="N880" s="235">
        <v>7</v>
      </c>
      <c r="O880" s="248">
        <v>42048</v>
      </c>
      <c r="P880" s="136">
        <v>1.85</v>
      </c>
      <c r="Q880" s="264">
        <v>42204</v>
      </c>
      <c r="V880" s="219">
        <f>+BR880*AF880/100</f>
        <v>4.8778326386577442</v>
      </c>
      <c r="X880">
        <v>15.55</v>
      </c>
      <c r="AB880" s="220">
        <f>+AF880*BT880/100</f>
        <v>2.3714995978971292</v>
      </c>
      <c r="AD880" s="221">
        <f>+(AF880/AJ880)*10000</f>
        <v>25747.141672002053</v>
      </c>
      <c r="AF880" s="220">
        <f>($P880/$X880)*(((100-$CD880)/100*(100-2)/100))*100</f>
        <v>10.762305218896858</v>
      </c>
      <c r="AH880" s="220">
        <f>($P880/$X880)*(((100-$CD880)/(100-9)*(100-2)/(100-2))*100)</f>
        <v>12.06807044056611</v>
      </c>
      <c r="AJ880">
        <v>4.18</v>
      </c>
      <c r="AK880" s="285" t="s">
        <v>8400</v>
      </c>
      <c r="AL880" s="260">
        <v>165</v>
      </c>
      <c r="AN880" s="235">
        <v>70</v>
      </c>
      <c r="AO880" s="242">
        <v>42074</v>
      </c>
      <c r="AP880" s="235">
        <v>104</v>
      </c>
      <c r="AQ880" s="242">
        <v>42108</v>
      </c>
      <c r="AR880" s="136">
        <v>130</v>
      </c>
      <c r="AS880" s="297">
        <f>IF(AR880=0,,AR880)</f>
        <v>130</v>
      </c>
      <c r="AT880" s="290">
        <v>42134</v>
      </c>
      <c r="AU880" s="298"/>
      <c r="BF880" s="282">
        <v>31.194828033447266</v>
      </c>
      <c r="BG880" s="283">
        <v>42236</v>
      </c>
      <c r="BL880" s="296">
        <v>61.182342529296875</v>
      </c>
      <c r="BM880" s="283">
        <v>42236</v>
      </c>
      <c r="BP880" s="282">
        <v>3.3320450782775879</v>
      </c>
      <c r="BQ880" s="283">
        <v>42236</v>
      </c>
      <c r="BR880" s="282">
        <v>45.323307037353516</v>
      </c>
      <c r="BS880" s="283">
        <v>42236</v>
      </c>
      <c r="BT880" s="282">
        <v>22.035238265991211</v>
      </c>
      <c r="BU880" s="283">
        <v>42236</v>
      </c>
      <c r="BV880" s="282">
        <v>62.126876831054688</v>
      </c>
      <c r="BW880" s="283">
        <v>42236</v>
      </c>
      <c r="BX880" s="282">
        <v>5.8998565673828125</v>
      </c>
      <c r="BY880" s="283">
        <v>42236</v>
      </c>
      <c r="CB880" s="267">
        <v>6.13</v>
      </c>
      <c r="CD880" s="282">
        <v>7.6923076923076987</v>
      </c>
      <c r="CE880" s="291" t="s">
        <v>8400</v>
      </c>
      <c r="CH880" s="136">
        <v>4</v>
      </c>
      <c r="CI880" s="136">
        <v>8</v>
      </c>
      <c r="CL880" s="136">
        <v>9</v>
      </c>
      <c r="CM880" s="259">
        <v>42161</v>
      </c>
      <c r="CN880" s="137" t="s">
        <v>8391</v>
      </c>
      <c r="CO880" s="137" t="s">
        <v>8405</v>
      </c>
    </row>
    <row r="881" spans="1:93">
      <c r="A881" s="258">
        <v>1455</v>
      </c>
      <c r="B881" s="235">
        <v>579</v>
      </c>
      <c r="C881" s="235" t="s">
        <v>7651</v>
      </c>
      <c r="D881" s="235" t="s">
        <v>7482</v>
      </c>
      <c r="E881" s="235" t="s">
        <v>7651</v>
      </c>
      <c r="F881" s="235" t="s">
        <v>8563</v>
      </c>
      <c r="G881" s="235" t="str">
        <f>IF(MID(C881,1,3)="BGA","Complement","Rapsodyn")</f>
        <v>Rapsodyn</v>
      </c>
      <c r="H881" s="235" t="s">
        <v>267</v>
      </c>
      <c r="I881" s="235">
        <v>2</v>
      </c>
      <c r="J881" s="235">
        <v>9371</v>
      </c>
      <c r="K881" s="235">
        <v>6</v>
      </c>
      <c r="L881" s="235">
        <f t="shared" si="476"/>
        <v>78</v>
      </c>
      <c r="M881" s="235">
        <v>8</v>
      </c>
      <c r="N881" s="235">
        <v>7</v>
      </c>
      <c r="O881" s="248">
        <v>42048</v>
      </c>
      <c r="P881" s="136">
        <v>4.2</v>
      </c>
      <c r="Q881" s="264">
        <v>42204</v>
      </c>
      <c r="V881" s="219">
        <f>+BR881*AF881/100</f>
        <v>11.186053590961698</v>
      </c>
      <c r="X881">
        <v>15.55</v>
      </c>
      <c r="AB881" s="220">
        <f>+AF881*BT881/100</f>
        <v>4.7136098822908696</v>
      </c>
      <c r="AD881" s="221">
        <f>+(AF881/AJ881)*10000</f>
        <v>66267.408074582287</v>
      </c>
      <c r="AF881" s="220">
        <f>($P881/$X881)*(((100-$CD881)/100*(100-2)/100))*100</f>
        <v>24.187603947222534</v>
      </c>
      <c r="AH881" s="220">
        <f>($P881/$X881)*(((100-$CD881)/(100-9)*(100-2)/(100-2))*100)</f>
        <v>27.122229140191219</v>
      </c>
      <c r="AJ881">
        <v>3.65</v>
      </c>
      <c r="AK881" s="285" t="s">
        <v>8400</v>
      </c>
      <c r="AL881" s="260">
        <v>175</v>
      </c>
      <c r="AN881" s="235">
        <v>72</v>
      </c>
      <c r="AO881" s="242">
        <v>42076</v>
      </c>
      <c r="AP881" s="235">
        <v>106</v>
      </c>
      <c r="AQ881" s="242">
        <v>42110</v>
      </c>
      <c r="AR881" s="136">
        <v>135</v>
      </c>
      <c r="AS881" s="297">
        <f>IF(AR881=0,,AR881)</f>
        <v>135</v>
      </c>
      <c r="AT881" s="290">
        <v>42139</v>
      </c>
      <c r="AU881" s="298"/>
      <c r="BF881" s="282">
        <v>-4.8469910621643066</v>
      </c>
      <c r="BG881" s="283">
        <v>42236</v>
      </c>
      <c r="BL881" s="296">
        <v>60.695297241210937</v>
      </c>
      <c r="BM881" s="283">
        <v>42236</v>
      </c>
      <c r="BP881" s="282">
        <v>3.8785030841827393</v>
      </c>
      <c r="BQ881" s="283">
        <v>42236</v>
      </c>
      <c r="BR881" s="282">
        <v>46.247051239013672</v>
      </c>
      <c r="BS881" s="283">
        <v>42236</v>
      </c>
      <c r="BT881" s="282">
        <v>19.487709045410156</v>
      </c>
      <c r="BU881" s="283">
        <v>42236</v>
      </c>
      <c r="BV881" s="282">
        <v>57.838188171386719</v>
      </c>
      <c r="BW881" s="283">
        <v>42236</v>
      </c>
      <c r="BX881" s="282">
        <v>6.0327529907226563</v>
      </c>
      <c r="BY881" s="283">
        <v>42236</v>
      </c>
      <c r="CB881" s="267">
        <v>7.33</v>
      </c>
      <c r="CD881" s="282">
        <v>8.6206896551724146</v>
      </c>
      <c r="CE881" s="291" t="s">
        <v>8400</v>
      </c>
      <c r="CH881" s="136">
        <v>4</v>
      </c>
      <c r="CI881" s="136">
        <v>8</v>
      </c>
      <c r="CL881" s="136">
        <v>2</v>
      </c>
      <c r="CM881" s="259">
        <v>42161</v>
      </c>
      <c r="CO881" s="137" t="s">
        <v>8405</v>
      </c>
    </row>
    <row r="882" spans="1:93">
      <c r="A882" s="258">
        <v>1456</v>
      </c>
      <c r="B882" s="235">
        <v>580</v>
      </c>
      <c r="C882" s="235" t="s">
        <v>7649</v>
      </c>
      <c r="D882" s="235" t="s">
        <v>7481</v>
      </c>
      <c r="E882" s="235" t="s">
        <v>7649</v>
      </c>
      <c r="F882" s="235" t="s">
        <v>8562</v>
      </c>
      <c r="G882" s="235" t="str">
        <f>IF(MID(C882,1,3)="BGA","Complement","Rapsodyn")</f>
        <v>Rapsodyn</v>
      </c>
      <c r="H882" s="235" t="s">
        <v>267</v>
      </c>
      <c r="I882" s="235">
        <v>2</v>
      </c>
      <c r="J882" s="235">
        <v>9370</v>
      </c>
      <c r="K882" s="235">
        <v>5</v>
      </c>
      <c r="L882" s="235">
        <f t="shared" si="476"/>
        <v>77</v>
      </c>
      <c r="M882" s="235">
        <v>8</v>
      </c>
      <c r="N882" s="235">
        <v>7</v>
      </c>
      <c r="O882" s="248">
        <v>42048</v>
      </c>
      <c r="P882" s="136">
        <v>2.4</v>
      </c>
      <c r="Q882" s="264">
        <v>42204</v>
      </c>
      <c r="V882" s="219">
        <f>+BR882*AF882/100</f>
        <v>6.0688914253325903</v>
      </c>
      <c r="X882">
        <v>15.55</v>
      </c>
      <c r="AB882" s="220">
        <f>+AF882*BT882/100</f>
        <v>2.872714378094567</v>
      </c>
      <c r="AD882" s="221">
        <f>+(AF882/AJ882)*10000</f>
        <v>35475.784495765089</v>
      </c>
      <c r="AF882" s="220">
        <f>($P882/$X882)*(((100-$CD882)/100*(100-2)/100))*100</f>
        <v>13.587225461878027</v>
      </c>
      <c r="AH882" s="220">
        <f>($P882/$X882)*(((100-$CD882)/(100-9)*(100-2)/(100-2))*100)</f>
        <v>15.23573162354567</v>
      </c>
      <c r="AJ882">
        <v>3.83</v>
      </c>
      <c r="AK882" s="285" t="s">
        <v>8398</v>
      </c>
      <c r="AL882" s="260">
        <v>185</v>
      </c>
      <c r="AN882" s="235">
        <v>72</v>
      </c>
      <c r="AO882" s="242">
        <v>42076</v>
      </c>
      <c r="AP882" s="235">
        <v>110</v>
      </c>
      <c r="AQ882" s="242">
        <v>42114</v>
      </c>
      <c r="AR882" s="136">
        <v>135</v>
      </c>
      <c r="AS882" s="297">
        <f>IF(AR882=0,,AR882)</f>
        <v>135</v>
      </c>
      <c r="AT882" s="290">
        <v>42139</v>
      </c>
      <c r="AU882" s="298"/>
      <c r="BF882" s="282">
        <v>-8.6612529754638672</v>
      </c>
      <c r="BG882" s="283">
        <v>42236</v>
      </c>
      <c r="BL882" s="296">
        <v>59.636116027832031</v>
      </c>
      <c r="BM882" s="283">
        <v>42236</v>
      </c>
      <c r="BP882" s="282">
        <v>4.0144739151000977</v>
      </c>
      <c r="BQ882" s="283">
        <v>42236</v>
      </c>
      <c r="BR882" s="282">
        <v>44.666156768798828</v>
      </c>
      <c r="BS882" s="283">
        <v>42236</v>
      </c>
      <c r="BT882" s="282">
        <v>21.142759323120117</v>
      </c>
      <c r="BU882" s="283">
        <v>42236</v>
      </c>
      <c r="BV882" s="282">
        <v>65.723564147949219</v>
      </c>
      <c r="BW882" s="283">
        <v>42236</v>
      </c>
      <c r="BX882" s="282">
        <v>6.2222824096679687</v>
      </c>
      <c r="BY882" s="283">
        <v>42236</v>
      </c>
      <c r="CB882" s="267">
        <v>6.52</v>
      </c>
      <c r="CD882" s="282">
        <v>10.169491525423737</v>
      </c>
      <c r="CE882" s="291" t="s">
        <v>8398</v>
      </c>
      <c r="CH882" s="136">
        <v>3</v>
      </c>
      <c r="CI882" s="136">
        <v>8</v>
      </c>
      <c r="CL882" s="136">
        <v>8</v>
      </c>
      <c r="CM882" s="259">
        <v>42161</v>
      </c>
      <c r="CN882" s="137" t="s">
        <v>8391</v>
      </c>
      <c r="CO882" s="137" t="s">
        <v>8405</v>
      </c>
    </row>
    <row r="883" spans="1:93">
      <c r="A883" s="258">
        <v>1457</v>
      </c>
      <c r="B883" s="235">
        <v>581</v>
      </c>
      <c r="C883" s="235" t="s">
        <v>7655</v>
      </c>
      <c r="D883" s="235" t="s">
        <v>8420</v>
      </c>
      <c r="E883" s="235" t="s">
        <v>7655</v>
      </c>
      <c r="F883" s="235" t="s">
        <v>8561</v>
      </c>
      <c r="G883" s="235" t="str">
        <f>IF(MID(C883,1,3)="BGA","Complement","Rapsodyn")</f>
        <v>Rapsodyn</v>
      </c>
      <c r="H883" s="235" t="s">
        <v>267</v>
      </c>
      <c r="I883" s="235">
        <v>2</v>
      </c>
      <c r="J883" s="235">
        <v>9372</v>
      </c>
      <c r="K883" s="235">
        <v>4</v>
      </c>
      <c r="L883" s="235">
        <f t="shared" si="476"/>
        <v>76</v>
      </c>
      <c r="M883" s="235">
        <v>8</v>
      </c>
      <c r="N883" s="235">
        <v>7</v>
      </c>
      <c r="O883" s="248">
        <v>42048</v>
      </c>
      <c r="P883" s="136">
        <v>4.45</v>
      </c>
      <c r="Q883" s="264">
        <v>42204</v>
      </c>
      <c r="V883" s="219">
        <f>+BR883*AF883/100</f>
        <v>12.453948530195468</v>
      </c>
      <c r="X883">
        <v>15.55</v>
      </c>
      <c r="AB883" s="220">
        <f>+AF883*BT883/100</f>
        <v>5.8085148414828129</v>
      </c>
      <c r="AD883" s="221">
        <f>+(AF883/AJ883)*10000</f>
        <v>65754.737982306207</v>
      </c>
      <c r="AF883" s="220">
        <f>($P883/$X883)*(((100-$CD883)/100*(100-2)/100))*100</f>
        <v>27.025197310727854</v>
      </c>
      <c r="AH883" s="220">
        <f>($P883/$X883)*(((100-$CD883)/(100-9)*(100-2)/(100-2))*100)</f>
        <v>30.304101043650874</v>
      </c>
      <c r="AJ883">
        <v>4.1100000000000003</v>
      </c>
      <c r="AK883" s="285" t="s">
        <v>8398</v>
      </c>
      <c r="AL883" s="260">
        <v>170</v>
      </c>
      <c r="AN883" s="235">
        <v>70</v>
      </c>
      <c r="AO883" s="242">
        <v>42074</v>
      </c>
      <c r="AP883" s="235">
        <v>106</v>
      </c>
      <c r="AQ883" s="242">
        <v>42110</v>
      </c>
      <c r="AR883" s="136">
        <v>133</v>
      </c>
      <c r="AS883" s="297">
        <f>IF(AR883=0,,AR883)</f>
        <v>133</v>
      </c>
      <c r="AT883" s="290">
        <v>42137</v>
      </c>
      <c r="AU883" s="298"/>
      <c r="BF883" s="282">
        <v>-6.9042210578918457</v>
      </c>
      <c r="BG883" s="283">
        <v>42236</v>
      </c>
      <c r="BL883" s="296">
        <v>62.178295135498047</v>
      </c>
      <c r="BM883" s="283">
        <v>42236</v>
      </c>
      <c r="BP883" s="282">
        <v>3.8540380001068115</v>
      </c>
      <c r="BQ883" s="283">
        <v>42236</v>
      </c>
      <c r="BR883" s="282">
        <v>46.082729339599609</v>
      </c>
      <c r="BS883" s="283">
        <v>42236</v>
      </c>
      <c r="BT883" s="282">
        <v>21.492959976196289</v>
      </c>
      <c r="BU883" s="283">
        <v>42236</v>
      </c>
      <c r="BV883" s="282">
        <v>63.487190246582031</v>
      </c>
      <c r="BW883" s="283">
        <v>42236</v>
      </c>
      <c r="BX883" s="282">
        <v>6.1075668334960938</v>
      </c>
      <c r="BY883" s="283">
        <v>42236</v>
      </c>
      <c r="CB883" s="267">
        <v>6.93</v>
      </c>
      <c r="CD883" s="282">
        <v>3.6363636363636398</v>
      </c>
      <c r="CE883" s="291" t="s">
        <v>8398</v>
      </c>
      <c r="CH883" s="136">
        <v>3</v>
      </c>
      <c r="CI883" s="136">
        <v>7</v>
      </c>
      <c r="CL883" s="136">
        <v>7</v>
      </c>
      <c r="CM883" s="259">
        <v>42161</v>
      </c>
      <c r="CO883" s="137" t="s">
        <v>8405</v>
      </c>
    </row>
    <row r="884" spans="1:93">
      <c r="A884" s="258">
        <v>1458</v>
      </c>
      <c r="B884" s="235">
        <v>582</v>
      </c>
      <c r="C884" s="235" t="s">
        <v>7576</v>
      </c>
      <c r="D884" s="235"/>
      <c r="E884" s="235"/>
      <c r="F884" s="235"/>
      <c r="G884" s="235"/>
      <c r="H884" s="235" t="s">
        <v>267</v>
      </c>
      <c r="I884" s="235">
        <v>2</v>
      </c>
      <c r="K884" s="235">
        <v>3</v>
      </c>
      <c r="L884" s="235">
        <f t="shared" si="476"/>
        <v>75</v>
      </c>
      <c r="M884" s="235">
        <v>8</v>
      </c>
      <c r="O884" s="248">
        <v>42048</v>
      </c>
      <c r="V884" s="219"/>
      <c r="X884">
        <v>15.55</v>
      </c>
      <c r="AB884" s="220"/>
      <c r="AD884" s="221"/>
      <c r="AF884" s="220"/>
      <c r="AH884" s="220"/>
      <c r="AJ884" s="286"/>
      <c r="AK884" s="285"/>
      <c r="AL884" s="260"/>
      <c r="AN884" s="235">
        <v>70</v>
      </c>
      <c r="AO884" s="242">
        <v>42074</v>
      </c>
      <c r="AP884" s="235">
        <v>106</v>
      </c>
      <c r="AQ884" s="242">
        <v>42110</v>
      </c>
      <c r="AS884" s="297"/>
      <c r="AT884" s="290"/>
      <c r="AU884" s="298"/>
      <c r="BF884" s="282"/>
      <c r="BG884" s="235"/>
      <c r="BL884" s="296"/>
      <c r="BM884" s="235"/>
      <c r="BP884" s="282"/>
      <c r="BQ884" s="235"/>
      <c r="BR884" s="282"/>
      <c r="BS884" s="235"/>
      <c r="BT884" s="282"/>
      <c r="BU884" s="235"/>
      <c r="BV884" s="282"/>
      <c r="BW884" s="235"/>
      <c r="BX884" s="282"/>
      <c r="BY884" s="235"/>
      <c r="CB884" s="267"/>
      <c r="CD884" s="282"/>
      <c r="CE884" s="291"/>
      <c r="CL884" s="136">
        <v>3</v>
      </c>
      <c r="CM884" s="259">
        <v>42161</v>
      </c>
    </row>
    <row r="885" spans="1:93">
      <c r="A885" s="258">
        <v>1459</v>
      </c>
      <c r="B885" s="235">
        <v>583</v>
      </c>
      <c r="C885" s="235" t="s">
        <v>7576</v>
      </c>
      <c r="D885" s="235"/>
      <c r="E885" s="235"/>
      <c r="F885" s="235"/>
      <c r="G885" s="235"/>
      <c r="H885" s="235" t="s">
        <v>267</v>
      </c>
      <c r="I885" s="235">
        <v>2</v>
      </c>
      <c r="K885" s="235">
        <v>2</v>
      </c>
      <c r="L885" s="235">
        <f t="shared" si="476"/>
        <v>74</v>
      </c>
      <c r="M885" s="235">
        <v>8</v>
      </c>
      <c r="O885" s="248">
        <v>42048</v>
      </c>
      <c r="V885" s="219"/>
      <c r="X885">
        <v>15.55</v>
      </c>
      <c r="AB885" s="220"/>
      <c r="AD885" s="221"/>
      <c r="AF885" s="220"/>
      <c r="AH885" s="220"/>
      <c r="AJ885" s="286"/>
      <c r="AK885" s="285"/>
      <c r="AL885" s="260"/>
      <c r="AN885" s="235">
        <v>70</v>
      </c>
      <c r="AO885" s="242">
        <v>42074</v>
      </c>
      <c r="AP885" s="235">
        <v>106</v>
      </c>
      <c r="AQ885" s="242">
        <v>42110</v>
      </c>
      <c r="AS885" s="297"/>
      <c r="AT885" s="290"/>
      <c r="AU885" s="298"/>
      <c r="BF885" s="282"/>
      <c r="BG885" s="235"/>
      <c r="BL885" s="296"/>
      <c r="BM885" s="235"/>
      <c r="BP885" s="282"/>
      <c r="BQ885" s="235"/>
      <c r="BR885" s="282"/>
      <c r="BS885" s="235"/>
      <c r="BT885" s="282"/>
      <c r="BU885" s="235"/>
      <c r="BV885" s="282"/>
      <c r="BW885" s="235"/>
      <c r="BX885" s="282"/>
      <c r="BY885" s="235"/>
      <c r="CB885" s="267"/>
      <c r="CD885" s="282"/>
      <c r="CE885" s="291"/>
      <c r="CL885" s="136">
        <v>4</v>
      </c>
      <c r="CM885" s="259">
        <v>42161</v>
      </c>
    </row>
    <row r="886" spans="1:93">
      <c r="A886" s="258">
        <v>1460</v>
      </c>
      <c r="B886" s="235">
        <v>584</v>
      </c>
      <c r="C886" s="235" t="s">
        <v>7576</v>
      </c>
      <c r="D886" s="235"/>
      <c r="E886" s="235"/>
      <c r="F886" s="235"/>
      <c r="G886" s="235"/>
      <c r="H886" s="235" t="s">
        <v>267</v>
      </c>
      <c r="I886" s="235">
        <v>2</v>
      </c>
      <c r="K886" s="235">
        <v>1</v>
      </c>
      <c r="L886" s="235">
        <f t="shared" si="476"/>
        <v>73</v>
      </c>
      <c r="M886" s="235">
        <v>8</v>
      </c>
      <c r="O886" s="248">
        <v>42048</v>
      </c>
      <c r="V886" s="219"/>
      <c r="X886">
        <v>15.55</v>
      </c>
      <c r="AB886" s="220"/>
      <c r="AD886" s="221"/>
      <c r="AF886" s="220"/>
      <c r="AH886" s="220"/>
      <c r="AJ886" s="286"/>
      <c r="AK886" s="285"/>
      <c r="AL886" s="260"/>
      <c r="AN886" s="235">
        <v>70</v>
      </c>
      <c r="AO886" s="242">
        <v>42074</v>
      </c>
      <c r="AP886" s="235">
        <v>106</v>
      </c>
      <c r="AQ886" s="242">
        <v>42110</v>
      </c>
      <c r="AS886" s="297"/>
      <c r="AT886" s="290"/>
      <c r="AU886" s="298"/>
      <c r="BF886" s="282"/>
      <c r="BG886" s="235"/>
      <c r="BL886" s="296"/>
      <c r="BM886" s="235"/>
      <c r="BP886" s="282"/>
      <c r="BQ886" s="235"/>
      <c r="BR886" s="282"/>
      <c r="BS886" s="235"/>
      <c r="BT886" s="282"/>
      <c r="BU886" s="235"/>
      <c r="BV886" s="282"/>
      <c r="BW886" s="235"/>
      <c r="BX886" s="282"/>
      <c r="BY886" s="235"/>
      <c r="CB886" s="267"/>
      <c r="CD886" s="282"/>
      <c r="CE886" s="291"/>
      <c r="CL886" s="136">
        <v>2</v>
      </c>
      <c r="CM886" s="259">
        <v>42161</v>
      </c>
    </row>
    <row r="887" spans="1:93">
      <c r="A887" s="258">
        <v>1461</v>
      </c>
      <c r="B887" s="235">
        <v>585</v>
      </c>
      <c r="C887" s="235" t="s">
        <v>7576</v>
      </c>
      <c r="D887" s="235"/>
      <c r="E887" s="235"/>
      <c r="F887" s="235"/>
      <c r="G887" s="235"/>
      <c r="H887" s="235" t="s">
        <v>267</v>
      </c>
      <c r="I887" s="235">
        <v>2</v>
      </c>
      <c r="K887" s="235">
        <v>1</v>
      </c>
      <c r="L887" s="235">
        <f t="shared" si="476"/>
        <v>73</v>
      </c>
      <c r="M887" s="235">
        <v>9</v>
      </c>
      <c r="O887" s="248">
        <v>42048</v>
      </c>
      <c r="V887" s="219"/>
      <c r="X887">
        <v>15.55</v>
      </c>
      <c r="AB887" s="220"/>
      <c r="AD887" s="221"/>
      <c r="AF887" s="220"/>
      <c r="AH887" s="220"/>
      <c r="AJ887" s="286"/>
      <c r="AK887" s="285"/>
      <c r="AL887" s="260"/>
      <c r="AN887" s="235">
        <v>70</v>
      </c>
      <c r="AO887" s="242">
        <v>42074</v>
      </c>
      <c r="AP887" s="235">
        <v>106</v>
      </c>
      <c r="AQ887" s="242">
        <v>42110</v>
      </c>
      <c r="AS887" s="297"/>
      <c r="AT887" s="290"/>
      <c r="AU887" s="298"/>
      <c r="BF887" s="282"/>
      <c r="BG887" s="235"/>
      <c r="BL887" s="296"/>
      <c r="BM887" s="235"/>
      <c r="BP887" s="282"/>
      <c r="BQ887" s="235"/>
      <c r="BR887" s="282"/>
      <c r="BS887" s="235"/>
      <c r="BT887" s="282"/>
      <c r="BU887" s="235"/>
      <c r="BV887" s="282"/>
      <c r="BW887" s="235"/>
      <c r="BX887" s="282"/>
      <c r="BY887" s="235"/>
      <c r="CB887" s="267"/>
      <c r="CD887" s="282"/>
      <c r="CE887" s="291"/>
      <c r="CM887" s="259">
        <v>42161</v>
      </c>
    </row>
    <row r="888" spans="1:93">
      <c r="A888" s="258">
        <v>1462</v>
      </c>
      <c r="B888" s="235">
        <v>586</v>
      </c>
      <c r="C888" s="235" t="s">
        <v>7576</v>
      </c>
      <c r="D888" s="235"/>
      <c r="E888" s="235"/>
      <c r="F888" s="235"/>
      <c r="G888" s="235"/>
      <c r="H888" s="235" t="s">
        <v>267</v>
      </c>
      <c r="I888" s="235">
        <v>2</v>
      </c>
      <c r="K888" s="235">
        <v>2</v>
      </c>
      <c r="L888" s="235">
        <f t="shared" si="476"/>
        <v>74</v>
      </c>
      <c r="M888" s="235">
        <v>9</v>
      </c>
      <c r="O888" s="248">
        <v>42048</v>
      </c>
      <c r="V888" s="219"/>
      <c r="X888">
        <v>15.55</v>
      </c>
      <c r="AB888" s="220"/>
      <c r="AD888" s="221"/>
      <c r="AF888" s="220"/>
      <c r="AH888" s="220"/>
      <c r="AJ888" s="286"/>
      <c r="AK888" s="285"/>
      <c r="AL888" s="260"/>
      <c r="AN888" s="235">
        <v>70</v>
      </c>
      <c r="AO888" s="242">
        <v>42074</v>
      </c>
      <c r="AP888" s="235">
        <v>106</v>
      </c>
      <c r="AQ888" s="242">
        <v>42110</v>
      </c>
      <c r="AS888" s="297"/>
      <c r="AT888" s="290"/>
      <c r="AU888" s="298"/>
      <c r="BF888" s="282"/>
      <c r="BG888" s="235"/>
      <c r="BL888" s="296"/>
      <c r="BM888" s="235"/>
      <c r="BP888" s="282"/>
      <c r="BQ888" s="235"/>
      <c r="BR888" s="282"/>
      <c r="BS888" s="235"/>
      <c r="BT888" s="282"/>
      <c r="BU888" s="235"/>
      <c r="BV888" s="282"/>
      <c r="BW888" s="235"/>
      <c r="BX888" s="282"/>
      <c r="BY888" s="235"/>
      <c r="CB888" s="267"/>
      <c r="CD888" s="282"/>
      <c r="CE888" s="291"/>
      <c r="CL888" s="136">
        <v>3</v>
      </c>
      <c r="CM888" s="259">
        <v>42161</v>
      </c>
    </row>
    <row r="889" spans="1:93">
      <c r="A889" s="258">
        <v>1463</v>
      </c>
      <c r="B889" s="235">
        <v>587</v>
      </c>
      <c r="C889" s="235" t="s">
        <v>7576</v>
      </c>
      <c r="D889" s="235"/>
      <c r="E889" s="235"/>
      <c r="F889" s="235"/>
      <c r="G889" s="235"/>
      <c r="H889" s="235" t="s">
        <v>267</v>
      </c>
      <c r="I889" s="235">
        <v>2</v>
      </c>
      <c r="K889" s="235">
        <v>3</v>
      </c>
      <c r="L889" s="235">
        <f t="shared" si="476"/>
        <v>75</v>
      </c>
      <c r="M889" s="235">
        <v>9</v>
      </c>
      <c r="O889" s="248">
        <v>42048</v>
      </c>
      <c r="V889" s="219"/>
      <c r="X889">
        <v>15.55</v>
      </c>
      <c r="AB889" s="220"/>
      <c r="AD889" s="221"/>
      <c r="AF889" s="220"/>
      <c r="AH889" s="220"/>
      <c r="AJ889" s="286"/>
      <c r="AK889" s="285"/>
      <c r="AL889" s="260"/>
      <c r="AN889" s="235">
        <v>70</v>
      </c>
      <c r="AO889" s="242">
        <v>42074</v>
      </c>
      <c r="AP889" s="235">
        <v>106</v>
      </c>
      <c r="AQ889" s="242">
        <v>42110</v>
      </c>
      <c r="AS889" s="297"/>
      <c r="AT889" s="290"/>
      <c r="AU889" s="298"/>
      <c r="BF889" s="282"/>
      <c r="BG889" s="235"/>
      <c r="BL889" s="296"/>
      <c r="BM889" s="235"/>
      <c r="BP889" s="282"/>
      <c r="BQ889" s="235"/>
      <c r="BR889" s="282"/>
      <c r="BS889" s="235"/>
      <c r="BT889" s="282"/>
      <c r="BU889" s="235"/>
      <c r="BV889" s="282"/>
      <c r="BW889" s="235"/>
      <c r="BX889" s="282"/>
      <c r="BY889" s="235"/>
      <c r="CB889" s="267"/>
      <c r="CD889" s="282"/>
      <c r="CE889" s="291"/>
      <c r="CL889" s="136">
        <v>3</v>
      </c>
      <c r="CM889" s="259">
        <v>42161</v>
      </c>
    </row>
    <row r="890" spans="1:93">
      <c r="A890" s="258">
        <v>1464</v>
      </c>
      <c r="B890" s="235">
        <v>588</v>
      </c>
      <c r="C890" s="235" t="s">
        <v>7746</v>
      </c>
      <c r="D890" s="235" t="s">
        <v>7887</v>
      </c>
      <c r="E890" s="235" t="s">
        <v>7746</v>
      </c>
      <c r="F890" s="235" t="s">
        <v>8560</v>
      </c>
      <c r="G890" s="235" t="str">
        <f>IF(MID(C890,1,3)="BGA","Complement","Rapsodyn")</f>
        <v>Rapsodyn</v>
      </c>
      <c r="H890" s="235" t="s">
        <v>267</v>
      </c>
      <c r="I890" s="235">
        <v>2</v>
      </c>
      <c r="J890" s="235">
        <v>9379</v>
      </c>
      <c r="K890" s="235">
        <v>4</v>
      </c>
      <c r="L890" s="235">
        <f t="shared" si="476"/>
        <v>76</v>
      </c>
      <c r="M890" s="235">
        <v>9</v>
      </c>
      <c r="N890" s="235">
        <v>7</v>
      </c>
      <c r="O890" s="248">
        <v>42048</v>
      </c>
      <c r="P890" s="136">
        <v>4.5999999999999996</v>
      </c>
      <c r="Q890" s="264">
        <v>42204</v>
      </c>
      <c r="V890" s="219">
        <f>+BR890*AF890/100</f>
        <v>12.477698053017766</v>
      </c>
      <c r="X890">
        <v>15.55</v>
      </c>
      <c r="AB890" s="220">
        <f>+AF890*BT890/100</f>
        <v>6.061163474472389</v>
      </c>
      <c r="AD890" s="221">
        <f>+(AF890/AJ890)*10000</f>
        <v>57249.858142613964</v>
      </c>
      <c r="AF890" s="220">
        <f>($P890/$X890)*(((100-$CD890)/100*(100-2)/100))*100</f>
        <v>27.250932475884245</v>
      </c>
      <c r="AH890" s="220">
        <f>($P890/$X890)*(((100-$CD890)/(100-9)*(100-2)/(100-2))*100)</f>
        <v>30.557224126355962</v>
      </c>
      <c r="AJ890">
        <v>4.76</v>
      </c>
      <c r="AK890" s="285" t="s">
        <v>8398</v>
      </c>
      <c r="AL890" s="260">
        <v>170</v>
      </c>
      <c r="AN890" s="235">
        <v>70</v>
      </c>
      <c r="AO890" s="242">
        <v>42074</v>
      </c>
      <c r="AP890" s="235">
        <v>104</v>
      </c>
      <c r="AQ890" s="242">
        <v>42108</v>
      </c>
      <c r="AR890" s="136">
        <v>127</v>
      </c>
      <c r="AS890" s="297">
        <f>IF(AR890=0,,AR890)</f>
        <v>127</v>
      </c>
      <c r="AT890" s="290">
        <v>42131</v>
      </c>
      <c r="AU890" s="298"/>
      <c r="BF890" s="282">
        <v>33.690628051757813</v>
      </c>
      <c r="BG890" s="283">
        <v>42236</v>
      </c>
      <c r="BL890" s="296">
        <v>58.706596374511719</v>
      </c>
      <c r="BM890" s="283">
        <v>42236</v>
      </c>
      <c r="BP890" s="282">
        <v>4.2409510612487793</v>
      </c>
      <c r="BQ890" s="283">
        <v>42236</v>
      </c>
      <c r="BR890" s="282">
        <v>45.788150787353516</v>
      </c>
      <c r="BS890" s="283">
        <v>42236</v>
      </c>
      <c r="BT890" s="282">
        <v>22.242040634155273</v>
      </c>
      <c r="BU890" s="283">
        <v>42236</v>
      </c>
      <c r="BV890" s="282">
        <v>77.819908142089844</v>
      </c>
      <c r="BW890" s="283">
        <v>42236</v>
      </c>
      <c r="BX890" s="282">
        <v>6.2311782836914062</v>
      </c>
      <c r="BY890" s="283">
        <v>42236</v>
      </c>
      <c r="CB890" s="267">
        <v>6.92</v>
      </c>
      <c r="CD890" s="282">
        <v>5.9999999999999964</v>
      </c>
      <c r="CE890" s="291" t="s">
        <v>8398</v>
      </c>
      <c r="CH890" s="136">
        <v>2</v>
      </c>
      <c r="CI890" s="136">
        <v>5</v>
      </c>
      <c r="CL890" s="136">
        <v>5</v>
      </c>
      <c r="CM890" s="259">
        <v>42161</v>
      </c>
      <c r="CN890" s="137" t="s">
        <v>8406</v>
      </c>
    </row>
    <row r="891" spans="1:93">
      <c r="A891" s="258">
        <v>1465</v>
      </c>
      <c r="B891" s="235">
        <v>589</v>
      </c>
      <c r="C891" s="235" t="s">
        <v>7750</v>
      </c>
      <c r="D891" s="235" t="s">
        <v>7872</v>
      </c>
      <c r="E891" s="235" t="s">
        <v>7750</v>
      </c>
      <c r="F891" s="235" t="s">
        <v>8559</v>
      </c>
      <c r="G891" s="235" t="str">
        <f>IF(MID(C891,1,3)="BGA","Complement","Rapsodyn")</f>
        <v>Rapsodyn</v>
      </c>
      <c r="H891" s="235" t="s">
        <v>267</v>
      </c>
      <c r="I891" s="235">
        <v>2</v>
      </c>
      <c r="J891" s="235">
        <v>9382</v>
      </c>
      <c r="K891" s="235">
        <v>5</v>
      </c>
      <c r="L891" s="235">
        <f t="shared" si="476"/>
        <v>77</v>
      </c>
      <c r="M891" s="235">
        <v>9</v>
      </c>
      <c r="N891" s="235">
        <v>7</v>
      </c>
      <c r="O891" s="248">
        <v>42048</v>
      </c>
      <c r="P891" s="136">
        <v>2.8</v>
      </c>
      <c r="Q891" s="264">
        <v>42204</v>
      </c>
      <c r="V891" s="219">
        <f>+BR891*AF891/100</f>
        <v>7.4140402673065058</v>
      </c>
      <c r="X891">
        <v>15.55</v>
      </c>
      <c r="AB891" s="220">
        <f>+AF891*BT891/100</f>
        <v>3.7049637821002608</v>
      </c>
      <c r="AD891" s="221">
        <f>+(AF891/AJ891)*10000</f>
        <v>36790.181293066649</v>
      </c>
      <c r="AF891" s="220">
        <f>($P891/$X891)*(((100-$CD891)/100*(100-2)/100))*100</f>
        <v>16.665952125759194</v>
      </c>
      <c r="AH891" s="220">
        <f>($P891/$X891)*(((100-$CD891)/(100-9)*(100-2)/(100-2))*100)</f>
        <v>18.687992964520291</v>
      </c>
      <c r="AJ891">
        <v>4.53</v>
      </c>
      <c r="AK891" s="285" t="s">
        <v>8398</v>
      </c>
      <c r="AL891" s="260">
        <v>160</v>
      </c>
      <c r="AN891" s="235">
        <v>72</v>
      </c>
      <c r="AO891" s="242">
        <v>42076</v>
      </c>
      <c r="AP891" s="235">
        <v>104</v>
      </c>
      <c r="AQ891" s="242">
        <v>42108</v>
      </c>
      <c r="AR891" s="136">
        <v>133</v>
      </c>
      <c r="AS891" s="297">
        <f>IF(AR891=0,,AR891)</f>
        <v>133</v>
      </c>
      <c r="AT891" s="290">
        <v>42137</v>
      </c>
      <c r="AU891" s="298"/>
      <c r="BF891" s="282">
        <v>-3.6631848812103271</v>
      </c>
      <c r="BG891" s="283">
        <v>42236</v>
      </c>
      <c r="BL891" s="296">
        <v>63.541362762451172</v>
      </c>
      <c r="BM891" s="283">
        <v>42236</v>
      </c>
      <c r="BP891" s="282">
        <v>3.6293120384216309</v>
      </c>
      <c r="BQ891" s="283">
        <v>42236</v>
      </c>
      <c r="BR891" s="282">
        <v>44.486148834228516</v>
      </c>
      <c r="BS891" s="283">
        <v>42236</v>
      </c>
      <c r="BT891" s="282">
        <v>22.230735778808594</v>
      </c>
      <c r="BU891" s="283">
        <v>42236</v>
      </c>
      <c r="BV891" s="282">
        <v>70.964454650878906</v>
      </c>
      <c r="BW891" s="283">
        <v>42236</v>
      </c>
      <c r="BX891" s="282">
        <v>6.3084945678710938</v>
      </c>
      <c r="BY891" s="283">
        <v>42236</v>
      </c>
      <c r="CB891" s="267">
        <v>7.01</v>
      </c>
      <c r="CD891" s="282">
        <v>5.5555555555555687</v>
      </c>
      <c r="CE891" s="291" t="s">
        <v>8398</v>
      </c>
      <c r="CH891" s="136">
        <v>3</v>
      </c>
      <c r="CI891" s="136">
        <v>2</v>
      </c>
      <c r="CL891" s="136">
        <v>8</v>
      </c>
      <c r="CM891" s="259">
        <v>42161</v>
      </c>
      <c r="CN891" s="137" t="s">
        <v>8391</v>
      </c>
    </row>
    <row r="892" spans="1:93">
      <c r="A892" s="258">
        <v>1466</v>
      </c>
      <c r="B892" s="235">
        <v>590</v>
      </c>
      <c r="C892" s="235" t="s">
        <v>7749</v>
      </c>
      <c r="D892" s="235" t="s">
        <v>7888</v>
      </c>
      <c r="E892" s="235" t="s">
        <v>7749</v>
      </c>
      <c r="F892" s="235" t="s">
        <v>8558</v>
      </c>
      <c r="G892" s="235" t="str">
        <f>IF(MID(C892,1,3)="BGA","Complement","Rapsodyn")</f>
        <v>Rapsodyn</v>
      </c>
      <c r="H892" s="235" t="s">
        <v>267</v>
      </c>
      <c r="I892" s="235">
        <v>2</v>
      </c>
      <c r="J892" s="235">
        <v>9381</v>
      </c>
      <c r="K892" s="235">
        <v>6</v>
      </c>
      <c r="L892" s="235">
        <f t="shared" si="476"/>
        <v>78</v>
      </c>
      <c r="M892" s="235">
        <v>9</v>
      </c>
      <c r="N892" s="235">
        <v>7</v>
      </c>
      <c r="O892" s="248">
        <v>42048</v>
      </c>
      <c r="P892" s="136">
        <v>3</v>
      </c>
      <c r="Q892" s="264">
        <v>42204</v>
      </c>
      <c r="V892" s="219">
        <f>+BR892*AF892/100</f>
        <v>8.323396149172277</v>
      </c>
      <c r="X892">
        <v>15.55</v>
      </c>
      <c r="AB892" s="220">
        <f>+AF892*BT892/100</f>
        <v>3.5552967206458193</v>
      </c>
      <c r="AD892" s="221">
        <f>+(AF892/AJ892)*10000</f>
        <v>45719.453376205791</v>
      </c>
      <c r="AF892" s="220">
        <f>($P892/$X892)*(((100-$CD892)/100*(100-2)/100))*100</f>
        <v>17.556270096463024</v>
      </c>
      <c r="AH892" s="220">
        <f>($P892/$X892)*(((100-$CD892)/(100-9)*(100-2)/(100-2))*100)</f>
        <v>19.686331124089506</v>
      </c>
      <c r="AJ892">
        <v>3.84</v>
      </c>
      <c r="AK892" s="285" t="s">
        <v>8400</v>
      </c>
      <c r="AL892" s="260">
        <v>165</v>
      </c>
      <c r="AN892" s="235">
        <v>72</v>
      </c>
      <c r="AO892" s="242">
        <v>42076</v>
      </c>
      <c r="AP892" s="235">
        <v>106</v>
      </c>
      <c r="AQ892" s="242">
        <v>42110</v>
      </c>
      <c r="AR892" s="136">
        <v>135</v>
      </c>
      <c r="AS892" s="297">
        <f>IF(AR892=0,,AR892)</f>
        <v>135</v>
      </c>
      <c r="AT892" s="290">
        <v>42139</v>
      </c>
      <c r="AU892" s="298"/>
      <c r="BF892" s="282">
        <v>29.387588500976563</v>
      </c>
      <c r="BG892" s="283">
        <v>42236</v>
      </c>
      <c r="BL892" s="296">
        <v>60.395679473876953</v>
      </c>
      <c r="BM892" s="283">
        <v>42236</v>
      </c>
      <c r="BP892" s="282">
        <v>3.3015201091766357</v>
      </c>
      <c r="BQ892" s="283">
        <v>42236</v>
      </c>
      <c r="BR892" s="282">
        <v>47.409820556640625</v>
      </c>
      <c r="BS892" s="283">
        <v>42236</v>
      </c>
      <c r="BT892" s="282">
        <v>20.250865936279297</v>
      </c>
      <c r="BU892" s="283">
        <v>42236</v>
      </c>
      <c r="BV892" s="282">
        <v>66.800430297851562</v>
      </c>
      <c r="BW892" s="283">
        <v>42236</v>
      </c>
      <c r="BX892" s="282">
        <v>5.9268875122070312</v>
      </c>
      <c r="BY892" s="283">
        <v>42236</v>
      </c>
      <c r="CB892" s="267">
        <v>6.02</v>
      </c>
      <c r="CD892" s="282">
        <v>7.1428571428571344</v>
      </c>
      <c r="CE892" s="291" t="s">
        <v>8400</v>
      </c>
      <c r="CH892" s="136">
        <v>5</v>
      </c>
      <c r="CI892" s="136">
        <v>7</v>
      </c>
      <c r="CL892" s="136">
        <v>8</v>
      </c>
      <c r="CM892" s="259">
        <v>42161</v>
      </c>
      <c r="CN892" s="137" t="s">
        <v>8391</v>
      </c>
      <c r="CO892" s="137" t="s">
        <v>8405</v>
      </c>
    </row>
    <row r="893" spans="1:93">
      <c r="A893" s="258">
        <v>1467</v>
      </c>
      <c r="B893" s="236">
        <v>591</v>
      </c>
      <c r="C893" s="236" t="s">
        <v>7633</v>
      </c>
      <c r="D893" s="236" t="s">
        <v>256</v>
      </c>
      <c r="E893" s="236" t="s">
        <v>7633</v>
      </c>
      <c r="F893" s="236" t="s">
        <v>8557</v>
      </c>
      <c r="G893" s="235" t="str">
        <f>IF(MID(C893,1,3)="BGA","Complement","Rapsodyn")</f>
        <v>Rapsodyn</v>
      </c>
      <c r="H893" s="235" t="s">
        <v>267</v>
      </c>
      <c r="I893" s="235">
        <v>2</v>
      </c>
      <c r="J893" s="236">
        <v>9367</v>
      </c>
      <c r="K893" s="236">
        <v>7</v>
      </c>
      <c r="L893" s="235">
        <f t="shared" si="476"/>
        <v>79</v>
      </c>
      <c r="M893" s="236">
        <v>9</v>
      </c>
      <c r="N893" s="235">
        <v>7</v>
      </c>
      <c r="O893" s="248">
        <v>42048</v>
      </c>
      <c r="P893" s="136">
        <v>1</v>
      </c>
      <c r="Q893" s="264">
        <v>42204</v>
      </c>
      <c r="V893" s="219">
        <f>+BR893*AF893/100</f>
        <v>2.6613578024578071</v>
      </c>
      <c r="X893">
        <v>15.55</v>
      </c>
      <c r="AB893" s="220">
        <f>+AF893*BT893/100</f>
        <v>1.358209176432694</v>
      </c>
      <c r="AD893" s="221">
        <f>+(AF893/AJ893)*10000</f>
        <v>15345.373155886877</v>
      </c>
      <c r="AF893" s="220">
        <f>($P893/$X893)*(((100-$CD893)/100*(100-2)/100))*100</f>
        <v>5.9386594113282216</v>
      </c>
      <c r="AH893" s="220">
        <f>($P893/$X893)*(((100-$CD893)/(100-9)*(100-2)/(100-2))*100)</f>
        <v>6.6591830133754462</v>
      </c>
      <c r="AJ893">
        <v>3.87</v>
      </c>
      <c r="AK893" s="285" t="s">
        <v>8400</v>
      </c>
      <c r="AL893" s="260">
        <v>145</v>
      </c>
      <c r="AN893" s="235">
        <v>63</v>
      </c>
      <c r="AO893" s="243">
        <v>42067</v>
      </c>
      <c r="AP893" s="235">
        <v>100</v>
      </c>
      <c r="AQ893" s="242">
        <v>42104</v>
      </c>
      <c r="AR893" s="136">
        <v>125</v>
      </c>
      <c r="AS893" s="297">
        <f>IF(AR893=0,,AR893)</f>
        <v>125</v>
      </c>
      <c r="AT893" s="290">
        <v>42129</v>
      </c>
      <c r="AU893" s="298"/>
      <c r="BF893" s="282">
        <v>38.485729217529297</v>
      </c>
      <c r="BG893" s="283">
        <v>42236</v>
      </c>
      <c r="BL893" s="296">
        <v>59.371303558349609</v>
      </c>
      <c r="BM893" s="283">
        <v>42236</v>
      </c>
      <c r="BP893" s="282">
        <v>3.0206348896026611</v>
      </c>
      <c r="BQ893" s="283">
        <v>42236</v>
      </c>
      <c r="BR893" s="282">
        <v>44.814117431640625</v>
      </c>
      <c r="BS893" s="283">
        <v>42236</v>
      </c>
      <c r="BT893" s="282">
        <v>22.870635986328125</v>
      </c>
      <c r="BU893" s="283">
        <v>42236</v>
      </c>
      <c r="BV893" s="282">
        <v>76.85687255859375</v>
      </c>
      <c r="BW893" s="283">
        <v>42236</v>
      </c>
      <c r="BX893" s="282">
        <v>5.8110275268554687</v>
      </c>
      <c r="BY893" s="283">
        <v>42236</v>
      </c>
      <c r="CB893" s="267">
        <v>10.06</v>
      </c>
      <c r="CD893" s="282">
        <v>5.7692307692307656</v>
      </c>
      <c r="CE893" s="291" t="s">
        <v>8400</v>
      </c>
      <c r="CH893" s="136">
        <v>4</v>
      </c>
      <c r="CI893" s="136">
        <v>2</v>
      </c>
      <c r="CL893" s="136">
        <v>7</v>
      </c>
      <c r="CM893" s="259">
        <v>42161</v>
      </c>
      <c r="CN893" s="137" t="s">
        <v>8406</v>
      </c>
    </row>
    <row r="894" spans="1:93">
      <c r="A894" s="258">
        <v>1468</v>
      </c>
      <c r="B894" s="235">
        <v>592</v>
      </c>
      <c r="C894" s="235" t="s">
        <v>7576</v>
      </c>
      <c r="D894" s="235"/>
      <c r="E894" s="235"/>
      <c r="F894" s="235"/>
      <c r="G894" s="235"/>
      <c r="H894" s="235" t="s">
        <v>267</v>
      </c>
      <c r="I894" s="235">
        <v>2</v>
      </c>
      <c r="K894" s="235">
        <v>8</v>
      </c>
      <c r="L894" s="235">
        <f t="shared" si="476"/>
        <v>80</v>
      </c>
      <c r="M894" s="235">
        <v>9</v>
      </c>
      <c r="O894" s="248">
        <v>42048</v>
      </c>
      <c r="V894" s="219"/>
      <c r="X894">
        <v>15.55</v>
      </c>
      <c r="AB894" s="220"/>
      <c r="AD894" s="221"/>
      <c r="AF894" s="220"/>
      <c r="AH894" s="220"/>
      <c r="AJ894" s="286"/>
      <c r="AK894" s="285"/>
      <c r="AL894" s="260"/>
      <c r="AN894" s="235">
        <v>70</v>
      </c>
      <c r="AO894" s="242">
        <v>42074</v>
      </c>
      <c r="AP894" s="235">
        <v>106</v>
      </c>
      <c r="AQ894" s="242">
        <v>42110</v>
      </c>
      <c r="AS894" s="297"/>
      <c r="AT894" s="290"/>
      <c r="AU894" s="298"/>
      <c r="BF894" s="282"/>
      <c r="BG894" s="235"/>
      <c r="BL894" s="296"/>
      <c r="BM894" s="235"/>
      <c r="BP894" s="282"/>
      <c r="BQ894" s="235"/>
      <c r="BR894" s="282"/>
      <c r="BS894" s="235"/>
      <c r="BT894" s="282"/>
      <c r="BU894" s="235"/>
      <c r="BV894" s="282"/>
      <c r="BW894" s="235"/>
      <c r="BX894" s="282"/>
      <c r="BY894" s="235"/>
      <c r="CB894" s="267"/>
      <c r="CD894" s="282"/>
      <c r="CE894" s="291"/>
      <c r="CL894" s="136">
        <v>5</v>
      </c>
      <c r="CM894" s="259">
        <v>42161</v>
      </c>
    </row>
    <row r="895" spans="1:93">
      <c r="A895" s="258">
        <v>1471</v>
      </c>
      <c r="B895" s="235">
        <v>595</v>
      </c>
      <c r="C895" s="235" t="s">
        <v>8238</v>
      </c>
      <c r="D895" s="235" t="s">
        <v>7562</v>
      </c>
      <c r="E895" s="235" t="s">
        <v>8461</v>
      </c>
      <c r="F895" s="235" t="s">
        <v>8469</v>
      </c>
      <c r="G895" s="235" t="str">
        <f t="shared" ref="G895:G903" si="477">IF(MID(C895,1,3)="BGA","Complement","Rapsodyn")</f>
        <v>Rapsodyn</v>
      </c>
      <c r="H895" s="235" t="s">
        <v>267</v>
      </c>
      <c r="I895" s="235">
        <v>2</v>
      </c>
      <c r="J895" s="235">
        <v>9355</v>
      </c>
      <c r="K895" s="235">
        <v>11</v>
      </c>
      <c r="L895" s="235">
        <f t="shared" si="476"/>
        <v>83</v>
      </c>
      <c r="M895" s="235">
        <v>9</v>
      </c>
      <c r="N895" s="235">
        <v>7</v>
      </c>
      <c r="O895" s="248">
        <v>42048</v>
      </c>
      <c r="P895" s="136">
        <v>6.83</v>
      </c>
      <c r="Q895" s="264">
        <v>42204</v>
      </c>
      <c r="V895" s="219">
        <f t="shared" ref="V895:V898" si="478">+BR895*AF895/100</f>
        <v>20.055109679249703</v>
      </c>
      <c r="X895">
        <v>15.55</v>
      </c>
      <c r="AB895" s="220">
        <f t="shared" ref="AB895:AB898" si="479">+AF895*BT895/100</f>
        <v>7.343119497989151</v>
      </c>
      <c r="AD895" s="221">
        <f t="shared" ref="AD895:AD898" si="480">+(AF895/AJ895)*10000</f>
        <v>86310.221265464046</v>
      </c>
      <c r="AF895" s="220">
        <f t="shared" ref="AF895:AF898" si="481">($P895/$X895)*(((100-$CD895)/100*(100-2)/100))*100</f>
        <v>40.738424437299031</v>
      </c>
      <c r="AH895" s="220">
        <f t="shared" ref="AH895:AH898" si="482">($P895/$X895)*(((100-$CD895)/(100-9)*(100-2)/(100-2))*100)</f>
        <v>45.681121818007433</v>
      </c>
      <c r="AJ895">
        <v>4.72</v>
      </c>
      <c r="AK895" s="285" t="s">
        <v>8401</v>
      </c>
      <c r="AL895" s="260">
        <v>155</v>
      </c>
      <c r="AN895" s="235">
        <v>75</v>
      </c>
      <c r="AO895" s="242">
        <v>42079</v>
      </c>
      <c r="AP895" s="235">
        <v>106</v>
      </c>
      <c r="AQ895" s="242">
        <v>42110</v>
      </c>
      <c r="AR895" s="136">
        <v>133</v>
      </c>
      <c r="AS895" s="297">
        <f t="shared" ref="AS895:AS903" si="483">IF(AR895=0,,AR895)</f>
        <v>133</v>
      </c>
      <c r="AT895" s="290">
        <v>42137</v>
      </c>
      <c r="AU895" s="298"/>
      <c r="BF895" s="282">
        <v>4.6000728607177734</v>
      </c>
      <c r="BG895" s="283">
        <v>42234</v>
      </c>
      <c r="BL895" s="296">
        <v>61.818378448486328</v>
      </c>
      <c r="BM895" s="283">
        <v>42234</v>
      </c>
      <c r="BP895" s="282">
        <v>3.9220468997955322</v>
      </c>
      <c r="BQ895" s="283">
        <v>42234</v>
      </c>
      <c r="BR895" s="282">
        <v>49.228977203369141</v>
      </c>
      <c r="BS895" s="283">
        <v>42234</v>
      </c>
      <c r="BT895" s="282">
        <v>18.025045394897461</v>
      </c>
      <c r="BU895" s="283">
        <v>42234</v>
      </c>
      <c r="BV895" s="282">
        <v>17.029491424560547</v>
      </c>
      <c r="BW895" s="283">
        <v>42234</v>
      </c>
      <c r="BX895" s="282">
        <v>5.37017822265625</v>
      </c>
      <c r="BY895" s="283">
        <v>42234</v>
      </c>
      <c r="CB895" s="267">
        <v>7.04</v>
      </c>
      <c r="CD895" s="282">
        <v>5.3571428571428541</v>
      </c>
      <c r="CE895" s="291" t="s">
        <v>8401</v>
      </c>
      <c r="CH895" s="136">
        <v>3</v>
      </c>
      <c r="CI895" s="136">
        <v>2</v>
      </c>
      <c r="CL895" s="136">
        <v>3</v>
      </c>
      <c r="CM895" s="259">
        <v>42161</v>
      </c>
      <c r="CN895" s="137" t="s">
        <v>8406</v>
      </c>
    </row>
    <row r="896" spans="1:93">
      <c r="A896" s="258">
        <v>1472</v>
      </c>
      <c r="B896" s="235">
        <v>596</v>
      </c>
      <c r="C896" s="235" t="s">
        <v>7758</v>
      </c>
      <c r="D896" s="235" t="s">
        <v>8423</v>
      </c>
      <c r="E896" s="235" t="s">
        <v>7758</v>
      </c>
      <c r="F896" s="235" t="s">
        <v>8556</v>
      </c>
      <c r="G896" s="235" t="str">
        <f t="shared" si="477"/>
        <v>Rapsodyn</v>
      </c>
      <c r="H896" s="235" t="s">
        <v>267</v>
      </c>
      <c r="I896" s="235">
        <v>2</v>
      </c>
      <c r="J896" s="235">
        <v>9129</v>
      </c>
      <c r="K896" s="235">
        <v>12</v>
      </c>
      <c r="L896" s="235">
        <f t="shared" si="476"/>
        <v>84</v>
      </c>
      <c r="M896" s="235">
        <v>9</v>
      </c>
      <c r="N896" s="235">
        <v>7</v>
      </c>
      <c r="O896" s="248">
        <v>42048</v>
      </c>
      <c r="P896" s="136">
        <v>7.41</v>
      </c>
      <c r="Q896" s="264">
        <v>42204</v>
      </c>
      <c r="V896" s="219">
        <f t="shared" si="478"/>
        <v>21.30380057265851</v>
      </c>
      <c r="X896">
        <v>15.55</v>
      </c>
      <c r="AB896" s="220">
        <f t="shared" si="479"/>
        <v>7.8058803199339186</v>
      </c>
      <c r="AD896" s="221">
        <f t="shared" si="480"/>
        <v>95030.424563879686</v>
      </c>
      <c r="AF896" s="220">
        <f t="shared" si="481"/>
        <v>44.284177846767932</v>
      </c>
      <c r="AH896" s="220">
        <f t="shared" si="482"/>
        <v>49.657073163005087</v>
      </c>
      <c r="AJ896">
        <v>4.66</v>
      </c>
      <c r="AK896" s="285" t="s">
        <v>8401</v>
      </c>
      <c r="AL896" s="260">
        <v>145</v>
      </c>
      <c r="AN896" s="235">
        <v>79</v>
      </c>
      <c r="AO896" s="242">
        <v>42083</v>
      </c>
      <c r="AP896" s="235">
        <v>106</v>
      </c>
      <c r="AQ896" s="242">
        <v>42110</v>
      </c>
      <c r="AR896" s="136">
        <v>131</v>
      </c>
      <c r="AS896" s="297">
        <f t="shared" si="483"/>
        <v>131</v>
      </c>
      <c r="AT896" s="290">
        <v>42135</v>
      </c>
      <c r="AU896" s="298"/>
      <c r="BF896" s="282">
        <v>-2.435575008392334</v>
      </c>
      <c r="BG896" s="283">
        <v>42234</v>
      </c>
      <c r="BL896" s="296">
        <v>59.850318908691406</v>
      </c>
      <c r="BM896" s="283">
        <v>42234</v>
      </c>
      <c r="BP896" s="282">
        <v>3.7190399169921875</v>
      </c>
      <c r="BQ896" s="283">
        <v>42234</v>
      </c>
      <c r="BR896" s="282">
        <v>48.107025146484375</v>
      </c>
      <c r="BS896" s="283">
        <v>42234</v>
      </c>
      <c r="BT896" s="282">
        <v>17.626792907714844</v>
      </c>
      <c r="BU896" s="283">
        <v>42234</v>
      </c>
      <c r="BV896" s="282">
        <v>16.900972366333008</v>
      </c>
      <c r="BW896" s="283">
        <v>42234</v>
      </c>
      <c r="BX896" s="282">
        <v>5.539581298828125</v>
      </c>
      <c r="BY896" s="283">
        <v>42234</v>
      </c>
      <c r="CB896" s="267">
        <v>6.71</v>
      </c>
      <c r="CD896" s="282">
        <v>5.1724137931034457</v>
      </c>
      <c r="CE896" s="291" t="s">
        <v>8401</v>
      </c>
      <c r="CH896" s="136">
        <v>2</v>
      </c>
      <c r="CI896" s="136">
        <v>2</v>
      </c>
      <c r="CL896" s="136">
        <v>2</v>
      </c>
      <c r="CM896" s="259">
        <v>42161</v>
      </c>
      <c r="CN896" s="137" t="s">
        <v>8406</v>
      </c>
    </row>
    <row r="897" spans="1:93">
      <c r="A897" s="258">
        <v>1473</v>
      </c>
      <c r="B897" s="235">
        <v>597</v>
      </c>
      <c r="C897" s="235" t="s">
        <v>7788</v>
      </c>
      <c r="D897" s="235" t="s">
        <v>7586</v>
      </c>
      <c r="E897" s="235" t="s">
        <v>7788</v>
      </c>
      <c r="F897" s="235" t="s">
        <v>8555</v>
      </c>
      <c r="G897" s="235" t="str">
        <f t="shared" si="477"/>
        <v>Rapsodyn</v>
      </c>
      <c r="H897" s="235" t="s">
        <v>267</v>
      </c>
      <c r="I897" s="235">
        <v>2</v>
      </c>
      <c r="J897" s="235">
        <v>9159</v>
      </c>
      <c r="K897" s="235">
        <v>13</v>
      </c>
      <c r="L897" s="235">
        <f t="shared" si="476"/>
        <v>85</v>
      </c>
      <c r="M897" s="235">
        <v>9</v>
      </c>
      <c r="N897" s="235">
        <v>3</v>
      </c>
      <c r="O897" s="248">
        <v>42048</v>
      </c>
      <c r="P897" s="136">
        <v>7.01</v>
      </c>
      <c r="Q897" s="264">
        <v>42204</v>
      </c>
      <c r="V897" s="219">
        <f t="shared" si="478"/>
        <v>20.514000603869608</v>
      </c>
      <c r="X897">
        <v>15.55</v>
      </c>
      <c r="AB897" s="220">
        <f t="shared" si="479"/>
        <v>7.0824465239430587</v>
      </c>
      <c r="AD897" s="221">
        <f t="shared" si="480"/>
        <v>85057.331796396276</v>
      </c>
      <c r="AF897" s="220">
        <f t="shared" si="481"/>
        <v>41.678092580234178</v>
      </c>
      <c r="AH897" s="220">
        <f t="shared" si="482"/>
        <v>46.734797690327625</v>
      </c>
      <c r="AJ897">
        <v>4.9000000000000004</v>
      </c>
      <c r="AK897" s="285" t="s">
        <v>8398</v>
      </c>
      <c r="AL897" s="260">
        <v>165</v>
      </c>
      <c r="AN897" s="235">
        <v>72</v>
      </c>
      <c r="AO897" s="242">
        <v>42076</v>
      </c>
      <c r="AP897" s="235">
        <v>106</v>
      </c>
      <c r="AQ897" s="242">
        <v>42110</v>
      </c>
      <c r="AR897" s="136">
        <v>132</v>
      </c>
      <c r="AS897" s="297">
        <f t="shared" si="483"/>
        <v>132</v>
      </c>
      <c r="AT897" s="290">
        <v>42136</v>
      </c>
      <c r="AU897" s="298"/>
      <c r="BF897" s="282">
        <v>-4.1962218284606934</v>
      </c>
      <c r="BG897" s="283">
        <v>42235</v>
      </c>
      <c r="BL897" s="296">
        <v>62.288639068603516</v>
      </c>
      <c r="BM897" s="283">
        <v>42235</v>
      </c>
      <c r="BP897" s="282">
        <v>3.5471301078796387</v>
      </c>
      <c r="BQ897" s="283">
        <v>42235</v>
      </c>
      <c r="BR897" s="282">
        <v>49.220104217529297</v>
      </c>
      <c r="BS897" s="283">
        <v>42235</v>
      </c>
      <c r="BT897" s="282">
        <v>16.99321174621582</v>
      </c>
      <c r="BU897" s="283">
        <v>42235</v>
      </c>
      <c r="BV897" s="282">
        <v>13.603687286376953</v>
      </c>
      <c r="BW897" s="283">
        <v>42235</v>
      </c>
      <c r="BX897" s="282">
        <v>5.694244384765625</v>
      </c>
      <c r="BY897" s="283">
        <v>42235</v>
      </c>
      <c r="CB897" s="267">
        <v>6.2</v>
      </c>
      <c r="CD897" s="282">
        <v>5.660377358490563</v>
      </c>
      <c r="CE897" s="291" t="s">
        <v>8398</v>
      </c>
      <c r="CH897" s="136">
        <v>2</v>
      </c>
      <c r="CI897" s="136">
        <v>4</v>
      </c>
      <c r="CL897" s="136">
        <v>2</v>
      </c>
      <c r="CM897" s="259">
        <v>42161</v>
      </c>
      <c r="CN897" s="137" t="s">
        <v>8406</v>
      </c>
    </row>
    <row r="898" spans="1:93">
      <c r="A898" s="258">
        <v>1474</v>
      </c>
      <c r="B898" s="235">
        <v>598</v>
      </c>
      <c r="C898" s="235" t="s">
        <v>8238</v>
      </c>
      <c r="D898" s="235" t="s">
        <v>7562</v>
      </c>
      <c r="E898" s="235" t="s">
        <v>8461</v>
      </c>
      <c r="F898" s="235" t="s">
        <v>8469</v>
      </c>
      <c r="G898" s="235" t="str">
        <f t="shared" si="477"/>
        <v>Rapsodyn</v>
      </c>
      <c r="H898" s="235" t="s">
        <v>267</v>
      </c>
      <c r="I898" s="235">
        <v>2</v>
      </c>
      <c r="J898" s="235">
        <v>9360</v>
      </c>
      <c r="K898" s="235">
        <v>14</v>
      </c>
      <c r="L898" s="235">
        <f t="shared" si="476"/>
        <v>86</v>
      </c>
      <c r="M898" s="235">
        <v>9</v>
      </c>
      <c r="N898" s="235">
        <v>7</v>
      </c>
      <c r="O898" s="248">
        <v>42048</v>
      </c>
      <c r="P898" s="136">
        <v>6.91</v>
      </c>
      <c r="Q898" s="264">
        <v>42204</v>
      </c>
      <c r="V898" s="219">
        <f t="shared" si="478"/>
        <v>20.991792822847454</v>
      </c>
      <c r="X898">
        <v>15.55</v>
      </c>
      <c r="AB898" s="220">
        <f t="shared" si="479"/>
        <v>7.7766111320214772</v>
      </c>
      <c r="AD898" s="221">
        <f t="shared" si="480"/>
        <v>91643.931334111941</v>
      </c>
      <c r="AF898" s="220">
        <f t="shared" si="481"/>
        <v>42.797715933030275</v>
      </c>
      <c r="AH898" s="220">
        <f t="shared" si="482"/>
        <v>47.990262315575549</v>
      </c>
      <c r="AJ898">
        <v>4.67</v>
      </c>
      <c r="AK898" s="285" t="s">
        <v>8398</v>
      </c>
      <c r="AL898" s="260">
        <v>160</v>
      </c>
      <c r="AN898" s="235">
        <v>72</v>
      </c>
      <c r="AO898" s="242">
        <v>42076</v>
      </c>
      <c r="AP898" s="235">
        <v>106</v>
      </c>
      <c r="AQ898" s="242">
        <v>42110</v>
      </c>
      <c r="AR898" s="136">
        <v>136</v>
      </c>
      <c r="AS898" s="297">
        <f t="shared" si="483"/>
        <v>136</v>
      </c>
      <c r="AT898" s="290">
        <v>42140</v>
      </c>
      <c r="AU898" s="298"/>
      <c r="BF898" s="282">
        <v>-2.3853020668029785</v>
      </c>
      <c r="BG898" s="283">
        <v>42235</v>
      </c>
      <c r="BL898" s="296">
        <v>61.527122497558594</v>
      </c>
      <c r="BM898" s="283">
        <v>42235</v>
      </c>
      <c r="BP898" s="282">
        <v>3.4172499179840088</v>
      </c>
      <c r="BQ898" s="283">
        <v>42235</v>
      </c>
      <c r="BR898" s="282">
        <v>49.048862457275391</v>
      </c>
      <c r="BS898" s="283">
        <v>42235</v>
      </c>
      <c r="BT898" s="282">
        <v>18.170621871948242</v>
      </c>
      <c r="BU898" s="283">
        <v>42235</v>
      </c>
      <c r="BV898" s="282">
        <v>18.695886611938477</v>
      </c>
      <c r="BW898" s="283">
        <v>42235</v>
      </c>
      <c r="BX898" s="282">
        <v>5.5297927856445313</v>
      </c>
      <c r="BY898" s="283">
        <v>42235</v>
      </c>
      <c r="CB898" s="267">
        <v>7.12</v>
      </c>
      <c r="CD898" s="282">
        <v>1.7241379310344769</v>
      </c>
      <c r="CE898" s="291" t="s">
        <v>8398</v>
      </c>
      <c r="CH898" s="136">
        <v>3</v>
      </c>
      <c r="CI898" s="136">
        <v>4</v>
      </c>
      <c r="CL898" s="136">
        <v>2</v>
      </c>
      <c r="CM898" s="259">
        <v>42161</v>
      </c>
      <c r="CN898" s="137" t="s">
        <v>8406</v>
      </c>
    </row>
    <row r="899" spans="1:93">
      <c r="A899" s="258">
        <v>1481</v>
      </c>
      <c r="B899" s="235">
        <v>605</v>
      </c>
      <c r="C899" s="235" t="s">
        <v>7732</v>
      </c>
      <c r="D899" s="235" t="s">
        <v>7555</v>
      </c>
      <c r="E899" s="235" t="s">
        <v>7732</v>
      </c>
      <c r="F899" s="235" t="s">
        <v>8554</v>
      </c>
      <c r="G899" s="235" t="str">
        <f t="shared" si="477"/>
        <v>Rapsodyn</v>
      </c>
      <c r="H899" s="235" t="s">
        <v>267</v>
      </c>
      <c r="I899" s="235">
        <v>2</v>
      </c>
      <c r="J899" s="235">
        <v>9113</v>
      </c>
      <c r="K899" s="235">
        <v>21</v>
      </c>
      <c r="L899" s="235">
        <f t="shared" si="476"/>
        <v>93</v>
      </c>
      <c r="M899" s="235">
        <v>9</v>
      </c>
      <c r="N899" s="235">
        <v>7</v>
      </c>
      <c r="O899" s="248">
        <v>42048</v>
      </c>
      <c r="P899" s="136">
        <v>6.1</v>
      </c>
      <c r="Q899" s="264">
        <v>42204</v>
      </c>
      <c r="V899" s="219">
        <f t="shared" ref="V899:V903" si="484">+BR899*AF899/100</f>
        <v>17.370140480227111</v>
      </c>
      <c r="X899">
        <v>15.55</v>
      </c>
      <c r="AB899" s="220">
        <f t="shared" ref="AB899:AB903" si="485">+AF899*BT899/100</f>
        <v>6.6798427845388417</v>
      </c>
      <c r="AD899" s="221">
        <f t="shared" ref="AD899:AD903" si="486">+(AF899/AJ899)*10000</f>
        <v>90669.174300794766</v>
      </c>
      <c r="AF899" s="220">
        <f t="shared" ref="AF899:AF903" si="487">($P899/$X899)*(((100-$CD899)/100*(100-2)/100))*100</f>
        <v>36.267669720317905</v>
      </c>
      <c r="AH899" s="220">
        <f t="shared" ref="AH899:AH903" si="488">($P899/$X899)*(((100-$CD899)/(100-9)*(100-2)/(100-2))*100)</f>
        <v>40.667940928815767</v>
      </c>
      <c r="AJ899">
        <v>4</v>
      </c>
      <c r="AK899" s="285" t="s">
        <v>8398</v>
      </c>
      <c r="AL899" s="260">
        <v>165</v>
      </c>
      <c r="AN899" s="235">
        <v>72</v>
      </c>
      <c r="AO899" s="242">
        <v>42076</v>
      </c>
      <c r="AP899" s="235">
        <v>106</v>
      </c>
      <c r="AQ899" s="242">
        <v>42110</v>
      </c>
      <c r="AR899" s="136">
        <v>133</v>
      </c>
      <c r="AS899" s="297">
        <f t="shared" si="483"/>
        <v>133</v>
      </c>
      <c r="AT899" s="290">
        <v>42137</v>
      </c>
      <c r="AU899" s="298"/>
      <c r="BF899" s="282">
        <v>-4.5356249809265137</v>
      </c>
      <c r="BG899" s="283">
        <v>42235</v>
      </c>
      <c r="BL899" s="296">
        <v>59.917037963867188</v>
      </c>
      <c r="BM899" s="283">
        <v>42235</v>
      </c>
      <c r="BP899" s="282">
        <v>3.644460916519165</v>
      </c>
      <c r="BQ899" s="283">
        <v>42235</v>
      </c>
      <c r="BR899" s="282">
        <v>47.894283294677734</v>
      </c>
      <c r="BS899" s="283">
        <v>42235</v>
      </c>
      <c r="BT899" s="282">
        <v>18.418174743652344</v>
      </c>
      <c r="BU899" s="283">
        <v>42235</v>
      </c>
      <c r="BV899" s="282">
        <v>12.976325988769531</v>
      </c>
      <c r="BW899" s="283">
        <v>42235</v>
      </c>
      <c r="BX899" s="282">
        <v>5.613677978515625</v>
      </c>
      <c r="BY899" s="283">
        <v>42235</v>
      </c>
      <c r="CB899" s="267">
        <v>5.29</v>
      </c>
      <c r="CD899" s="282">
        <v>5.660377358490563</v>
      </c>
      <c r="CE899" s="291" t="s">
        <v>8398</v>
      </c>
      <c r="CH899" s="136">
        <v>2</v>
      </c>
      <c r="CI899" s="136">
        <v>5</v>
      </c>
      <c r="CL899" s="136">
        <v>4</v>
      </c>
      <c r="CM899" s="259">
        <v>42161</v>
      </c>
      <c r="CN899" s="137" t="s">
        <v>8406</v>
      </c>
    </row>
    <row r="900" spans="1:93">
      <c r="A900" s="258">
        <v>1483</v>
      </c>
      <c r="B900" s="235">
        <v>607</v>
      </c>
      <c r="C900" s="235" t="s">
        <v>7726</v>
      </c>
      <c r="D900" s="235" t="s">
        <v>7549</v>
      </c>
      <c r="E900" s="235" t="s">
        <v>7726</v>
      </c>
      <c r="F900" s="235" t="s">
        <v>8553</v>
      </c>
      <c r="G900" s="235" t="str">
        <f t="shared" si="477"/>
        <v>Rapsodyn</v>
      </c>
      <c r="H900" s="235" t="s">
        <v>267</v>
      </c>
      <c r="I900" s="235">
        <v>2</v>
      </c>
      <c r="J900" s="235">
        <v>9108</v>
      </c>
      <c r="K900" s="235">
        <v>23</v>
      </c>
      <c r="L900" s="235">
        <f t="shared" si="476"/>
        <v>95</v>
      </c>
      <c r="M900" s="235">
        <v>9</v>
      </c>
      <c r="N900" s="235">
        <v>5</v>
      </c>
      <c r="O900" s="248">
        <v>42048</v>
      </c>
      <c r="P900" s="136">
        <v>5.57</v>
      </c>
      <c r="Q900" s="264">
        <v>42204</v>
      </c>
      <c r="V900" s="219">
        <f t="shared" si="484"/>
        <v>16.110677307355925</v>
      </c>
      <c r="X900">
        <v>15.55</v>
      </c>
      <c r="AB900" s="220">
        <f t="shared" si="485"/>
        <v>6.541600222418408</v>
      </c>
      <c r="AD900" s="221">
        <f t="shared" si="486"/>
        <v>60264.523324969799</v>
      </c>
      <c r="AF900" s="220">
        <f t="shared" si="487"/>
        <v>32.723636165458601</v>
      </c>
      <c r="AH900" s="220">
        <f t="shared" si="488"/>
        <v>36.693918104349187</v>
      </c>
      <c r="AJ900" s="288">
        <v>5.43</v>
      </c>
      <c r="AK900" s="285" t="s">
        <v>8402</v>
      </c>
      <c r="AL900" s="260">
        <v>165</v>
      </c>
      <c r="AN900" s="235">
        <v>70</v>
      </c>
      <c r="AO900" s="242">
        <v>42074</v>
      </c>
      <c r="AP900" s="235">
        <v>104</v>
      </c>
      <c r="AQ900" s="242">
        <v>42108</v>
      </c>
      <c r="AR900" s="136">
        <v>127</v>
      </c>
      <c r="AS900" s="297">
        <f t="shared" si="483"/>
        <v>127</v>
      </c>
      <c r="AT900" s="290">
        <v>42131</v>
      </c>
      <c r="AU900" s="298"/>
      <c r="BF900" s="282">
        <v>-4.4203319549560547</v>
      </c>
      <c r="BG900" s="283">
        <v>42234</v>
      </c>
      <c r="BL900" s="296">
        <v>64.208084106445313</v>
      </c>
      <c r="BM900" s="283">
        <v>42234</v>
      </c>
      <c r="BP900" s="282">
        <v>2.7350649833679199</v>
      </c>
      <c r="BQ900" s="283">
        <v>42234</v>
      </c>
      <c r="BR900" s="282">
        <v>49.232540130615234</v>
      </c>
      <c r="BS900" s="283">
        <v>42234</v>
      </c>
      <c r="BT900" s="282">
        <v>19.990444183349609</v>
      </c>
      <c r="BU900" s="283">
        <v>42234</v>
      </c>
      <c r="BV900" s="282">
        <v>18.712057113647461</v>
      </c>
      <c r="BW900" s="283">
        <v>42234</v>
      </c>
      <c r="BX900" s="282">
        <v>5.5887298583984375</v>
      </c>
      <c r="BY900" s="283">
        <v>42234</v>
      </c>
      <c r="CB900" s="267">
        <v>6.09</v>
      </c>
      <c r="CD900" s="282">
        <v>6.7796610169491585</v>
      </c>
      <c r="CE900" s="291" t="s">
        <v>8402</v>
      </c>
      <c r="CH900" s="136">
        <v>2</v>
      </c>
      <c r="CI900" s="136">
        <v>2</v>
      </c>
      <c r="CL900" s="136">
        <v>3</v>
      </c>
      <c r="CM900" s="259">
        <v>42161</v>
      </c>
      <c r="CN900" s="137" t="s">
        <v>8406</v>
      </c>
    </row>
    <row r="901" spans="1:93">
      <c r="A901" s="258">
        <v>1484</v>
      </c>
      <c r="B901" s="235">
        <v>608</v>
      </c>
      <c r="C901" s="235" t="s">
        <v>7751</v>
      </c>
      <c r="D901" s="235" t="s">
        <v>7559</v>
      </c>
      <c r="E901" s="235" t="s">
        <v>7751</v>
      </c>
      <c r="F901" s="235" t="s">
        <v>8552</v>
      </c>
      <c r="G901" s="235" t="str">
        <f t="shared" si="477"/>
        <v>Rapsodyn</v>
      </c>
      <c r="H901" s="235" t="s">
        <v>267</v>
      </c>
      <c r="I901" s="235">
        <v>2</v>
      </c>
      <c r="J901" s="235">
        <v>9123</v>
      </c>
      <c r="K901" s="235">
        <v>24</v>
      </c>
      <c r="L901" s="235">
        <f t="shared" si="476"/>
        <v>96</v>
      </c>
      <c r="M901" s="235">
        <v>9</v>
      </c>
      <c r="N901" s="235">
        <v>7</v>
      </c>
      <c r="O901" s="248">
        <v>42048</v>
      </c>
      <c r="P901" s="136">
        <v>4.09</v>
      </c>
      <c r="Q901" s="264">
        <v>42204</v>
      </c>
      <c r="V901" s="219">
        <f t="shared" si="484"/>
        <v>11.729958187994042</v>
      </c>
      <c r="X901">
        <v>15.55</v>
      </c>
      <c r="AB901" s="220">
        <f t="shared" si="485"/>
        <v>4.9971294540321729</v>
      </c>
      <c r="AD901" s="221">
        <f t="shared" si="486"/>
        <v>67730.270463389432</v>
      </c>
      <c r="AF901" s="220">
        <f t="shared" si="487"/>
        <v>24.382897366820195</v>
      </c>
      <c r="AH901" s="220">
        <f t="shared" si="488"/>
        <v>27.341217051827982</v>
      </c>
      <c r="AJ901">
        <v>3.6</v>
      </c>
      <c r="AK901" s="285" t="s">
        <v>8398</v>
      </c>
      <c r="AL901" s="260">
        <v>165</v>
      </c>
      <c r="AN901" s="235">
        <v>75</v>
      </c>
      <c r="AO901" s="242">
        <v>42079</v>
      </c>
      <c r="AP901" s="235">
        <v>110</v>
      </c>
      <c r="AQ901" s="242">
        <v>42114</v>
      </c>
      <c r="AR901" s="136">
        <v>135</v>
      </c>
      <c r="AS901" s="297">
        <f t="shared" si="483"/>
        <v>135</v>
      </c>
      <c r="AT901" s="290">
        <v>42139</v>
      </c>
      <c r="AU901" s="298"/>
      <c r="BF901" s="282">
        <v>34.907455444335938</v>
      </c>
      <c r="BG901" s="283">
        <v>42234</v>
      </c>
      <c r="BL901" s="296">
        <v>61.577239990234375</v>
      </c>
      <c r="BM901" s="283">
        <v>42234</v>
      </c>
      <c r="BP901" s="282">
        <v>3.2414729595184326</v>
      </c>
      <c r="BQ901" s="283">
        <v>42234</v>
      </c>
      <c r="BR901" s="282">
        <v>48.107318878173828</v>
      </c>
      <c r="BS901" s="283">
        <v>42234</v>
      </c>
      <c r="BT901" s="282">
        <v>20.494403839111328</v>
      </c>
      <c r="BU901" s="283">
        <v>42234</v>
      </c>
      <c r="BV901" s="282">
        <v>44.717525482177734</v>
      </c>
      <c r="BW901" s="283">
        <v>42234</v>
      </c>
      <c r="BX901" s="282">
        <v>5.6035385131835938</v>
      </c>
      <c r="BY901" s="283">
        <v>42234</v>
      </c>
      <c r="CB901" s="267">
        <v>6.34</v>
      </c>
      <c r="CD901" s="282">
        <v>5.4054054054054097</v>
      </c>
      <c r="CE901" s="291" t="s">
        <v>8398</v>
      </c>
      <c r="CH901" s="136">
        <v>2</v>
      </c>
      <c r="CI901" s="136">
        <v>2</v>
      </c>
      <c r="CL901" s="136">
        <v>5</v>
      </c>
      <c r="CM901" s="259">
        <v>42161</v>
      </c>
      <c r="CN901" s="137" t="s">
        <v>8406</v>
      </c>
    </row>
    <row r="902" spans="1:93">
      <c r="A902" s="258">
        <v>1485</v>
      </c>
      <c r="B902" s="235">
        <v>609</v>
      </c>
      <c r="C902" s="235" t="s">
        <v>7780</v>
      </c>
      <c r="D902" s="235" t="s">
        <v>7578</v>
      </c>
      <c r="E902" s="235" t="s">
        <v>7780</v>
      </c>
      <c r="F902" s="235" t="s">
        <v>8551</v>
      </c>
      <c r="G902" s="235" t="str">
        <f t="shared" si="477"/>
        <v>Rapsodyn</v>
      </c>
      <c r="H902" s="235" t="s">
        <v>267</v>
      </c>
      <c r="I902" s="235">
        <v>2</v>
      </c>
      <c r="J902" s="235">
        <v>9151</v>
      </c>
      <c r="K902" s="235">
        <v>25</v>
      </c>
      <c r="L902" s="235">
        <f t="shared" si="476"/>
        <v>97</v>
      </c>
      <c r="M902" s="235">
        <v>9</v>
      </c>
      <c r="N902" s="235">
        <v>7</v>
      </c>
      <c r="O902" s="248">
        <v>42048</v>
      </c>
      <c r="P902" s="136">
        <v>5.63</v>
      </c>
      <c r="Q902" s="264">
        <v>42204</v>
      </c>
      <c r="V902" s="219">
        <f t="shared" si="484"/>
        <v>16.057216647284978</v>
      </c>
      <c r="X902">
        <v>15.55</v>
      </c>
      <c r="AB902" s="220">
        <f t="shared" si="485"/>
        <v>6.348392425895522</v>
      </c>
      <c r="AD902" s="221">
        <f t="shared" si="486"/>
        <v>70524.807972779818</v>
      </c>
      <c r="AF902" s="220">
        <f t="shared" si="487"/>
        <v>33.076134939233739</v>
      </c>
      <c r="AH902" s="220">
        <f t="shared" si="488"/>
        <v>37.089184726658154</v>
      </c>
      <c r="AJ902">
        <v>4.6900000000000004</v>
      </c>
      <c r="AK902" s="285" t="s">
        <v>8399</v>
      </c>
      <c r="AL902" s="260">
        <v>160</v>
      </c>
      <c r="AN902" s="235">
        <v>72</v>
      </c>
      <c r="AO902" s="242">
        <v>42076</v>
      </c>
      <c r="AP902" s="235">
        <v>104</v>
      </c>
      <c r="AQ902" s="242">
        <v>42108</v>
      </c>
      <c r="AR902" s="136">
        <v>127</v>
      </c>
      <c r="AS902" s="297">
        <f t="shared" si="483"/>
        <v>127</v>
      </c>
      <c r="AT902" s="290">
        <v>42131</v>
      </c>
      <c r="AU902" s="298"/>
      <c r="BF902" s="282">
        <v>-0.31657999753952026</v>
      </c>
      <c r="BG902" s="283">
        <v>42235</v>
      </c>
      <c r="BL902" s="296">
        <v>65.642738342285156</v>
      </c>
      <c r="BM902" s="283">
        <v>42235</v>
      </c>
      <c r="BP902" s="282">
        <v>3.4286880493164063</v>
      </c>
      <c r="BQ902" s="283">
        <v>42235</v>
      </c>
      <c r="BR902" s="282">
        <v>48.546230316162109</v>
      </c>
      <c r="BS902" s="283">
        <v>42235</v>
      </c>
      <c r="BT902" s="282">
        <v>19.193271636962891</v>
      </c>
      <c r="BU902" s="283">
        <v>42235</v>
      </c>
      <c r="BV902" s="282">
        <v>12.963855743408203</v>
      </c>
      <c r="BW902" s="283">
        <v>42235</v>
      </c>
      <c r="BX902" s="282">
        <v>5.3526458740234375</v>
      </c>
      <c r="BY902" s="283">
        <v>42235</v>
      </c>
      <c r="CB902" s="267">
        <v>4.8499999999999996</v>
      </c>
      <c r="CD902" s="282">
        <v>6.7796610169491585</v>
      </c>
      <c r="CE902" s="291" t="s">
        <v>8399</v>
      </c>
      <c r="CH902" s="136">
        <v>2</v>
      </c>
      <c r="CI902" s="136">
        <v>2</v>
      </c>
      <c r="CL902" s="136">
        <v>1</v>
      </c>
      <c r="CM902" s="259">
        <v>42161</v>
      </c>
      <c r="CN902" s="137" t="s">
        <v>8406</v>
      </c>
    </row>
    <row r="903" spans="1:93">
      <c r="A903" s="258">
        <v>1486</v>
      </c>
      <c r="B903" s="235">
        <v>610</v>
      </c>
      <c r="C903" s="235" t="s">
        <v>7791</v>
      </c>
      <c r="D903" s="235" t="s">
        <v>7589</v>
      </c>
      <c r="E903" s="235" t="s">
        <v>7791</v>
      </c>
      <c r="F903" s="235" t="s">
        <v>8550</v>
      </c>
      <c r="G903" s="235" t="str">
        <f t="shared" si="477"/>
        <v>Rapsodyn</v>
      </c>
      <c r="H903" s="235" t="s">
        <v>267</v>
      </c>
      <c r="I903" s="235">
        <v>2</v>
      </c>
      <c r="J903" s="235">
        <v>9162</v>
      </c>
      <c r="K903" s="235">
        <v>26</v>
      </c>
      <c r="L903" s="235">
        <f t="shared" si="476"/>
        <v>98</v>
      </c>
      <c r="M903" s="235">
        <v>9</v>
      </c>
      <c r="N903" s="235">
        <v>7</v>
      </c>
      <c r="O903" s="248">
        <v>42048</v>
      </c>
      <c r="P903" s="136">
        <v>7.21</v>
      </c>
      <c r="Q903" s="264">
        <v>42204</v>
      </c>
      <c r="V903" s="219">
        <f t="shared" si="484"/>
        <v>21.940508736000186</v>
      </c>
      <c r="X903">
        <v>15.55</v>
      </c>
      <c r="AB903" s="220">
        <f t="shared" si="485"/>
        <v>7.5285349508083153</v>
      </c>
      <c r="AD903" s="221">
        <f t="shared" si="486"/>
        <v>94431.893779798222</v>
      </c>
      <c r="AF903" s="220">
        <f t="shared" si="487"/>
        <v>43.816398713826374</v>
      </c>
      <c r="AH903" s="220">
        <f t="shared" si="488"/>
        <v>49.132539486237242</v>
      </c>
      <c r="AJ903">
        <v>4.6399999999999997</v>
      </c>
      <c r="AK903" s="285" t="s">
        <v>8403</v>
      </c>
      <c r="AL903" s="260">
        <v>170</v>
      </c>
      <c r="AN903" s="235">
        <v>70</v>
      </c>
      <c r="AO903" s="242">
        <v>42074</v>
      </c>
      <c r="AP903" s="235">
        <v>104</v>
      </c>
      <c r="AQ903" s="242">
        <v>42108</v>
      </c>
      <c r="AR903" s="136">
        <v>127</v>
      </c>
      <c r="AS903" s="297">
        <f t="shared" si="483"/>
        <v>127</v>
      </c>
      <c r="AT903" s="290">
        <v>42131</v>
      </c>
      <c r="AU903" s="298"/>
      <c r="BF903" s="282">
        <v>-1.8241939544677734</v>
      </c>
      <c r="BG903" s="283">
        <v>42235</v>
      </c>
      <c r="BL903" s="296">
        <v>66.87164306640625</v>
      </c>
      <c r="BM903" s="283">
        <v>42235</v>
      </c>
      <c r="BP903" s="282">
        <v>3.8106141090393066</v>
      </c>
      <c r="BQ903" s="283">
        <v>42235</v>
      </c>
      <c r="BR903" s="282">
        <v>50.073738098144531</v>
      </c>
      <c r="BS903" s="283">
        <v>42235</v>
      </c>
      <c r="BT903" s="282">
        <v>17.182003021240234</v>
      </c>
      <c r="BU903" s="283">
        <v>42235</v>
      </c>
      <c r="BV903" s="282">
        <v>14.827005386352539</v>
      </c>
      <c r="BW903" s="283">
        <v>42235</v>
      </c>
      <c r="BX903" s="282">
        <v>5.5740127563476562</v>
      </c>
      <c r="BY903" s="283">
        <v>42235</v>
      </c>
      <c r="CB903" s="267">
        <v>5.0199999999999996</v>
      </c>
      <c r="CD903" s="282">
        <v>3.5714285714285587</v>
      </c>
      <c r="CE903" s="291" t="s">
        <v>8403</v>
      </c>
      <c r="CH903" s="136">
        <v>2</v>
      </c>
      <c r="CI903" s="136">
        <v>2</v>
      </c>
      <c r="CL903" s="136">
        <v>2</v>
      </c>
      <c r="CM903" s="259">
        <v>42161</v>
      </c>
      <c r="CN903" s="137" t="s">
        <v>8406</v>
      </c>
    </row>
    <row r="904" spans="1:93">
      <c r="A904" s="258">
        <v>1489</v>
      </c>
      <c r="B904" s="235">
        <v>613</v>
      </c>
      <c r="C904" s="235" t="s">
        <v>7576</v>
      </c>
      <c r="D904" s="235"/>
      <c r="E904" s="235"/>
      <c r="F904" s="235"/>
      <c r="G904" s="235"/>
      <c r="H904" s="235" t="s">
        <v>267</v>
      </c>
      <c r="I904" s="235">
        <v>2</v>
      </c>
      <c r="K904" s="235">
        <v>29</v>
      </c>
      <c r="L904" s="235">
        <f t="shared" si="476"/>
        <v>101</v>
      </c>
      <c r="M904" s="235">
        <v>9</v>
      </c>
      <c r="O904" s="248">
        <v>42048</v>
      </c>
      <c r="V904" s="219"/>
      <c r="X904">
        <v>15.55</v>
      </c>
      <c r="AB904" s="220"/>
      <c r="AD904" s="221"/>
      <c r="AF904" s="220"/>
      <c r="AH904" s="220"/>
      <c r="AJ904" s="286"/>
      <c r="AK904" s="285"/>
      <c r="AL904" s="260"/>
      <c r="AN904" s="235">
        <v>70</v>
      </c>
      <c r="AO904" s="242">
        <v>42074</v>
      </c>
      <c r="AP904" s="235">
        <v>106</v>
      </c>
      <c r="AQ904" s="242">
        <v>42110</v>
      </c>
      <c r="AS904" s="297"/>
      <c r="AT904" s="290"/>
      <c r="AU904" s="298"/>
      <c r="BF904" s="282"/>
      <c r="BG904" s="235"/>
      <c r="BL904" s="296"/>
      <c r="BM904" s="235"/>
      <c r="BP904" s="282"/>
      <c r="BQ904" s="235"/>
      <c r="BR904" s="282"/>
      <c r="BS904" s="235"/>
      <c r="BT904" s="282"/>
      <c r="BU904" s="235"/>
      <c r="BV904" s="282"/>
      <c r="BW904" s="235"/>
      <c r="BX904" s="282"/>
      <c r="BY904" s="235"/>
      <c r="CB904" s="267"/>
      <c r="CD904" s="282"/>
      <c r="CE904" s="291"/>
      <c r="CL904" s="136">
        <v>2</v>
      </c>
      <c r="CM904" s="259">
        <v>42161</v>
      </c>
    </row>
    <row r="905" spans="1:93">
      <c r="A905" s="258">
        <v>1490</v>
      </c>
      <c r="B905" s="235">
        <v>614</v>
      </c>
      <c r="C905" s="235" t="s">
        <v>7576</v>
      </c>
      <c r="D905" s="235"/>
      <c r="E905" s="235"/>
      <c r="F905" s="235"/>
      <c r="G905" s="235"/>
      <c r="H905" s="235" t="s">
        <v>267</v>
      </c>
      <c r="I905" s="235">
        <v>2</v>
      </c>
      <c r="K905" s="235">
        <v>30</v>
      </c>
      <c r="L905" s="235">
        <f t="shared" si="476"/>
        <v>102</v>
      </c>
      <c r="M905" s="235">
        <v>9</v>
      </c>
      <c r="O905" s="248">
        <v>42048</v>
      </c>
      <c r="V905" s="219"/>
      <c r="X905">
        <v>15.55</v>
      </c>
      <c r="AB905" s="220"/>
      <c r="AD905" s="221"/>
      <c r="AF905" s="220"/>
      <c r="AH905" s="220"/>
      <c r="AJ905" s="286"/>
      <c r="AK905" s="285"/>
      <c r="AL905" s="260"/>
      <c r="AN905" s="235">
        <v>70</v>
      </c>
      <c r="AO905" s="242">
        <v>42074</v>
      </c>
      <c r="AP905" s="235">
        <v>106</v>
      </c>
      <c r="AQ905" s="242">
        <v>42110</v>
      </c>
      <c r="AS905" s="297"/>
      <c r="AT905" s="290"/>
      <c r="AU905" s="298"/>
      <c r="BF905" s="282"/>
      <c r="BG905" s="235"/>
      <c r="BL905" s="296"/>
      <c r="BM905" s="235"/>
      <c r="BP905" s="282"/>
      <c r="BQ905" s="235"/>
      <c r="BR905" s="282"/>
      <c r="BS905" s="235"/>
      <c r="BT905" s="282"/>
      <c r="BU905" s="235"/>
      <c r="BV905" s="282"/>
      <c r="BW905" s="235"/>
      <c r="BX905" s="282"/>
      <c r="BY905" s="235"/>
      <c r="CB905" s="267"/>
      <c r="CD905" s="282"/>
      <c r="CE905" s="291"/>
      <c r="CL905" s="136">
        <v>2</v>
      </c>
      <c r="CM905" s="259">
        <v>42161</v>
      </c>
    </row>
    <row r="906" spans="1:93">
      <c r="A906" s="258">
        <v>1491</v>
      </c>
      <c r="B906" s="235">
        <v>615</v>
      </c>
      <c r="C906" s="235" t="s">
        <v>7637</v>
      </c>
      <c r="D906" s="235" t="s">
        <v>7470</v>
      </c>
      <c r="E906" s="235" t="s">
        <v>7637</v>
      </c>
      <c r="F906" s="235" t="s">
        <v>8549</v>
      </c>
      <c r="G906" s="235" t="str">
        <f t="shared" ref="G906:G917" si="489">IF(MID(C906,1,3)="BGA","Complement","Rapsodyn")</f>
        <v>Rapsodyn</v>
      </c>
      <c r="H906" s="235" t="s">
        <v>267</v>
      </c>
      <c r="I906" s="235">
        <v>2</v>
      </c>
      <c r="J906" s="235">
        <v>9025</v>
      </c>
      <c r="K906" s="235">
        <v>31</v>
      </c>
      <c r="L906" s="235">
        <f t="shared" si="476"/>
        <v>103</v>
      </c>
      <c r="M906" s="235">
        <v>9</v>
      </c>
      <c r="N906" s="235">
        <v>7</v>
      </c>
      <c r="O906" s="248">
        <v>42048</v>
      </c>
      <c r="P906" s="136">
        <v>5.15</v>
      </c>
      <c r="Q906" s="264">
        <v>42204</v>
      </c>
      <c r="V906" s="219">
        <f t="shared" ref="V906:V917" si="490">+BR906*AF906/100</f>
        <v>14.139512905537895</v>
      </c>
      <c r="X906">
        <v>15.55</v>
      </c>
      <c r="AB906" s="220">
        <f t="shared" ref="AB906:AB917" si="491">+AF906*BT906/100</f>
        <v>6.7396652015919107</v>
      </c>
      <c r="AD906" s="221">
        <f t="shared" ref="AD906:AD917" si="492">+(AF906/AJ906)*10000</f>
        <v>66308.109433756632</v>
      </c>
      <c r="AF906" s="220">
        <f t="shared" ref="AF906:AF917" si="493">($P906/$X906)*(((100-$CD906)/100*(100-2)/100))*100</f>
        <v>31.297427652733127</v>
      </c>
      <c r="AH906" s="220">
        <f t="shared" ref="AH906:AH917" si="494">($P906/$X906)*(((100-$CD906)/(100-9)*(100-2)/(100-2))*100)</f>
        <v>35.094671061598035</v>
      </c>
      <c r="AJ906">
        <v>4.72</v>
      </c>
      <c r="AK906" s="285" t="s">
        <v>8401</v>
      </c>
      <c r="AL906" s="260">
        <v>150</v>
      </c>
      <c r="AN906" s="235">
        <v>79</v>
      </c>
      <c r="AO906" s="242">
        <v>42083</v>
      </c>
      <c r="AP906" s="235">
        <v>110</v>
      </c>
      <c r="AQ906" s="242">
        <v>42114</v>
      </c>
      <c r="AR906" s="136">
        <v>133</v>
      </c>
      <c r="AS906" s="297">
        <f t="shared" ref="AS906:AS917" si="495">IF(AR906=0,,AR906)</f>
        <v>133</v>
      </c>
      <c r="AT906" s="290">
        <v>42137</v>
      </c>
      <c r="AU906" s="298"/>
      <c r="BF906" s="282">
        <v>-7.1335558891296387</v>
      </c>
      <c r="BG906" s="283">
        <v>42234</v>
      </c>
      <c r="BL906" s="296">
        <v>59.022457122802734</v>
      </c>
      <c r="BM906" s="283">
        <v>42234</v>
      </c>
      <c r="BP906" s="282">
        <v>3.3017630577087402</v>
      </c>
      <c r="BQ906" s="283">
        <v>42234</v>
      </c>
      <c r="BR906" s="282">
        <v>45.177875518798828</v>
      </c>
      <c r="BS906" s="283">
        <v>42234</v>
      </c>
      <c r="BT906" s="282">
        <v>21.534246444702148</v>
      </c>
      <c r="BU906" s="283">
        <v>42234</v>
      </c>
      <c r="BV906" s="282">
        <v>70.22210693359375</v>
      </c>
      <c r="BW906" s="283">
        <v>42234</v>
      </c>
      <c r="BX906" s="282">
        <v>6.171356201171875</v>
      </c>
      <c r="BY906" s="283">
        <v>42234</v>
      </c>
      <c r="CB906" s="267">
        <v>4.91</v>
      </c>
      <c r="CD906" s="282">
        <v>3.5714285714285587</v>
      </c>
      <c r="CE906" s="291" t="s">
        <v>8401</v>
      </c>
      <c r="CH906" s="136">
        <v>3</v>
      </c>
      <c r="CI906" s="136">
        <v>3</v>
      </c>
      <c r="CL906" s="136">
        <v>3</v>
      </c>
      <c r="CM906" s="259">
        <v>42161</v>
      </c>
      <c r="CN906" s="137" t="s">
        <v>8406</v>
      </c>
    </row>
    <row r="907" spans="1:93">
      <c r="A907" s="258">
        <v>1492</v>
      </c>
      <c r="B907" s="235">
        <v>616</v>
      </c>
      <c r="C907" s="235" t="s">
        <v>7670</v>
      </c>
      <c r="D907" s="235" t="s">
        <v>7499</v>
      </c>
      <c r="E907" s="235" t="s">
        <v>7670</v>
      </c>
      <c r="F907" s="235" t="s">
        <v>8548</v>
      </c>
      <c r="G907" s="235" t="str">
        <f t="shared" si="489"/>
        <v>Rapsodyn</v>
      </c>
      <c r="H907" s="235" t="s">
        <v>267</v>
      </c>
      <c r="I907" s="235">
        <v>2</v>
      </c>
      <c r="J907" s="235">
        <v>9052</v>
      </c>
      <c r="K907" s="235">
        <v>32</v>
      </c>
      <c r="L907" s="235">
        <f t="shared" si="476"/>
        <v>104</v>
      </c>
      <c r="M907" s="235">
        <v>9</v>
      </c>
      <c r="N907" s="236">
        <v>9</v>
      </c>
      <c r="O907" s="248">
        <v>42048</v>
      </c>
      <c r="P907" s="136">
        <v>6.76</v>
      </c>
      <c r="Q907" s="264">
        <v>42204</v>
      </c>
      <c r="V907" s="219">
        <f t="shared" si="490"/>
        <v>20.750057484505174</v>
      </c>
      <c r="X907">
        <v>15.55</v>
      </c>
      <c r="AB907" s="220">
        <f t="shared" si="491"/>
        <v>7.433195770561623</v>
      </c>
      <c r="AD907" s="221">
        <f t="shared" si="492"/>
        <v>90538.120166883702</v>
      </c>
      <c r="AF907" s="220">
        <f t="shared" si="493"/>
        <v>41.828611517100271</v>
      </c>
      <c r="AH907" s="220">
        <f t="shared" si="494"/>
        <v>46.903578736376161</v>
      </c>
      <c r="AJ907">
        <v>4.62</v>
      </c>
      <c r="AK907" s="285" t="s">
        <v>8401</v>
      </c>
      <c r="AL907" s="260">
        <v>150</v>
      </c>
      <c r="AN907" s="235">
        <v>70</v>
      </c>
      <c r="AO907" s="242">
        <v>42074</v>
      </c>
      <c r="AP907" s="235">
        <v>104</v>
      </c>
      <c r="AQ907" s="242">
        <v>42108</v>
      </c>
      <c r="AR907" s="136">
        <v>144</v>
      </c>
      <c r="AS907" s="297">
        <f t="shared" si="495"/>
        <v>144</v>
      </c>
      <c r="AT907" s="290">
        <v>42148</v>
      </c>
      <c r="AU907" s="298"/>
      <c r="BF907" s="282">
        <v>-3.3166940212249756</v>
      </c>
      <c r="BG907" s="283">
        <v>42234</v>
      </c>
      <c r="BL907" s="296">
        <v>61.737945556640625</v>
      </c>
      <c r="BM907" s="283">
        <v>42234</v>
      </c>
      <c r="BP907" s="282">
        <v>2.7466990947723389</v>
      </c>
      <c r="BQ907" s="283">
        <v>42234</v>
      </c>
      <c r="BR907" s="282">
        <v>49.607330322265625</v>
      </c>
      <c r="BS907" s="283">
        <v>42234</v>
      </c>
      <c r="BT907" s="282">
        <v>17.770601272583008</v>
      </c>
      <c r="BU907" s="283">
        <v>42234</v>
      </c>
      <c r="BV907" s="282">
        <v>14.670746803283691</v>
      </c>
      <c r="BW907" s="283">
        <v>42234</v>
      </c>
      <c r="BX907" s="282">
        <v>5.5981597900390625</v>
      </c>
      <c r="BY907" s="283">
        <v>42234</v>
      </c>
      <c r="CB907" s="267">
        <v>4.04</v>
      </c>
      <c r="CD907" s="282">
        <v>1.8181818181818119</v>
      </c>
      <c r="CE907" s="291" t="s">
        <v>8401</v>
      </c>
      <c r="CH907" s="136">
        <v>3</v>
      </c>
      <c r="CI907" s="136">
        <v>4</v>
      </c>
      <c r="CL907" s="136">
        <v>2</v>
      </c>
      <c r="CM907" s="259">
        <v>42161</v>
      </c>
      <c r="CN907" s="137" t="s">
        <v>8406</v>
      </c>
    </row>
    <row r="908" spans="1:93">
      <c r="A908" s="258">
        <v>1493</v>
      </c>
      <c r="B908" s="235">
        <v>617</v>
      </c>
      <c r="C908" s="235" t="s">
        <v>7797</v>
      </c>
      <c r="D908" s="235" t="s">
        <v>7595</v>
      </c>
      <c r="E908" s="235" t="s">
        <v>7797</v>
      </c>
      <c r="F908" s="235" t="s">
        <v>8547</v>
      </c>
      <c r="G908" s="235" t="str">
        <f t="shared" si="489"/>
        <v>Rapsodyn</v>
      </c>
      <c r="H908" s="235" t="s">
        <v>267</v>
      </c>
      <c r="I908" s="235">
        <v>2</v>
      </c>
      <c r="J908" s="235">
        <v>9168</v>
      </c>
      <c r="K908" s="235">
        <v>33</v>
      </c>
      <c r="L908" s="235">
        <f t="shared" si="476"/>
        <v>105</v>
      </c>
      <c r="M908" s="235">
        <v>9</v>
      </c>
      <c r="N908" s="235">
        <v>7</v>
      </c>
      <c r="O908" s="248">
        <v>42048</v>
      </c>
      <c r="P908" s="136">
        <v>5.64</v>
      </c>
      <c r="Q908" s="264">
        <v>42204</v>
      </c>
      <c r="V908" s="219">
        <f t="shared" si="490"/>
        <v>17.019546086628953</v>
      </c>
      <c r="X908">
        <v>15.55</v>
      </c>
      <c r="AB908" s="220">
        <f t="shared" si="491"/>
        <v>5.6757724996428829</v>
      </c>
      <c r="AD908" s="221">
        <f t="shared" si="492"/>
        <v>67474.674369175438</v>
      </c>
      <c r="AF908" s="220">
        <f t="shared" si="493"/>
        <v>33.737337184587716</v>
      </c>
      <c r="AH908" s="220">
        <f t="shared" si="494"/>
        <v>37.83060908789831</v>
      </c>
      <c r="AJ908">
        <v>5</v>
      </c>
      <c r="AK908" s="285" t="s">
        <v>8402</v>
      </c>
      <c r="AL908" s="260">
        <v>160</v>
      </c>
      <c r="AN908" s="235">
        <v>65</v>
      </c>
      <c r="AO908" s="242">
        <v>42069</v>
      </c>
      <c r="AP908" s="235">
        <v>104</v>
      </c>
      <c r="AQ908" s="242">
        <v>42108</v>
      </c>
      <c r="AR908" s="136">
        <v>127</v>
      </c>
      <c r="AS908" s="297">
        <f t="shared" si="495"/>
        <v>127</v>
      </c>
      <c r="AT908" s="290">
        <v>42131</v>
      </c>
      <c r="AU908" s="298"/>
      <c r="BF908" s="282">
        <v>-3.2654800415039062</v>
      </c>
      <c r="BG908" s="283">
        <v>42234</v>
      </c>
      <c r="BL908" s="296">
        <v>63.117446899414063</v>
      </c>
      <c r="BM908" s="283">
        <v>42234</v>
      </c>
      <c r="BP908" s="282">
        <v>3.4688339233398437</v>
      </c>
      <c r="BQ908" s="283">
        <v>42234</v>
      </c>
      <c r="BR908" s="282">
        <v>50.447212219238281</v>
      </c>
      <c r="BS908" s="283">
        <v>42234</v>
      </c>
      <c r="BT908" s="282">
        <v>16.823415756225586</v>
      </c>
      <c r="BU908" s="283">
        <v>42234</v>
      </c>
      <c r="BV908" s="282">
        <v>14.460501670837402</v>
      </c>
      <c r="BW908" s="283">
        <v>42234</v>
      </c>
      <c r="BX908" s="282">
        <v>5.3938217163085937</v>
      </c>
      <c r="BY908" s="283">
        <v>42234</v>
      </c>
      <c r="CB908" s="267">
        <v>3.73</v>
      </c>
      <c r="CD908" s="282">
        <v>5.0847457627118757</v>
      </c>
      <c r="CE908" s="291" t="s">
        <v>8402</v>
      </c>
      <c r="CH908" s="136">
        <v>2</v>
      </c>
      <c r="CI908" s="136">
        <v>5</v>
      </c>
      <c r="CL908" s="136">
        <v>2</v>
      </c>
      <c r="CM908" s="259">
        <v>42161</v>
      </c>
      <c r="CN908" s="137" t="s">
        <v>8406</v>
      </c>
    </row>
    <row r="909" spans="1:93">
      <c r="A909" s="258">
        <v>1496</v>
      </c>
      <c r="B909" s="235">
        <v>620</v>
      </c>
      <c r="C909" s="235" t="s">
        <v>7713</v>
      </c>
      <c r="D909" s="235" t="s">
        <v>7537</v>
      </c>
      <c r="E909" s="235" t="s">
        <v>7713</v>
      </c>
      <c r="F909" s="235" t="s">
        <v>8546</v>
      </c>
      <c r="G909" s="235" t="str">
        <f t="shared" si="489"/>
        <v>Rapsodyn</v>
      </c>
      <c r="H909" s="235" t="s">
        <v>267</v>
      </c>
      <c r="I909" s="235">
        <v>2</v>
      </c>
      <c r="J909" s="235">
        <v>9095</v>
      </c>
      <c r="K909" s="235">
        <v>36</v>
      </c>
      <c r="L909" s="235">
        <f t="shared" si="476"/>
        <v>108</v>
      </c>
      <c r="M909" s="235">
        <v>9</v>
      </c>
      <c r="N909" s="235">
        <v>7</v>
      </c>
      <c r="O909" s="248">
        <v>42048</v>
      </c>
      <c r="P909" s="136">
        <v>4.84</v>
      </c>
      <c r="Q909" s="264">
        <v>42204</v>
      </c>
      <c r="V909" s="219">
        <f t="shared" si="490"/>
        <v>14.522219704089693</v>
      </c>
      <c r="X909">
        <v>15.55</v>
      </c>
      <c r="AB909" s="220">
        <f t="shared" si="491"/>
        <v>5.7054473854067851</v>
      </c>
      <c r="AD909" s="221">
        <f t="shared" si="492"/>
        <v>66194.030218848493</v>
      </c>
      <c r="AF909" s="220">
        <f t="shared" si="493"/>
        <v>29.985895689138371</v>
      </c>
      <c r="AH909" s="220">
        <f t="shared" si="494"/>
        <v>33.624014004416196</v>
      </c>
      <c r="AJ909">
        <v>4.53</v>
      </c>
      <c r="AK909" s="285" t="s">
        <v>8400</v>
      </c>
      <c r="AL909" s="260">
        <v>155</v>
      </c>
      <c r="AN909" s="235">
        <v>70</v>
      </c>
      <c r="AO909" s="242">
        <v>42074</v>
      </c>
      <c r="AP909" s="235">
        <v>104</v>
      </c>
      <c r="AQ909" s="242">
        <v>42108</v>
      </c>
      <c r="AR909" s="136">
        <v>127</v>
      </c>
      <c r="AS909" s="297">
        <f t="shared" si="495"/>
        <v>127</v>
      </c>
      <c r="AT909" s="290">
        <v>42131</v>
      </c>
      <c r="AU909" s="298"/>
      <c r="BF909" s="282">
        <v>-1.6809619665145874</v>
      </c>
      <c r="BG909" s="283">
        <v>42235</v>
      </c>
      <c r="BL909" s="296">
        <v>64.392059326171875</v>
      </c>
      <c r="BM909" s="283">
        <v>42235</v>
      </c>
      <c r="BP909" s="282">
        <v>2.6460950374603271</v>
      </c>
      <c r="BQ909" s="283">
        <v>42235</v>
      </c>
      <c r="BR909" s="282">
        <v>48.430168151855469</v>
      </c>
      <c r="BS909" s="283">
        <v>42235</v>
      </c>
      <c r="BT909" s="282">
        <v>19.027103424072266</v>
      </c>
      <c r="BU909" s="283">
        <v>42235</v>
      </c>
      <c r="BV909" s="282">
        <v>19.983306884765625</v>
      </c>
      <c r="BW909" s="283">
        <v>42235</v>
      </c>
      <c r="BX909" s="282">
        <v>5.2501907348632812</v>
      </c>
      <c r="BY909" s="283">
        <v>42235</v>
      </c>
      <c r="CB909" s="267">
        <v>3.44</v>
      </c>
      <c r="CD909" s="282">
        <v>1.6949152542372972</v>
      </c>
      <c r="CE909" s="291" t="s">
        <v>8400</v>
      </c>
      <c r="CH909" s="136">
        <v>3</v>
      </c>
      <c r="CI909" s="136">
        <v>5</v>
      </c>
      <c r="CL909" s="136">
        <v>5</v>
      </c>
      <c r="CM909" s="259">
        <v>42161</v>
      </c>
      <c r="CN909" s="137" t="s">
        <v>8406</v>
      </c>
    </row>
    <row r="910" spans="1:93">
      <c r="A910" s="258">
        <v>1497</v>
      </c>
      <c r="B910" s="235">
        <v>621</v>
      </c>
      <c r="C910" s="235" t="s">
        <v>7737</v>
      </c>
      <c r="D910" s="235" t="s">
        <v>7883</v>
      </c>
      <c r="E910" s="235" t="s">
        <v>7737</v>
      </c>
      <c r="F910" s="235" t="s">
        <v>8545</v>
      </c>
      <c r="G910" s="235" t="str">
        <f t="shared" si="489"/>
        <v>Rapsodyn</v>
      </c>
      <c r="H910" s="235" t="s">
        <v>267</v>
      </c>
      <c r="I910" s="235">
        <v>2</v>
      </c>
      <c r="J910" s="235">
        <v>9117</v>
      </c>
      <c r="K910" s="235">
        <v>37</v>
      </c>
      <c r="L910" s="235">
        <f t="shared" si="476"/>
        <v>109</v>
      </c>
      <c r="M910" s="235">
        <v>9</v>
      </c>
      <c r="N910" s="235">
        <v>7</v>
      </c>
      <c r="O910" s="248">
        <v>42048</v>
      </c>
      <c r="P910" s="136">
        <v>2.8</v>
      </c>
      <c r="Q910" s="264">
        <v>42204</v>
      </c>
      <c r="V910" s="219">
        <f t="shared" si="490"/>
        <v>8.0542385024762169</v>
      </c>
      <c r="X910">
        <v>15.55</v>
      </c>
      <c r="AB910" s="220">
        <f t="shared" si="491"/>
        <v>3.5962078671826005</v>
      </c>
      <c r="AD910" s="221">
        <f t="shared" si="492"/>
        <v>38645.640829585573</v>
      </c>
      <c r="AF910" s="220">
        <f t="shared" si="493"/>
        <v>16.733562479210555</v>
      </c>
      <c r="AH910" s="220">
        <f t="shared" si="494"/>
        <v>18.763806323402733</v>
      </c>
      <c r="AJ910">
        <v>4.33</v>
      </c>
      <c r="AK910" s="285" t="s">
        <v>8400</v>
      </c>
      <c r="AL910" s="260">
        <v>175</v>
      </c>
      <c r="AN910" s="235">
        <v>75</v>
      </c>
      <c r="AO910" s="242">
        <v>42079</v>
      </c>
      <c r="AP910" s="235">
        <v>113</v>
      </c>
      <c r="AQ910" s="242">
        <v>42117</v>
      </c>
      <c r="AR910" s="136">
        <v>145</v>
      </c>
      <c r="AS910" s="297">
        <f t="shared" si="495"/>
        <v>145</v>
      </c>
      <c r="AT910" s="290">
        <v>42149</v>
      </c>
      <c r="AU910" s="298"/>
      <c r="BF910" s="282">
        <v>29.803192138671875</v>
      </c>
      <c r="BG910" s="283">
        <v>42235</v>
      </c>
      <c r="BL910" s="296">
        <v>61.4185791015625</v>
      </c>
      <c r="BM910" s="283">
        <v>42235</v>
      </c>
      <c r="BP910" s="282">
        <v>3.6789710521697998</v>
      </c>
      <c r="BQ910" s="283">
        <v>42235</v>
      </c>
      <c r="BR910" s="282">
        <v>48.132240295410156</v>
      </c>
      <c r="BS910" s="283">
        <v>42235</v>
      </c>
      <c r="BT910" s="282">
        <v>21.490987777709961</v>
      </c>
      <c r="BU910" s="283">
        <v>42235</v>
      </c>
      <c r="BV910" s="282">
        <v>53.958946228027344</v>
      </c>
      <c r="BW910" s="283">
        <v>42235</v>
      </c>
      <c r="BX910" s="282">
        <v>5.4325332641601562</v>
      </c>
      <c r="BY910" s="283">
        <v>42235</v>
      </c>
      <c r="CB910" s="267">
        <v>4.66</v>
      </c>
      <c r="CD910" s="282">
        <v>5.1724137931034457</v>
      </c>
      <c r="CE910" s="291" t="s">
        <v>8400</v>
      </c>
      <c r="CH910" s="136">
        <v>4</v>
      </c>
      <c r="CI910" s="136">
        <v>8</v>
      </c>
      <c r="CL910" s="136">
        <v>5</v>
      </c>
      <c r="CM910" s="259">
        <v>42161</v>
      </c>
      <c r="CO910" s="137" t="s">
        <v>8405</v>
      </c>
    </row>
    <row r="911" spans="1:93">
      <c r="A911" s="258">
        <v>1498</v>
      </c>
      <c r="B911" s="235">
        <v>622</v>
      </c>
      <c r="C911" s="235" t="s">
        <v>7671</v>
      </c>
      <c r="D911" s="235" t="s">
        <v>7500</v>
      </c>
      <c r="E911" s="235" t="s">
        <v>7671</v>
      </c>
      <c r="F911" s="235" t="s">
        <v>8544</v>
      </c>
      <c r="G911" s="235" t="str">
        <f t="shared" si="489"/>
        <v>Rapsodyn</v>
      </c>
      <c r="H911" s="235" t="s">
        <v>267</v>
      </c>
      <c r="I911" s="235">
        <v>2</v>
      </c>
      <c r="J911" s="235">
        <v>9053</v>
      </c>
      <c r="K911" s="235">
        <v>38</v>
      </c>
      <c r="L911" s="235">
        <f t="shared" si="476"/>
        <v>110</v>
      </c>
      <c r="M911" s="235">
        <v>9</v>
      </c>
      <c r="N911" s="235">
        <v>7</v>
      </c>
      <c r="O911" s="248">
        <v>42048</v>
      </c>
      <c r="P911" s="136">
        <v>6.95</v>
      </c>
      <c r="Q911" s="264">
        <v>42204</v>
      </c>
      <c r="V911" s="219">
        <f t="shared" si="490"/>
        <v>20.389607488810054</v>
      </c>
      <c r="X911">
        <v>15.55</v>
      </c>
      <c r="AB911" s="220">
        <f t="shared" si="491"/>
        <v>7.3390181889947952</v>
      </c>
      <c r="AD911" s="221">
        <f t="shared" si="492"/>
        <v>93787.73770205582</v>
      </c>
      <c r="AF911" s="220">
        <f t="shared" si="493"/>
        <v>41.454180064308673</v>
      </c>
      <c r="AH911" s="220">
        <f t="shared" si="494"/>
        <v>46.483718394604928</v>
      </c>
      <c r="AJ911">
        <v>4.42</v>
      </c>
      <c r="AK911" s="285" t="s">
        <v>8400</v>
      </c>
      <c r="AL911" s="260">
        <v>150</v>
      </c>
      <c r="AN911" s="235">
        <v>72</v>
      </c>
      <c r="AO911" s="242">
        <v>42076</v>
      </c>
      <c r="AP911" s="235">
        <v>106</v>
      </c>
      <c r="AQ911" s="242">
        <v>42110</v>
      </c>
      <c r="AR911" s="136">
        <v>148</v>
      </c>
      <c r="AS911" s="297">
        <f t="shared" si="495"/>
        <v>148</v>
      </c>
      <c r="AT911" s="290">
        <v>42152</v>
      </c>
      <c r="AU911" s="298"/>
      <c r="BF911" s="282">
        <v>-0.10285200178623199</v>
      </c>
      <c r="BG911" s="283">
        <v>42235</v>
      </c>
      <c r="BL911" s="296">
        <v>62.12530517578125</v>
      </c>
      <c r="BM911" s="283">
        <v>42235</v>
      </c>
      <c r="BP911" s="282">
        <v>2.6744930744171143</v>
      </c>
      <c r="BQ911" s="283">
        <v>42235</v>
      </c>
      <c r="BR911" s="282">
        <v>49.185890197753906</v>
      </c>
      <c r="BS911" s="283">
        <v>42235</v>
      </c>
      <c r="BT911" s="282">
        <v>17.703927993774414</v>
      </c>
      <c r="BU911" s="283">
        <v>42235</v>
      </c>
      <c r="BV911" s="282">
        <v>13.572172164916992</v>
      </c>
      <c r="BW911" s="283">
        <v>42235</v>
      </c>
      <c r="BX911" s="282">
        <v>5.435699462890625</v>
      </c>
      <c r="BY911" s="283">
        <v>42235</v>
      </c>
      <c r="CB911" s="267">
        <v>3.44</v>
      </c>
      <c r="CD911" s="282">
        <v>5.3571428571428541</v>
      </c>
      <c r="CE911" s="291" t="s">
        <v>8400</v>
      </c>
      <c r="CH911" s="136">
        <v>3</v>
      </c>
      <c r="CI911" s="136">
        <v>4</v>
      </c>
      <c r="CL911" s="136">
        <v>2</v>
      </c>
      <c r="CM911" s="259">
        <v>42161</v>
      </c>
      <c r="CN911" s="137" t="s">
        <v>8406</v>
      </c>
    </row>
    <row r="912" spans="1:93">
      <c r="A912" s="258">
        <v>1500</v>
      </c>
      <c r="B912" s="235">
        <v>624</v>
      </c>
      <c r="C912" s="235" t="s">
        <v>7650</v>
      </c>
      <c r="D912" s="235" t="s">
        <v>260</v>
      </c>
      <c r="E912" s="235" t="s">
        <v>7650</v>
      </c>
      <c r="F912" s="235" t="s">
        <v>8543</v>
      </c>
      <c r="G912" s="235" t="str">
        <f t="shared" si="489"/>
        <v>Rapsodyn</v>
      </c>
      <c r="H912" s="235" t="s">
        <v>267</v>
      </c>
      <c r="I912" s="235">
        <v>2</v>
      </c>
      <c r="J912" s="235">
        <v>9035</v>
      </c>
      <c r="K912" s="235">
        <v>40</v>
      </c>
      <c r="L912" s="235">
        <f t="shared" si="476"/>
        <v>112</v>
      </c>
      <c r="M912" s="235">
        <v>9</v>
      </c>
      <c r="N912" s="235">
        <v>7</v>
      </c>
      <c r="O912" s="248">
        <v>42048</v>
      </c>
      <c r="P912" s="136">
        <v>5.52</v>
      </c>
      <c r="Q912" s="264">
        <v>42204</v>
      </c>
      <c r="V912" s="219">
        <f t="shared" si="490"/>
        <v>15.791313036238719</v>
      </c>
      <c r="X912">
        <v>15.55</v>
      </c>
      <c r="AB912" s="220">
        <f t="shared" si="491"/>
        <v>6.0292386254090662</v>
      </c>
      <c r="AD912" s="221">
        <f t="shared" si="492"/>
        <v>85939.78368897982</v>
      </c>
      <c r="AF912" s="220">
        <f t="shared" si="493"/>
        <v>31.625840397544579</v>
      </c>
      <c r="AH912" s="220">
        <f t="shared" si="494"/>
        <v>35.462929353604586</v>
      </c>
      <c r="AJ912">
        <v>3.68</v>
      </c>
      <c r="AK912" s="285" t="s">
        <v>8401</v>
      </c>
      <c r="AL912" s="260">
        <v>145</v>
      </c>
      <c r="AN912" s="235">
        <v>72</v>
      </c>
      <c r="AO912" s="242">
        <v>42076</v>
      </c>
      <c r="AP912" s="235">
        <v>104</v>
      </c>
      <c r="AQ912" s="242">
        <v>42108</v>
      </c>
      <c r="AR912" s="136">
        <v>132</v>
      </c>
      <c r="AS912" s="297">
        <f t="shared" si="495"/>
        <v>132</v>
      </c>
      <c r="AT912" s="290">
        <v>42136</v>
      </c>
      <c r="AU912" s="298"/>
      <c r="BF912" s="282">
        <v>-6.972008228302002</v>
      </c>
      <c r="BG912" s="283">
        <v>42235</v>
      </c>
      <c r="BL912" s="296">
        <v>61.891204833984375</v>
      </c>
      <c r="BM912" s="283">
        <v>42235</v>
      </c>
      <c r="BP912" s="282">
        <v>2.6486649513244629</v>
      </c>
      <c r="BQ912" s="283">
        <v>42235</v>
      </c>
      <c r="BR912" s="282">
        <v>49.931678771972656</v>
      </c>
      <c r="BS912" s="283">
        <v>42235</v>
      </c>
      <c r="BT912" s="282">
        <v>19.064279556274414</v>
      </c>
      <c r="BU912" s="283">
        <v>42235</v>
      </c>
      <c r="BV912" s="282">
        <v>49.473228454589844</v>
      </c>
      <c r="BW912" s="283">
        <v>42235</v>
      </c>
      <c r="BX912" s="282">
        <v>5.3421554565429687</v>
      </c>
      <c r="BY912" s="283">
        <v>42235</v>
      </c>
      <c r="CB912" s="267">
        <v>2.76</v>
      </c>
      <c r="CD912" s="282">
        <v>9.0909090909090917</v>
      </c>
      <c r="CE912" s="291" t="s">
        <v>8401</v>
      </c>
      <c r="CH912" s="136">
        <v>1</v>
      </c>
      <c r="CI912" s="136">
        <v>3</v>
      </c>
      <c r="CL912" s="136">
        <v>1</v>
      </c>
      <c r="CM912" s="259">
        <v>42161</v>
      </c>
      <c r="CN912" s="137" t="s">
        <v>8406</v>
      </c>
    </row>
    <row r="913" spans="1:93">
      <c r="A913" s="258">
        <v>1501</v>
      </c>
      <c r="B913" s="235">
        <v>625</v>
      </c>
      <c r="C913" s="235" t="s">
        <v>7760</v>
      </c>
      <c r="D913" s="235" t="s">
        <v>7837</v>
      </c>
      <c r="E913" s="235" t="s">
        <v>7760</v>
      </c>
      <c r="F913" s="235" t="s">
        <v>8542</v>
      </c>
      <c r="G913" s="235" t="str">
        <f t="shared" si="489"/>
        <v>Rapsodyn</v>
      </c>
      <c r="H913" s="235" t="s">
        <v>267</v>
      </c>
      <c r="I913" s="235">
        <v>2</v>
      </c>
      <c r="J913" s="235">
        <v>9131</v>
      </c>
      <c r="K913" s="235">
        <v>41</v>
      </c>
      <c r="L913" s="235">
        <f t="shared" si="476"/>
        <v>113</v>
      </c>
      <c r="M913" s="235">
        <v>9</v>
      </c>
      <c r="N913" s="235">
        <v>7</v>
      </c>
      <c r="O913" s="248">
        <v>42048</v>
      </c>
      <c r="P913" s="136">
        <v>8.58</v>
      </c>
      <c r="Q913" s="264">
        <v>42204</v>
      </c>
      <c r="V913" s="219">
        <f t="shared" si="490"/>
        <v>25.423963625593277</v>
      </c>
      <c r="X913">
        <v>15.55</v>
      </c>
      <c r="AB913" s="220">
        <f t="shared" si="491"/>
        <v>8.5676272708684298</v>
      </c>
      <c r="AD913" s="221">
        <f t="shared" si="492"/>
        <v>125905.99583885002</v>
      </c>
      <c r="AF913" s="220">
        <f t="shared" si="493"/>
        <v>51.369646302250807</v>
      </c>
      <c r="AH913" s="220">
        <f t="shared" si="494"/>
        <v>57.602204869085909</v>
      </c>
      <c r="AJ913">
        <v>4.08</v>
      </c>
      <c r="AK913" s="285" t="s">
        <v>8399</v>
      </c>
      <c r="AL913" s="260">
        <v>170</v>
      </c>
      <c r="AN913" s="235">
        <v>75</v>
      </c>
      <c r="AO913" s="242">
        <v>42079</v>
      </c>
      <c r="AP913" s="235">
        <v>104</v>
      </c>
      <c r="AQ913" s="242">
        <v>42108</v>
      </c>
      <c r="AR913" s="136">
        <v>133</v>
      </c>
      <c r="AS913" s="297">
        <f t="shared" si="495"/>
        <v>133</v>
      </c>
      <c r="AT913" s="290">
        <v>42137</v>
      </c>
      <c r="AU913" s="298"/>
      <c r="BF913" s="282">
        <v>-1.1375290155410767</v>
      </c>
      <c r="BG913" s="283">
        <v>42234</v>
      </c>
      <c r="BL913" s="296">
        <v>66.094169616699219</v>
      </c>
      <c r="BM913" s="283">
        <v>42234</v>
      </c>
      <c r="BP913" s="282">
        <v>2.0418539047241211</v>
      </c>
      <c r="BQ913" s="283">
        <v>42234</v>
      </c>
      <c r="BR913" s="282">
        <v>49.492191314697266</v>
      </c>
      <c r="BS913" s="283">
        <v>42234</v>
      </c>
      <c r="BT913" s="282">
        <v>16.678384780883789</v>
      </c>
      <c r="BU913" s="283">
        <v>42234</v>
      </c>
      <c r="BV913" s="282">
        <v>11.88707160949707</v>
      </c>
      <c r="BW913" s="283">
        <v>42234</v>
      </c>
      <c r="BX913" s="282">
        <v>5.4110488891601562</v>
      </c>
      <c r="BY913" s="283">
        <v>42234</v>
      </c>
      <c r="CB913" s="267">
        <v>2.41</v>
      </c>
      <c r="CD913" s="282">
        <v>5.0000000000000044</v>
      </c>
      <c r="CE913" s="291" t="s">
        <v>8399</v>
      </c>
      <c r="CH913" s="136">
        <v>2</v>
      </c>
      <c r="CI913" s="136">
        <v>4</v>
      </c>
      <c r="CL913" s="136">
        <v>1</v>
      </c>
      <c r="CM913" s="259">
        <v>42161</v>
      </c>
      <c r="CN913" s="137" t="s">
        <v>8406</v>
      </c>
    </row>
    <row r="914" spans="1:93">
      <c r="A914" s="258">
        <v>1502</v>
      </c>
      <c r="B914" s="235">
        <v>626</v>
      </c>
      <c r="C914" s="235" t="s">
        <v>7789</v>
      </c>
      <c r="D914" s="235" t="s">
        <v>7587</v>
      </c>
      <c r="E914" s="235" t="s">
        <v>7789</v>
      </c>
      <c r="F914" s="235" t="s">
        <v>8541</v>
      </c>
      <c r="G914" s="235" t="str">
        <f t="shared" si="489"/>
        <v>Rapsodyn</v>
      </c>
      <c r="H914" s="235" t="s">
        <v>267</v>
      </c>
      <c r="I914" s="235">
        <v>2</v>
      </c>
      <c r="J914" s="235">
        <v>9160</v>
      </c>
      <c r="K914" s="235">
        <v>42</v>
      </c>
      <c r="L914" s="235">
        <f t="shared" si="476"/>
        <v>114</v>
      </c>
      <c r="M914" s="235">
        <v>9</v>
      </c>
      <c r="N914" s="235">
        <v>7</v>
      </c>
      <c r="O914" s="248">
        <v>42048</v>
      </c>
      <c r="P914" s="136">
        <v>7.15</v>
      </c>
      <c r="Q914" s="264">
        <v>42204</v>
      </c>
      <c r="V914" s="219">
        <f t="shared" si="490"/>
        <v>21.825876132849285</v>
      </c>
      <c r="X914">
        <v>15.55</v>
      </c>
      <c r="AB914" s="220">
        <f t="shared" si="491"/>
        <v>7.243909992143382</v>
      </c>
      <c r="AD914" s="221">
        <f t="shared" si="492"/>
        <v>88124.693443784388</v>
      </c>
      <c r="AF914" s="220">
        <f t="shared" si="493"/>
        <v>43.533598561229489</v>
      </c>
      <c r="AH914" s="220">
        <f t="shared" si="494"/>
        <v>48.815427855157552</v>
      </c>
      <c r="AJ914">
        <v>4.9400000000000004</v>
      </c>
      <c r="AK914" s="285" t="s">
        <v>8400</v>
      </c>
      <c r="AL914" s="260">
        <v>175</v>
      </c>
      <c r="AN914" s="235">
        <v>63</v>
      </c>
      <c r="AO914" s="242">
        <v>42067</v>
      </c>
      <c r="AP914" s="235">
        <v>104</v>
      </c>
      <c r="AQ914" s="242">
        <v>42108</v>
      </c>
      <c r="AR914" s="136">
        <v>127</v>
      </c>
      <c r="AS914" s="297">
        <f t="shared" si="495"/>
        <v>127</v>
      </c>
      <c r="AT914" s="290">
        <v>42131</v>
      </c>
      <c r="AU914" s="298"/>
      <c r="BF914" s="282">
        <v>-4.1383547782897949</v>
      </c>
      <c r="BG914" s="283">
        <v>42235</v>
      </c>
      <c r="BL914" s="296">
        <v>63.131492614746094</v>
      </c>
      <c r="BM914" s="283">
        <v>42235</v>
      </c>
      <c r="BP914" s="282">
        <v>3.2092049121856689</v>
      </c>
      <c r="BQ914" s="283">
        <v>42235</v>
      </c>
      <c r="BR914" s="282">
        <v>50.135704040527344</v>
      </c>
      <c r="BS914" s="283">
        <v>42235</v>
      </c>
      <c r="BT914" s="282">
        <v>16.639814376831055</v>
      </c>
      <c r="BU914" s="283">
        <v>42235</v>
      </c>
      <c r="BV914" s="282">
        <v>9.8947963714599609</v>
      </c>
      <c r="BW914" s="283">
        <v>42235</v>
      </c>
      <c r="BX914" s="282">
        <v>5.5137100219726562</v>
      </c>
      <c r="BY914" s="283">
        <v>42235</v>
      </c>
      <c r="CB914" s="267">
        <v>3.33</v>
      </c>
      <c r="CD914" s="282">
        <v>3.3898305084745792</v>
      </c>
      <c r="CE914" s="291" t="s">
        <v>8400</v>
      </c>
      <c r="CH914" s="136">
        <v>2</v>
      </c>
      <c r="CI914" s="136">
        <v>4</v>
      </c>
      <c r="CL914" s="136">
        <v>1</v>
      </c>
      <c r="CM914" s="259">
        <v>42161</v>
      </c>
      <c r="CN914" s="137" t="s">
        <v>8406</v>
      </c>
    </row>
    <row r="915" spans="1:93">
      <c r="A915" s="258">
        <v>1503</v>
      </c>
      <c r="B915" s="235">
        <v>627</v>
      </c>
      <c r="C915" s="235" t="s">
        <v>7717</v>
      </c>
      <c r="D915" s="235" t="s">
        <v>7541</v>
      </c>
      <c r="E915" s="235" t="s">
        <v>7717</v>
      </c>
      <c r="F915" s="235" t="s">
        <v>8540</v>
      </c>
      <c r="G915" s="235" t="str">
        <f t="shared" si="489"/>
        <v>Rapsodyn</v>
      </c>
      <c r="H915" s="235" t="s">
        <v>267</v>
      </c>
      <c r="I915" s="235">
        <v>2</v>
      </c>
      <c r="J915" s="235">
        <v>9099</v>
      </c>
      <c r="K915" s="235">
        <v>43</v>
      </c>
      <c r="L915" s="235">
        <f t="shared" si="476"/>
        <v>115</v>
      </c>
      <c r="M915" s="235">
        <v>9</v>
      </c>
      <c r="N915" s="235">
        <v>7</v>
      </c>
      <c r="O915" s="248">
        <v>42048</v>
      </c>
      <c r="P915" s="136">
        <v>5.45</v>
      </c>
      <c r="Q915" s="264">
        <v>42204</v>
      </c>
      <c r="V915" s="219">
        <f t="shared" si="490"/>
        <v>15.956027811175048</v>
      </c>
      <c r="X915">
        <v>15.55</v>
      </c>
      <c r="AB915" s="220">
        <f t="shared" si="491"/>
        <v>6.0665120706709468</v>
      </c>
      <c r="AD915" s="221">
        <f t="shared" si="492"/>
        <v>73924.706765733514</v>
      </c>
      <c r="AF915" s="220">
        <f t="shared" si="493"/>
        <v>32.600795683688482</v>
      </c>
      <c r="AH915" s="220">
        <f t="shared" si="494"/>
        <v>36.556173675362729</v>
      </c>
      <c r="AJ915">
        <v>4.41</v>
      </c>
      <c r="AK915" s="285" t="s">
        <v>8399</v>
      </c>
      <c r="AL915" s="260">
        <v>155</v>
      </c>
      <c r="AN915" s="235">
        <v>72</v>
      </c>
      <c r="AO915" s="242">
        <v>42076</v>
      </c>
      <c r="AP915" s="235">
        <v>106</v>
      </c>
      <c r="AQ915" s="242">
        <v>42110</v>
      </c>
      <c r="AR915" s="136">
        <v>132</v>
      </c>
      <c r="AS915" s="297">
        <f t="shared" si="495"/>
        <v>132</v>
      </c>
      <c r="AT915" s="290">
        <v>42136</v>
      </c>
      <c r="AU915" s="298"/>
      <c r="BF915" s="282">
        <v>-1.9964009523391724</v>
      </c>
      <c r="BG915" s="283">
        <v>42235</v>
      </c>
      <c r="BL915" s="296">
        <v>64.606330871582031</v>
      </c>
      <c r="BM915" s="283">
        <v>42235</v>
      </c>
      <c r="BP915" s="282">
        <v>3.9916839599609375</v>
      </c>
      <c r="BQ915" s="283">
        <v>42235</v>
      </c>
      <c r="BR915" s="282">
        <v>48.943675994873047</v>
      </c>
      <c r="BS915" s="283">
        <v>42235</v>
      </c>
      <c r="BT915" s="282">
        <v>18.608478546142578</v>
      </c>
      <c r="BU915" s="283">
        <v>42235</v>
      </c>
      <c r="BV915" s="282">
        <v>18.369796752929687</v>
      </c>
      <c r="BW915" s="283">
        <v>42235</v>
      </c>
      <c r="BX915" s="282">
        <v>5.361602783203125</v>
      </c>
      <c r="BY915" s="283">
        <v>42235</v>
      </c>
      <c r="CB915" s="267">
        <v>4.24</v>
      </c>
      <c r="CD915" s="282">
        <v>5.0847457627118757</v>
      </c>
      <c r="CE915" s="291" t="s">
        <v>8399</v>
      </c>
      <c r="CH915" s="136">
        <v>3</v>
      </c>
      <c r="CI915" s="136">
        <v>3</v>
      </c>
      <c r="CL915" s="136">
        <v>2</v>
      </c>
      <c r="CM915" s="259">
        <v>42161</v>
      </c>
      <c r="CN915" s="137" t="s">
        <v>8406</v>
      </c>
    </row>
    <row r="916" spans="1:93">
      <c r="A916" s="258">
        <v>1504</v>
      </c>
      <c r="B916" s="235">
        <v>628</v>
      </c>
      <c r="C916" s="235" t="s">
        <v>7662</v>
      </c>
      <c r="D916" s="235" t="s">
        <v>7492</v>
      </c>
      <c r="E916" s="235" t="s">
        <v>7662</v>
      </c>
      <c r="F916" s="235" t="s">
        <v>8539</v>
      </c>
      <c r="G916" s="235" t="str">
        <f t="shared" si="489"/>
        <v>Rapsodyn</v>
      </c>
      <c r="H916" s="235" t="s">
        <v>267</v>
      </c>
      <c r="I916" s="235">
        <v>2</v>
      </c>
      <c r="J916" s="235">
        <v>9045</v>
      </c>
      <c r="K916" s="235">
        <v>44</v>
      </c>
      <c r="L916" s="235">
        <f t="shared" si="476"/>
        <v>116</v>
      </c>
      <c r="M916" s="235">
        <v>9</v>
      </c>
      <c r="N916" s="235">
        <v>9</v>
      </c>
      <c r="O916" s="248">
        <v>42048</v>
      </c>
      <c r="P916" s="136">
        <v>5.89</v>
      </c>
      <c r="Q916" s="264">
        <v>42204</v>
      </c>
      <c r="V916" s="219">
        <f t="shared" si="490"/>
        <v>18.07591528687125</v>
      </c>
      <c r="X916">
        <v>15.55</v>
      </c>
      <c r="AB916" s="220">
        <f t="shared" si="491"/>
        <v>6.3466545244005168</v>
      </c>
      <c r="AD916" s="221">
        <f t="shared" si="492"/>
        <v>84381.043365081598</v>
      </c>
      <c r="AF916" s="220">
        <f t="shared" si="493"/>
        <v>35.861943430159677</v>
      </c>
      <c r="AH916" s="220">
        <f t="shared" si="494"/>
        <v>40.212988820542371</v>
      </c>
      <c r="AJ916">
        <v>4.25</v>
      </c>
      <c r="AK916" s="285" t="s">
        <v>8399</v>
      </c>
      <c r="AL916" s="260">
        <v>180</v>
      </c>
      <c r="AN916" s="235">
        <v>72</v>
      </c>
      <c r="AO916" s="242">
        <v>42076</v>
      </c>
      <c r="AP916" s="235">
        <v>104</v>
      </c>
      <c r="AQ916" s="242">
        <v>42108</v>
      </c>
      <c r="AR916" s="136">
        <v>131</v>
      </c>
      <c r="AS916" s="297">
        <f t="shared" si="495"/>
        <v>131</v>
      </c>
      <c r="AT916" s="290">
        <v>42135</v>
      </c>
      <c r="AU916" s="298"/>
      <c r="BF916" s="282">
        <v>-2.728626012802124</v>
      </c>
      <c r="BG916" s="283">
        <v>42235</v>
      </c>
      <c r="BL916" s="296">
        <v>68.390457153320313</v>
      </c>
      <c r="BM916" s="283">
        <v>42235</v>
      </c>
      <c r="BP916" s="282">
        <v>3.1755309104919434</v>
      </c>
      <c r="BQ916" s="283">
        <v>42235</v>
      </c>
      <c r="BR916" s="282">
        <v>50.404170989990234</v>
      </c>
      <c r="BS916" s="283">
        <v>42235</v>
      </c>
      <c r="BT916" s="282">
        <v>17.697463989257813</v>
      </c>
      <c r="BU916" s="283">
        <v>42235</v>
      </c>
      <c r="BV916" s="282">
        <v>14.60357666015625</v>
      </c>
      <c r="BW916" s="283">
        <v>42235</v>
      </c>
      <c r="BX916" s="282">
        <v>5.3869171142578125</v>
      </c>
      <c r="BY916" s="283">
        <v>42235</v>
      </c>
      <c r="CB916" s="267">
        <v>3.71</v>
      </c>
      <c r="CD916" s="282">
        <v>3.3898305084745792</v>
      </c>
      <c r="CE916" s="291" t="s">
        <v>8399</v>
      </c>
      <c r="CH916" s="136">
        <v>2</v>
      </c>
      <c r="CI916" s="136">
        <v>3</v>
      </c>
      <c r="CL916" s="136">
        <v>3</v>
      </c>
      <c r="CM916" s="259">
        <v>42161</v>
      </c>
      <c r="CN916" s="137" t="s">
        <v>8406</v>
      </c>
    </row>
    <row r="917" spans="1:93">
      <c r="A917" s="258">
        <v>1506</v>
      </c>
      <c r="B917" s="235">
        <v>630</v>
      </c>
      <c r="C917" s="235" t="s">
        <v>7673</v>
      </c>
      <c r="D917" s="235" t="s">
        <v>7502</v>
      </c>
      <c r="E917" s="235" t="s">
        <v>7673</v>
      </c>
      <c r="F917" s="235" t="s">
        <v>8538</v>
      </c>
      <c r="G917" s="235" t="str">
        <f t="shared" si="489"/>
        <v>Rapsodyn</v>
      </c>
      <c r="H917" s="235" t="s">
        <v>267</v>
      </c>
      <c r="I917" s="235">
        <v>2</v>
      </c>
      <c r="J917" s="235">
        <v>9055</v>
      </c>
      <c r="K917" s="235">
        <v>46</v>
      </c>
      <c r="L917" s="235">
        <f t="shared" si="476"/>
        <v>118</v>
      </c>
      <c r="M917" s="235">
        <v>9</v>
      </c>
      <c r="N917" s="235">
        <v>7</v>
      </c>
      <c r="O917" s="248">
        <v>42048</v>
      </c>
      <c r="P917" s="136">
        <v>7</v>
      </c>
      <c r="Q917" s="264">
        <v>42204</v>
      </c>
      <c r="V917" s="219">
        <f t="shared" si="490"/>
        <v>20.756253121160547</v>
      </c>
      <c r="X917">
        <v>15.55</v>
      </c>
      <c r="AB917" s="220">
        <f t="shared" si="491"/>
        <v>7.0980426314420013</v>
      </c>
      <c r="AD917" s="221">
        <f t="shared" si="492"/>
        <v>101236.50894106361</v>
      </c>
      <c r="AF917" s="220">
        <f t="shared" si="493"/>
        <v>41.709441683718211</v>
      </c>
      <c r="AH917" s="220">
        <f t="shared" si="494"/>
        <v>46.769950306927804</v>
      </c>
      <c r="AJ917">
        <v>4.12</v>
      </c>
      <c r="AK917" s="285" t="s">
        <v>8399</v>
      </c>
      <c r="AL917" s="260">
        <v>170</v>
      </c>
      <c r="AN917" s="235">
        <v>79</v>
      </c>
      <c r="AO917" s="242">
        <v>42083</v>
      </c>
      <c r="AP917" s="235">
        <v>110</v>
      </c>
      <c r="AQ917" s="242">
        <v>42114</v>
      </c>
      <c r="AR917" s="136">
        <v>135</v>
      </c>
      <c r="AS917" s="297">
        <f t="shared" si="495"/>
        <v>135</v>
      </c>
      <c r="AT917" s="290">
        <v>42139</v>
      </c>
      <c r="AU917" s="298"/>
      <c r="BF917" s="282">
        <v>-3.6214749813079834</v>
      </c>
      <c r="BG917" s="283">
        <v>42234</v>
      </c>
      <c r="BL917" s="296">
        <v>63.232166290283203</v>
      </c>
      <c r="BM917" s="283">
        <v>42234</v>
      </c>
      <c r="BP917" s="282">
        <v>3.7496728897094727</v>
      </c>
      <c r="BQ917" s="283">
        <v>42234</v>
      </c>
      <c r="BR917" s="282">
        <v>49.763919830322266</v>
      </c>
      <c r="BS917" s="283">
        <v>42234</v>
      </c>
      <c r="BT917" s="282">
        <v>17.017831802368164</v>
      </c>
      <c r="BU917" s="283">
        <v>42234</v>
      </c>
      <c r="BV917" s="282">
        <v>14.441749572753906</v>
      </c>
      <c r="BW917" s="283">
        <v>42234</v>
      </c>
      <c r="BX917" s="282">
        <v>5.4665145874023437</v>
      </c>
      <c r="BY917" s="283">
        <v>42234</v>
      </c>
      <c r="CB917" s="267">
        <v>3.91</v>
      </c>
      <c r="CD917" s="282">
        <v>5.4545454545454515</v>
      </c>
      <c r="CE917" s="291" t="s">
        <v>8399</v>
      </c>
      <c r="CH917" s="136">
        <v>2</v>
      </c>
      <c r="CI917" s="136">
        <v>4</v>
      </c>
      <c r="CL917" s="136">
        <v>3</v>
      </c>
      <c r="CM917" s="259">
        <v>42161</v>
      </c>
      <c r="CN917" s="137" t="s">
        <v>8406</v>
      </c>
    </row>
    <row r="918" spans="1:93">
      <c r="A918" s="258">
        <v>1511</v>
      </c>
      <c r="B918" s="235">
        <v>635</v>
      </c>
      <c r="C918" s="235" t="s">
        <v>7576</v>
      </c>
      <c r="D918" s="235"/>
      <c r="E918" s="235"/>
      <c r="F918" s="235"/>
      <c r="G918" s="235"/>
      <c r="H918" s="235" t="s">
        <v>267</v>
      </c>
      <c r="I918" s="235">
        <v>2</v>
      </c>
      <c r="K918" s="235">
        <v>51</v>
      </c>
      <c r="L918" s="235">
        <f t="shared" si="476"/>
        <v>123</v>
      </c>
      <c r="M918" s="235">
        <v>9</v>
      </c>
      <c r="O918" s="248">
        <v>42048</v>
      </c>
      <c r="V918" s="219"/>
      <c r="X918">
        <v>15.55</v>
      </c>
      <c r="AB918" s="220"/>
      <c r="AD918" s="221"/>
      <c r="AF918" s="220"/>
      <c r="AH918" s="220"/>
      <c r="AJ918" s="286"/>
      <c r="AK918" s="285"/>
      <c r="AL918" s="260"/>
      <c r="AN918" s="235">
        <v>70</v>
      </c>
      <c r="AO918" s="242">
        <v>42074</v>
      </c>
      <c r="AP918" s="235">
        <v>106</v>
      </c>
      <c r="AQ918" s="242">
        <v>42110</v>
      </c>
      <c r="AS918" s="297"/>
      <c r="AT918" s="290"/>
      <c r="AU918" s="298"/>
      <c r="BF918" s="282"/>
      <c r="BG918" s="235"/>
      <c r="BL918" s="296"/>
      <c r="BM918" s="235"/>
      <c r="BP918" s="282"/>
      <c r="BQ918" s="235"/>
      <c r="BR918" s="282"/>
      <c r="BS918" s="235"/>
      <c r="BT918" s="282"/>
      <c r="BU918" s="235"/>
      <c r="BV918" s="282"/>
      <c r="BW918" s="235"/>
      <c r="BX918" s="282"/>
      <c r="BY918" s="235"/>
      <c r="CB918" s="267"/>
      <c r="CD918" s="282"/>
      <c r="CE918" s="291"/>
      <c r="CL918" s="136">
        <v>3</v>
      </c>
      <c r="CM918" s="259">
        <v>42161</v>
      </c>
    </row>
    <row r="919" spans="1:93">
      <c r="A919" s="258">
        <v>1512</v>
      </c>
      <c r="B919" s="235">
        <v>636</v>
      </c>
      <c r="C919" s="235" t="s">
        <v>7576</v>
      </c>
      <c r="D919" s="235"/>
      <c r="E919" s="235"/>
      <c r="F919" s="235"/>
      <c r="G919" s="235"/>
      <c r="H919" s="235" t="s">
        <v>267</v>
      </c>
      <c r="I919" s="235">
        <v>2</v>
      </c>
      <c r="K919" s="235">
        <v>52</v>
      </c>
      <c r="L919" s="235">
        <f t="shared" si="476"/>
        <v>124</v>
      </c>
      <c r="M919" s="235">
        <v>9</v>
      </c>
      <c r="O919" s="248">
        <v>42048</v>
      </c>
      <c r="V919" s="219"/>
      <c r="X919">
        <v>15.55</v>
      </c>
      <c r="AB919" s="220"/>
      <c r="AD919" s="221"/>
      <c r="AF919" s="220"/>
      <c r="AH919" s="220"/>
      <c r="AJ919" s="286"/>
      <c r="AK919" s="285"/>
      <c r="AL919" s="260"/>
      <c r="AN919" s="235">
        <v>70</v>
      </c>
      <c r="AO919" s="242">
        <v>42074</v>
      </c>
      <c r="AP919" s="235">
        <v>106</v>
      </c>
      <c r="AQ919" s="242">
        <v>42110</v>
      </c>
      <c r="AS919" s="297"/>
      <c r="AT919" s="290"/>
      <c r="AU919" s="298"/>
      <c r="BF919" s="282"/>
      <c r="BG919" s="235"/>
      <c r="BL919" s="296"/>
      <c r="BM919" s="235"/>
      <c r="BP919" s="282"/>
      <c r="BQ919" s="235"/>
      <c r="BR919" s="282"/>
      <c r="BS919" s="235"/>
      <c r="BT919" s="282"/>
      <c r="BU919" s="235"/>
      <c r="BV919" s="282"/>
      <c r="BW919" s="235"/>
      <c r="BX919" s="282"/>
      <c r="BY919" s="235"/>
      <c r="CB919" s="267"/>
      <c r="CD919" s="282"/>
      <c r="CE919" s="291"/>
      <c r="CL919" s="136">
        <v>3</v>
      </c>
      <c r="CM919" s="259">
        <v>42161</v>
      </c>
    </row>
    <row r="920" spans="1:93">
      <c r="A920" s="258">
        <v>1516</v>
      </c>
      <c r="B920" s="236">
        <v>640</v>
      </c>
      <c r="C920" s="236" t="s">
        <v>7738</v>
      </c>
      <c r="D920" s="236" t="s">
        <v>7882</v>
      </c>
      <c r="E920" s="236" t="s">
        <v>7738</v>
      </c>
      <c r="F920" s="236" t="s">
        <v>8537</v>
      </c>
      <c r="G920" s="235" t="str">
        <f t="shared" ref="G920:G925" si="496">IF(MID(C920,1,3)="BGA","Complement","Rapsodyn")</f>
        <v>Rapsodyn</v>
      </c>
      <c r="H920" s="235" t="s">
        <v>267</v>
      </c>
      <c r="I920" s="235">
        <v>2</v>
      </c>
      <c r="J920" s="236">
        <v>9118</v>
      </c>
      <c r="K920" s="236">
        <v>56</v>
      </c>
      <c r="L920" s="235">
        <f t="shared" si="476"/>
        <v>128</v>
      </c>
      <c r="M920" s="236">
        <v>9</v>
      </c>
      <c r="N920" s="235">
        <v>7</v>
      </c>
      <c r="O920" s="248">
        <v>42048</v>
      </c>
      <c r="P920" s="136">
        <v>3.18</v>
      </c>
      <c r="Q920" s="264">
        <v>42204</v>
      </c>
      <c r="V920" s="219">
        <f t="shared" ref="V920:V925" si="497">+BR920*AF920/100</f>
        <v>8.7972018883190497</v>
      </c>
      <c r="X920">
        <v>15.55</v>
      </c>
      <c r="AB920" s="220">
        <f t="shared" ref="AB920:AB925" si="498">+AF920*BT920/100</f>
        <v>3.7354838140944264</v>
      </c>
      <c r="AD920" s="221">
        <f t="shared" ref="AD920:AD925" si="499">+(AF920/AJ920)*10000</f>
        <v>49493.391934445506</v>
      </c>
      <c r="AF920" s="220">
        <f t="shared" ref="AF920:AF925" si="500">($P920/$X920)*(((100-$CD920)/100*(100-2)/100))*100</f>
        <v>18.659008759285953</v>
      </c>
      <c r="AH920" s="220">
        <f t="shared" ref="AH920:AH925" si="501">($P920/$X920)*(((100-$CD920)/(100-9)*(100-2)/(100-2))*100)</f>
        <v>20.922862479576086</v>
      </c>
      <c r="AJ920">
        <v>3.77</v>
      </c>
      <c r="AK920" s="285" t="s">
        <v>8399</v>
      </c>
      <c r="AL920" s="260">
        <v>185</v>
      </c>
      <c r="AN920" s="235">
        <v>61</v>
      </c>
      <c r="AO920" s="243">
        <v>42065</v>
      </c>
      <c r="AP920" s="235">
        <v>110</v>
      </c>
      <c r="AQ920" s="242">
        <v>42114</v>
      </c>
      <c r="AR920" s="136">
        <v>135</v>
      </c>
      <c r="AS920" s="297">
        <f t="shared" ref="AS920:AS925" si="502">IF(AR920=0,,AR920)</f>
        <v>135</v>
      </c>
      <c r="AT920" s="290">
        <v>42139</v>
      </c>
      <c r="AU920" s="298"/>
      <c r="BF920" s="282">
        <v>26.258489608764648</v>
      </c>
      <c r="BG920" s="283">
        <v>42234</v>
      </c>
      <c r="BL920" s="296">
        <v>61.390487670898438</v>
      </c>
      <c r="BM920" s="283">
        <v>42234</v>
      </c>
      <c r="BP920" s="282">
        <v>2.6779000759124756</v>
      </c>
      <c r="BQ920" s="283">
        <v>42234</v>
      </c>
      <c r="BR920" s="282">
        <v>47.147209167480469</v>
      </c>
      <c r="BS920" s="283">
        <v>42234</v>
      </c>
      <c r="BT920" s="282">
        <v>20.019733428955078</v>
      </c>
      <c r="BU920" s="283">
        <v>42234</v>
      </c>
      <c r="BV920" s="282">
        <v>61.173225402832031</v>
      </c>
      <c r="BW920" s="283">
        <v>42234</v>
      </c>
      <c r="BX920" s="282">
        <v>5.8947601318359375</v>
      </c>
      <c r="BY920" s="283">
        <v>42234</v>
      </c>
      <c r="CB920" s="267">
        <v>3.27</v>
      </c>
      <c r="CD920" s="282">
        <v>6.8965517241379226</v>
      </c>
      <c r="CE920" s="291" t="s">
        <v>8399</v>
      </c>
      <c r="CH920" s="136">
        <v>2</v>
      </c>
      <c r="CI920" s="136">
        <v>7</v>
      </c>
      <c r="CL920" s="136">
        <v>7</v>
      </c>
      <c r="CM920" s="259">
        <v>42161</v>
      </c>
      <c r="CO920" s="137" t="s">
        <v>8405</v>
      </c>
    </row>
    <row r="921" spans="1:93">
      <c r="A921" s="258">
        <v>1519</v>
      </c>
      <c r="B921" s="235">
        <v>643</v>
      </c>
      <c r="C921" s="235" t="s">
        <v>7790</v>
      </c>
      <c r="D921" s="235" t="s">
        <v>7588</v>
      </c>
      <c r="E921" s="235" t="s">
        <v>7790</v>
      </c>
      <c r="F921" s="235" t="s">
        <v>8536</v>
      </c>
      <c r="G921" s="235" t="str">
        <f t="shared" si="496"/>
        <v>Rapsodyn</v>
      </c>
      <c r="H921" s="235" t="s">
        <v>267</v>
      </c>
      <c r="I921" s="235">
        <v>2</v>
      </c>
      <c r="J921" s="235">
        <v>9161</v>
      </c>
      <c r="K921" s="235">
        <v>59</v>
      </c>
      <c r="L921" s="235">
        <f t="shared" ref="L921:L952" si="503">72+K921</f>
        <v>131</v>
      </c>
      <c r="M921" s="235">
        <v>9</v>
      </c>
      <c r="N921" s="235">
        <v>7</v>
      </c>
      <c r="O921" s="248">
        <v>42048</v>
      </c>
      <c r="P921" s="136">
        <v>6.67</v>
      </c>
      <c r="Q921" s="264">
        <v>42204</v>
      </c>
      <c r="V921" s="219">
        <f t="shared" si="497"/>
        <v>19.360736259198347</v>
      </c>
      <c r="X921">
        <v>15.55</v>
      </c>
      <c r="AB921" s="220">
        <f t="shared" si="498"/>
        <v>7.7454897704602992</v>
      </c>
      <c r="AD921" s="221">
        <f t="shared" si="499"/>
        <v>84551.148900575936</v>
      </c>
      <c r="AF921" s="220">
        <f t="shared" si="500"/>
        <v>39.823591132171266</v>
      </c>
      <c r="AH921" s="220">
        <f t="shared" si="501"/>
        <v>44.655293936052104</v>
      </c>
      <c r="AJ921">
        <v>4.71</v>
      </c>
      <c r="AK921" s="285" t="s">
        <v>8399</v>
      </c>
      <c r="AL921" s="260">
        <v>175</v>
      </c>
      <c r="AN921" s="235">
        <v>70</v>
      </c>
      <c r="AO921" s="242">
        <v>42074</v>
      </c>
      <c r="AP921" s="235">
        <v>106</v>
      </c>
      <c r="AQ921" s="242">
        <v>42110</v>
      </c>
      <c r="AR921" s="136">
        <v>131</v>
      </c>
      <c r="AS921" s="297">
        <f t="shared" si="502"/>
        <v>131</v>
      </c>
      <c r="AT921" s="290">
        <v>42135</v>
      </c>
      <c r="AU921" s="298"/>
      <c r="BF921" s="282">
        <v>-3.3817958831787109</v>
      </c>
      <c r="BG921" s="283">
        <v>42234</v>
      </c>
      <c r="BL921" s="296">
        <v>65.667236328125</v>
      </c>
      <c r="BM921" s="283">
        <v>42234</v>
      </c>
      <c r="BP921" s="282">
        <v>3.4305899143218994</v>
      </c>
      <c r="BQ921" s="283">
        <v>42234</v>
      </c>
      <c r="BR921" s="282">
        <v>48.616249084472656</v>
      </c>
      <c r="BS921" s="283">
        <v>42234</v>
      </c>
      <c r="BT921" s="282">
        <v>19.449501037597656</v>
      </c>
      <c r="BU921" s="283">
        <v>42234</v>
      </c>
      <c r="BV921" s="282">
        <v>11.611547470092773</v>
      </c>
      <c r="BW921" s="283">
        <v>42234</v>
      </c>
      <c r="BX921" s="282">
        <v>5.5475082397460937</v>
      </c>
      <c r="BY921" s="283">
        <v>42234</v>
      </c>
      <c r="CB921" s="267">
        <v>3.59</v>
      </c>
      <c r="CD921" s="282">
        <v>5.2631578947368389</v>
      </c>
      <c r="CE921" s="291" t="s">
        <v>8399</v>
      </c>
      <c r="CH921" s="136">
        <v>2</v>
      </c>
      <c r="CI921" s="136">
        <v>2</v>
      </c>
      <c r="CL921" s="136">
        <v>2</v>
      </c>
      <c r="CM921" s="259">
        <v>42161</v>
      </c>
      <c r="CN921" s="137" t="s">
        <v>8406</v>
      </c>
    </row>
    <row r="922" spans="1:93">
      <c r="A922" s="258">
        <v>1524</v>
      </c>
      <c r="B922" s="235">
        <v>648</v>
      </c>
      <c r="C922" s="235" t="s">
        <v>7743</v>
      </c>
      <c r="D922" s="235" t="s">
        <v>8417</v>
      </c>
      <c r="E922" s="235" t="s">
        <v>7743</v>
      </c>
      <c r="F922" s="235" t="s">
        <v>8535</v>
      </c>
      <c r="G922" s="235" t="str">
        <f t="shared" si="496"/>
        <v>Rapsodyn</v>
      </c>
      <c r="H922" s="235" t="s">
        <v>267</v>
      </c>
      <c r="I922" s="235">
        <v>2</v>
      </c>
      <c r="J922" s="235">
        <v>9121</v>
      </c>
      <c r="K922" s="235">
        <v>64</v>
      </c>
      <c r="L922" s="235">
        <f t="shared" si="503"/>
        <v>136</v>
      </c>
      <c r="M922" s="235">
        <v>9</v>
      </c>
      <c r="N922" s="235">
        <v>7</v>
      </c>
      <c r="O922" s="248">
        <v>42048</v>
      </c>
      <c r="P922" s="136">
        <v>4.0999999999999996</v>
      </c>
      <c r="Q922" s="264">
        <v>42204</v>
      </c>
      <c r="V922" s="219">
        <f t="shared" si="497"/>
        <v>11.648735892835852</v>
      </c>
      <c r="X922">
        <v>15.55</v>
      </c>
      <c r="AB922" s="220">
        <f t="shared" si="498"/>
        <v>4.9980817468061396</v>
      </c>
      <c r="AD922" s="221">
        <f t="shared" si="499"/>
        <v>62003.12513216657</v>
      </c>
      <c r="AF922" s="220">
        <f t="shared" si="500"/>
        <v>24.057212551280628</v>
      </c>
      <c r="AH922" s="220">
        <f t="shared" si="501"/>
        <v>26.976017662346525</v>
      </c>
      <c r="AJ922">
        <v>3.88</v>
      </c>
      <c r="AK922" s="285" t="s">
        <v>8401</v>
      </c>
      <c r="AL922" s="260">
        <v>175</v>
      </c>
      <c r="AN922" s="235">
        <v>79</v>
      </c>
      <c r="AO922" s="242">
        <v>42083</v>
      </c>
      <c r="AP922" s="235">
        <v>110</v>
      </c>
      <c r="AQ922" s="242">
        <v>42114</v>
      </c>
      <c r="AR922" s="136">
        <v>141</v>
      </c>
      <c r="AS922" s="297">
        <f t="shared" si="502"/>
        <v>141</v>
      </c>
      <c r="AT922" s="290">
        <v>42145</v>
      </c>
      <c r="AU922" s="298"/>
      <c r="BF922" s="282">
        <v>39.620979309082031</v>
      </c>
      <c r="BG922" s="283">
        <v>42234</v>
      </c>
      <c r="BL922" s="296">
        <v>57.196182250976563</v>
      </c>
      <c r="BM922" s="283">
        <v>42234</v>
      </c>
      <c r="BP922" s="282">
        <v>3.1737649440765381</v>
      </c>
      <c r="BQ922" s="283">
        <v>42234</v>
      </c>
      <c r="BR922" s="282">
        <v>48.420970916748047</v>
      </c>
      <c r="BS922" s="283">
        <v>42234</v>
      </c>
      <c r="BT922" s="282">
        <v>20.775814056396484</v>
      </c>
      <c r="BU922" s="283">
        <v>42234</v>
      </c>
      <c r="BV922" s="282">
        <v>79.686866760253906</v>
      </c>
      <c r="BW922" s="283">
        <v>42234</v>
      </c>
      <c r="BX922" s="282">
        <v>5.2058944702148437</v>
      </c>
      <c r="BY922" s="283">
        <v>42234</v>
      </c>
      <c r="CB922" s="267">
        <v>5.21</v>
      </c>
      <c r="CD922" s="282">
        <v>6.8965517241379226</v>
      </c>
      <c r="CE922" s="291" t="s">
        <v>8401</v>
      </c>
      <c r="CH922" s="136">
        <v>3</v>
      </c>
      <c r="CI922" s="136">
        <v>6</v>
      </c>
      <c r="CL922" s="136">
        <v>5</v>
      </c>
      <c r="CM922" s="259">
        <v>42161</v>
      </c>
      <c r="CN922" s="137" t="s">
        <v>8406</v>
      </c>
    </row>
    <row r="923" spans="1:93">
      <c r="A923" s="258">
        <v>1528</v>
      </c>
      <c r="B923" s="235">
        <v>652</v>
      </c>
      <c r="C923" s="235" t="s">
        <v>7754</v>
      </c>
      <c r="D923" s="235" t="s">
        <v>7562</v>
      </c>
      <c r="E923" s="235" t="s">
        <v>7754</v>
      </c>
      <c r="F923" s="235" t="s">
        <v>8534</v>
      </c>
      <c r="G923" s="235" t="str">
        <f t="shared" si="496"/>
        <v>Rapsodyn</v>
      </c>
      <c r="H923" s="235" t="s">
        <v>267</v>
      </c>
      <c r="I923" s="235">
        <v>2</v>
      </c>
      <c r="J923" s="235">
        <v>9126</v>
      </c>
      <c r="K923" s="235">
        <v>68</v>
      </c>
      <c r="L923" s="235">
        <f t="shared" si="503"/>
        <v>140</v>
      </c>
      <c r="M923" s="235">
        <v>9</v>
      </c>
      <c r="N923" s="235">
        <v>7</v>
      </c>
      <c r="O923" s="248">
        <v>42048</v>
      </c>
      <c r="P923" s="136">
        <v>6.65</v>
      </c>
      <c r="Q923" s="264">
        <v>42204</v>
      </c>
      <c r="V923" s="219">
        <f t="shared" si="497"/>
        <v>19.497502869419897</v>
      </c>
      <c r="X923">
        <v>15.55</v>
      </c>
      <c r="AB923" s="220">
        <f t="shared" si="498"/>
        <v>7.0974609193714038</v>
      </c>
      <c r="AD923" s="221">
        <f t="shared" si="499"/>
        <v>84931.769768284954</v>
      </c>
      <c r="AF923" s="220">
        <f t="shared" si="500"/>
        <v>39.068614093411078</v>
      </c>
      <c r="AH923" s="220">
        <f t="shared" si="501"/>
        <v>43.808717305910612</v>
      </c>
      <c r="AJ923">
        <v>4.5999999999999996</v>
      </c>
      <c r="AK923" s="285" t="s">
        <v>8403</v>
      </c>
      <c r="AL923" s="260">
        <v>170</v>
      </c>
      <c r="AN923" s="235">
        <v>75</v>
      </c>
      <c r="AO923" s="242">
        <v>42079</v>
      </c>
      <c r="AP923" s="235">
        <v>104</v>
      </c>
      <c r="AQ923" s="242">
        <v>42108</v>
      </c>
      <c r="AR923" s="136">
        <v>133</v>
      </c>
      <c r="AS923" s="297">
        <f t="shared" si="502"/>
        <v>133</v>
      </c>
      <c r="AT923" s="290">
        <v>42137</v>
      </c>
      <c r="AU923" s="298"/>
      <c r="BF923" s="282">
        <v>-0.20780900120735168</v>
      </c>
      <c r="BG923" s="283">
        <v>42235</v>
      </c>
      <c r="BL923" s="296">
        <v>62.07318115234375</v>
      </c>
      <c r="BM923" s="283">
        <v>42235</v>
      </c>
      <c r="BP923" s="282">
        <v>3.7584030628204346</v>
      </c>
      <c r="BQ923" s="283">
        <v>42235</v>
      </c>
      <c r="BR923" s="282">
        <v>49.905796051025391</v>
      </c>
      <c r="BS923" s="283">
        <v>42235</v>
      </c>
      <c r="BT923" s="282">
        <v>18.166656494140625</v>
      </c>
      <c r="BU923" s="283">
        <v>42235</v>
      </c>
      <c r="BV923" s="282">
        <v>13.438596725463867</v>
      </c>
      <c r="BW923" s="283">
        <v>42235</v>
      </c>
      <c r="BX923" s="282">
        <v>5.1324234008789062</v>
      </c>
      <c r="BY923" s="283">
        <v>42235</v>
      </c>
      <c r="CB923" s="267">
        <v>3.69</v>
      </c>
      <c r="CD923" s="282">
        <v>6.7796610169491585</v>
      </c>
      <c r="CE923" s="291" t="s">
        <v>8403</v>
      </c>
      <c r="CH923" s="136">
        <v>2</v>
      </c>
      <c r="CI923" s="136">
        <v>2</v>
      </c>
      <c r="CL923" s="136">
        <v>2</v>
      </c>
      <c r="CM923" s="259">
        <v>42161</v>
      </c>
      <c r="CN923" s="137" t="s">
        <v>8406</v>
      </c>
    </row>
    <row r="924" spans="1:93">
      <c r="A924" s="258">
        <v>1531</v>
      </c>
      <c r="B924" s="235">
        <v>655</v>
      </c>
      <c r="C924" s="235" t="s">
        <v>7697</v>
      </c>
      <c r="D924" s="235" t="s">
        <v>7523</v>
      </c>
      <c r="E924" s="235" t="s">
        <v>7697</v>
      </c>
      <c r="F924" s="235" t="s">
        <v>8533</v>
      </c>
      <c r="G924" s="235" t="str">
        <f t="shared" si="496"/>
        <v>Rapsodyn</v>
      </c>
      <c r="H924" s="235" t="s">
        <v>267</v>
      </c>
      <c r="I924" s="235">
        <v>2</v>
      </c>
      <c r="J924" s="235">
        <v>9079</v>
      </c>
      <c r="K924" s="235">
        <v>71</v>
      </c>
      <c r="L924" s="235">
        <f t="shared" si="503"/>
        <v>143</v>
      </c>
      <c r="M924" s="235">
        <v>9</v>
      </c>
      <c r="N924" s="235">
        <v>7</v>
      </c>
      <c r="O924" s="248">
        <v>42048</v>
      </c>
      <c r="P924" s="136">
        <v>4.93</v>
      </c>
      <c r="Q924" s="264">
        <v>42204</v>
      </c>
      <c r="V924" s="219">
        <f t="shared" si="497"/>
        <v>13.856623540062614</v>
      </c>
      <c r="X924">
        <v>15.55</v>
      </c>
      <c r="AB924" s="220">
        <f t="shared" si="498"/>
        <v>6.1649310117928042</v>
      </c>
      <c r="AD924" s="221">
        <f t="shared" si="499"/>
        <v>68815.274558189398</v>
      </c>
      <c r="AF924" s="220">
        <f t="shared" si="500"/>
        <v>29.59056806002144</v>
      </c>
      <c r="AH924" s="220">
        <f t="shared" si="501"/>
        <v>33.180722202311543</v>
      </c>
      <c r="AJ924">
        <v>4.3</v>
      </c>
      <c r="AK924" s="285" t="s">
        <v>8400</v>
      </c>
      <c r="AL924" s="260">
        <v>175</v>
      </c>
      <c r="AN924" s="235">
        <v>70</v>
      </c>
      <c r="AO924" s="242">
        <v>42074</v>
      </c>
      <c r="AP924" s="235">
        <v>106</v>
      </c>
      <c r="AQ924" s="242">
        <v>42110</v>
      </c>
      <c r="AR924" s="136">
        <v>131</v>
      </c>
      <c r="AS924" s="297">
        <f t="shared" si="502"/>
        <v>131</v>
      </c>
      <c r="AT924" s="290">
        <v>42135</v>
      </c>
      <c r="AU924" s="298"/>
      <c r="BF924" s="282">
        <v>-2.5145130157470703</v>
      </c>
      <c r="BG924" s="283">
        <v>42235</v>
      </c>
      <c r="BL924" s="296">
        <v>62.729938507080078</v>
      </c>
      <c r="BM924" s="283">
        <v>42235</v>
      </c>
      <c r="BP924" s="282">
        <v>3.3511090278625488</v>
      </c>
      <c r="BQ924" s="283">
        <v>42235</v>
      </c>
      <c r="BR924" s="282">
        <v>46.827838897705078</v>
      </c>
      <c r="BS924" s="283">
        <v>42235</v>
      </c>
      <c r="BT924" s="282">
        <v>20.834108352661133</v>
      </c>
      <c r="BU924" s="283">
        <v>42235</v>
      </c>
      <c r="BV924" s="282">
        <v>16.073301315307617</v>
      </c>
      <c r="BW924" s="283">
        <v>42235</v>
      </c>
      <c r="BX924" s="282">
        <v>5.8305740356445313</v>
      </c>
      <c r="BY924" s="283">
        <v>42235</v>
      </c>
      <c r="CB924" s="267">
        <v>3.66</v>
      </c>
      <c r="CD924" s="282">
        <v>4.7619047619047592</v>
      </c>
      <c r="CE924" s="291" t="s">
        <v>8400</v>
      </c>
      <c r="CH924" s="136">
        <v>3</v>
      </c>
      <c r="CI924" s="136">
        <v>3</v>
      </c>
      <c r="CL924" s="136">
        <v>3</v>
      </c>
      <c r="CM924" s="259">
        <v>42161</v>
      </c>
      <c r="CN924" s="137" t="s">
        <v>8406</v>
      </c>
    </row>
    <row r="925" spans="1:93">
      <c r="A925" s="258">
        <v>1532</v>
      </c>
      <c r="B925" s="235">
        <v>656</v>
      </c>
      <c r="C925" s="235" t="s">
        <v>7759</v>
      </c>
      <c r="D925" s="235" t="s">
        <v>7566</v>
      </c>
      <c r="E925" s="235" t="s">
        <v>7759</v>
      </c>
      <c r="F925" s="235" t="s">
        <v>8532</v>
      </c>
      <c r="G925" s="235" t="str">
        <f t="shared" si="496"/>
        <v>Rapsodyn</v>
      </c>
      <c r="H925" s="235" t="s">
        <v>267</v>
      </c>
      <c r="I925" s="235">
        <v>2</v>
      </c>
      <c r="J925" s="235">
        <v>9130</v>
      </c>
      <c r="K925" s="235">
        <v>72</v>
      </c>
      <c r="L925" s="235">
        <f t="shared" si="503"/>
        <v>144</v>
      </c>
      <c r="M925" s="235">
        <v>9</v>
      </c>
      <c r="N925" s="235">
        <v>7</v>
      </c>
      <c r="O925" s="248">
        <v>42048</v>
      </c>
      <c r="P925" s="136">
        <v>5.95</v>
      </c>
      <c r="Q925" s="264">
        <v>42204</v>
      </c>
      <c r="V925" s="219">
        <f t="shared" si="497"/>
        <v>17.402652493343194</v>
      </c>
      <c r="X925">
        <v>15.55</v>
      </c>
      <c r="AB925" s="220">
        <f t="shared" si="498"/>
        <v>6.8397754076609836</v>
      </c>
      <c r="AD925" s="221">
        <f t="shared" si="499"/>
        <v>79014.360917166166</v>
      </c>
      <c r="AF925" s="220">
        <f t="shared" si="500"/>
        <v>36.109562939144936</v>
      </c>
      <c r="AH925" s="220">
        <f t="shared" si="501"/>
        <v>40.490651423127304</v>
      </c>
      <c r="AJ925">
        <v>4.57</v>
      </c>
      <c r="AK925" s="285" t="s">
        <v>8402</v>
      </c>
      <c r="AL925" s="260">
        <v>155</v>
      </c>
      <c r="AN925" s="235">
        <v>79</v>
      </c>
      <c r="AO925" s="242">
        <v>42083</v>
      </c>
      <c r="AP925" s="235">
        <v>106</v>
      </c>
      <c r="AQ925" s="242">
        <v>42110</v>
      </c>
      <c r="AR925" s="136">
        <v>132</v>
      </c>
      <c r="AS925" s="297">
        <f t="shared" si="502"/>
        <v>132</v>
      </c>
      <c r="AT925" s="290">
        <v>42136</v>
      </c>
      <c r="AU925" s="298"/>
      <c r="BF925" s="282">
        <v>-2.188870906829834</v>
      </c>
      <c r="BG925" s="283">
        <v>42234</v>
      </c>
      <c r="BL925" s="296">
        <v>63.913581848144531</v>
      </c>
      <c r="BM925" s="283">
        <v>42234</v>
      </c>
      <c r="BP925" s="282">
        <v>3.5852959156036377</v>
      </c>
      <c r="BQ925" s="283">
        <v>42234</v>
      </c>
      <c r="BR925" s="282">
        <v>48.194026947021484</v>
      </c>
      <c r="BS925" s="283">
        <v>42234</v>
      </c>
      <c r="BT925" s="282">
        <v>18.941728591918945</v>
      </c>
      <c r="BU925" s="283">
        <v>42234</v>
      </c>
      <c r="BV925" s="282">
        <v>17.509763717651367</v>
      </c>
      <c r="BW925" s="283">
        <v>42234</v>
      </c>
      <c r="BX925" s="282">
        <v>5.7398300170898437</v>
      </c>
      <c r="BY925" s="283">
        <v>42234</v>
      </c>
      <c r="CB925" s="267">
        <v>3.09</v>
      </c>
      <c r="CD925" s="282">
        <v>3.7037037037037068</v>
      </c>
      <c r="CE925" s="291" t="s">
        <v>8402</v>
      </c>
      <c r="CH925" s="136">
        <v>2</v>
      </c>
      <c r="CI925" s="136">
        <v>3</v>
      </c>
      <c r="CL925" s="136">
        <v>3</v>
      </c>
      <c r="CM925" s="259">
        <v>42161</v>
      </c>
      <c r="CN925" s="137" t="s">
        <v>8406</v>
      </c>
    </row>
    <row r="926" spans="1:93">
      <c r="A926" s="258">
        <v>1533</v>
      </c>
      <c r="B926" s="235">
        <v>657</v>
      </c>
      <c r="C926" s="235" t="s">
        <v>7576</v>
      </c>
      <c r="D926" s="235"/>
      <c r="E926" s="235"/>
      <c r="F926" s="235"/>
      <c r="G926" s="235"/>
      <c r="H926" s="235" t="s">
        <v>267</v>
      </c>
      <c r="I926" s="235">
        <v>2</v>
      </c>
      <c r="K926" s="235">
        <v>73</v>
      </c>
      <c r="L926" s="235">
        <f t="shared" si="503"/>
        <v>145</v>
      </c>
      <c r="M926" s="235">
        <v>9</v>
      </c>
      <c r="O926" s="248">
        <v>42048</v>
      </c>
      <c r="V926" s="219"/>
      <c r="X926">
        <v>15.55</v>
      </c>
      <c r="AB926" s="220"/>
      <c r="AD926" s="221"/>
      <c r="AF926" s="220"/>
      <c r="AH926" s="220"/>
      <c r="AJ926" s="286"/>
      <c r="AK926" s="285"/>
      <c r="AL926" s="260"/>
      <c r="AN926" s="235">
        <v>70</v>
      </c>
      <c r="AO926" s="242">
        <v>42074</v>
      </c>
      <c r="AP926" s="235">
        <v>106</v>
      </c>
      <c r="AQ926" s="242">
        <v>42110</v>
      </c>
      <c r="AS926" s="297"/>
      <c r="AT926" s="290"/>
      <c r="AU926" s="298"/>
      <c r="BF926" s="282"/>
      <c r="BG926" s="235"/>
      <c r="BL926" s="296"/>
      <c r="BM926" s="235"/>
      <c r="BP926" s="282"/>
      <c r="BQ926" s="235"/>
      <c r="BR926" s="282"/>
      <c r="BS926" s="235"/>
      <c r="BT926" s="282"/>
      <c r="BU926" s="235"/>
      <c r="BV926" s="282"/>
      <c r="BW926" s="235"/>
      <c r="BX926" s="282"/>
      <c r="BY926" s="235"/>
      <c r="CB926" s="267"/>
      <c r="CD926" s="282"/>
      <c r="CE926" s="291"/>
      <c r="CL926" s="136">
        <v>3</v>
      </c>
      <c r="CM926" s="259">
        <v>42161</v>
      </c>
    </row>
    <row r="927" spans="1:93">
      <c r="A927" s="258">
        <v>1534</v>
      </c>
      <c r="B927" s="235">
        <v>658</v>
      </c>
      <c r="C927" s="235" t="s">
        <v>7576</v>
      </c>
      <c r="D927" s="235"/>
      <c r="E927" s="235"/>
      <c r="F927" s="235"/>
      <c r="G927" s="235"/>
      <c r="H927" s="235" t="s">
        <v>267</v>
      </c>
      <c r="I927" s="235">
        <v>2</v>
      </c>
      <c r="K927" s="235">
        <v>73</v>
      </c>
      <c r="L927" s="235">
        <f t="shared" si="503"/>
        <v>145</v>
      </c>
      <c r="M927" s="235">
        <v>10</v>
      </c>
      <c r="O927" s="248">
        <v>42048</v>
      </c>
      <c r="V927" s="219"/>
      <c r="X927">
        <v>15.55</v>
      </c>
      <c r="AB927" s="220"/>
      <c r="AD927" s="221"/>
      <c r="AF927" s="220"/>
      <c r="AH927" s="220"/>
      <c r="AJ927" s="286"/>
      <c r="AK927" s="285"/>
      <c r="AL927" s="260"/>
      <c r="AN927" s="235">
        <v>70</v>
      </c>
      <c r="AO927" s="242">
        <v>42074</v>
      </c>
      <c r="AP927" s="235">
        <v>106</v>
      </c>
      <c r="AQ927" s="242">
        <v>42110</v>
      </c>
      <c r="AS927" s="297"/>
      <c r="AT927" s="290"/>
      <c r="AU927" s="298"/>
      <c r="BF927" s="282"/>
      <c r="BG927" s="235"/>
      <c r="BL927" s="296"/>
      <c r="BM927" s="235"/>
      <c r="BP927" s="282"/>
      <c r="BQ927" s="235"/>
      <c r="BR927" s="282"/>
      <c r="BS927" s="235"/>
      <c r="BT927" s="282"/>
      <c r="BU927" s="235"/>
      <c r="BV927" s="282"/>
      <c r="BW927" s="235"/>
      <c r="BX927" s="282"/>
      <c r="BY927" s="235"/>
      <c r="CB927" s="267"/>
      <c r="CD927" s="282"/>
      <c r="CE927" s="291"/>
      <c r="CL927" s="136">
        <v>3</v>
      </c>
      <c r="CM927" s="259">
        <v>42161</v>
      </c>
    </row>
    <row r="928" spans="1:93">
      <c r="A928" s="258">
        <v>1535</v>
      </c>
      <c r="B928" s="235">
        <v>659</v>
      </c>
      <c r="C928" s="235" t="s">
        <v>7802</v>
      </c>
      <c r="D928" s="235" t="s">
        <v>7847</v>
      </c>
      <c r="E928" s="235" t="s">
        <v>7802</v>
      </c>
      <c r="F928" s="235" t="s">
        <v>8531</v>
      </c>
      <c r="G928" s="235" t="str">
        <f t="shared" ref="G928:G937" si="504">IF(MID(C928,1,3)="BGA","Complement","Rapsodyn")</f>
        <v>Rapsodyn</v>
      </c>
      <c r="H928" s="235" t="s">
        <v>267</v>
      </c>
      <c r="I928" s="235">
        <v>2</v>
      </c>
      <c r="J928" s="235">
        <v>9173</v>
      </c>
      <c r="K928" s="235">
        <v>72</v>
      </c>
      <c r="L928" s="235">
        <f t="shared" si="503"/>
        <v>144</v>
      </c>
      <c r="M928" s="235">
        <v>10</v>
      </c>
      <c r="N928" s="235">
        <v>7</v>
      </c>
      <c r="O928" s="248">
        <v>42048</v>
      </c>
      <c r="P928" s="136">
        <v>6.49</v>
      </c>
      <c r="Q928" s="264">
        <v>42204</v>
      </c>
      <c r="V928" s="219">
        <f t="shared" ref="V928:V937" si="505">+BR928*AF928/100</f>
        <v>18.896833362313586</v>
      </c>
      <c r="X928">
        <v>15.55</v>
      </c>
      <c r="AB928" s="220">
        <f t="shared" ref="AB928:AB937" si="506">+AF928*BT928/100</f>
        <v>7.1641509772624747</v>
      </c>
      <c r="AD928" s="221">
        <f t="shared" ref="AD928:AD937" si="507">+(AF928/AJ928)*10000</f>
        <v>76530.279197383861</v>
      </c>
      <c r="AF928" s="220">
        <f t="shared" ref="AF928:AF937" si="508">($P928/$X928)*(((100-$CD928)/100*(100-2)/100))*100</f>
        <v>38.953912111468384</v>
      </c>
      <c r="AH928" s="220">
        <f t="shared" ref="AH928:AH937" si="509">($P928/$X928)*(((100-$CD928)/(100-9)*(100-2)/(100-2))*100)</f>
        <v>43.680098801825949</v>
      </c>
      <c r="AJ928">
        <v>5.09</v>
      </c>
      <c r="AK928" s="285" t="s">
        <v>8400</v>
      </c>
      <c r="AL928" s="260">
        <v>170</v>
      </c>
      <c r="AN928" s="235">
        <v>70</v>
      </c>
      <c r="AO928" s="242">
        <v>42074</v>
      </c>
      <c r="AP928" s="235">
        <v>106</v>
      </c>
      <c r="AQ928" s="242">
        <v>42110</v>
      </c>
      <c r="AR928" s="136">
        <v>129</v>
      </c>
      <c r="AS928" s="297">
        <f t="shared" ref="AS928:AS937" si="510">IF(AR928=0,,AR928)</f>
        <v>129</v>
      </c>
      <c r="AT928" s="290">
        <v>42133</v>
      </c>
      <c r="AU928" s="298"/>
      <c r="BF928" s="282">
        <v>-8.2344303131103516</v>
      </c>
      <c r="BG928" s="283">
        <v>42235</v>
      </c>
      <c r="BL928" s="296">
        <v>64.974021911621094</v>
      </c>
      <c r="BM928" s="283">
        <v>42235</v>
      </c>
      <c r="BP928" s="282">
        <v>3.6852860450744629</v>
      </c>
      <c r="BQ928" s="283">
        <v>42235</v>
      </c>
      <c r="BR928" s="282">
        <v>48.510746002197266</v>
      </c>
      <c r="BS928" s="283">
        <v>42235</v>
      </c>
      <c r="BT928" s="282">
        <v>18.391351699829102</v>
      </c>
      <c r="BU928" s="283">
        <v>42235</v>
      </c>
      <c r="BV928" s="282">
        <v>13.375467300415039</v>
      </c>
      <c r="BW928" s="283">
        <v>42235</v>
      </c>
      <c r="BX928" s="282">
        <v>5.7693634033203125</v>
      </c>
      <c r="BY928" s="283">
        <v>42235</v>
      </c>
      <c r="CB928" s="267">
        <v>3.93</v>
      </c>
      <c r="CD928" s="282">
        <v>4.7619047619047592</v>
      </c>
      <c r="CE928" s="291" t="s">
        <v>8400</v>
      </c>
      <c r="CH928" s="136">
        <v>2</v>
      </c>
      <c r="CI928" s="136">
        <v>2</v>
      </c>
      <c r="CL928" s="136">
        <v>2</v>
      </c>
      <c r="CM928" s="259">
        <v>42161</v>
      </c>
      <c r="CN928" s="137" t="s">
        <v>8406</v>
      </c>
    </row>
    <row r="929" spans="1:93">
      <c r="A929" s="258">
        <v>1538</v>
      </c>
      <c r="B929" s="235">
        <v>662</v>
      </c>
      <c r="C929" s="235" t="s">
        <v>7728</v>
      </c>
      <c r="D929" s="235" t="s">
        <v>7551</v>
      </c>
      <c r="E929" s="235" t="s">
        <v>7728</v>
      </c>
      <c r="F929" s="235" t="s">
        <v>8530</v>
      </c>
      <c r="G929" s="235" t="str">
        <f t="shared" si="504"/>
        <v>Rapsodyn</v>
      </c>
      <c r="H929" s="235" t="s">
        <v>267</v>
      </c>
      <c r="I929" s="235">
        <v>2</v>
      </c>
      <c r="J929" s="235">
        <v>9110</v>
      </c>
      <c r="K929" s="235">
        <v>69</v>
      </c>
      <c r="L929" s="235">
        <f t="shared" si="503"/>
        <v>141</v>
      </c>
      <c r="M929" s="235">
        <v>10</v>
      </c>
      <c r="N929" s="236">
        <v>9</v>
      </c>
      <c r="O929" s="248">
        <v>42048</v>
      </c>
      <c r="P929" s="136">
        <v>6.71</v>
      </c>
      <c r="Q929" s="264">
        <v>42204</v>
      </c>
      <c r="V929" s="219">
        <f t="shared" si="505"/>
        <v>20.125061700958028</v>
      </c>
      <c r="X929">
        <v>15.55</v>
      </c>
      <c r="AB929" s="220">
        <f t="shared" si="506"/>
        <v>7.1555477215488681</v>
      </c>
      <c r="AD929" s="221">
        <f t="shared" si="507"/>
        <v>90809.638854892153</v>
      </c>
      <c r="AF929" s="220">
        <f t="shared" si="508"/>
        <v>40.137860373862331</v>
      </c>
      <c r="AH929" s="220">
        <f t="shared" si="509"/>
        <v>45.007692726914478</v>
      </c>
      <c r="AJ929">
        <v>4.42</v>
      </c>
      <c r="AK929" s="285" t="s">
        <v>8403</v>
      </c>
      <c r="AL929" s="260">
        <v>160</v>
      </c>
      <c r="AN929" s="235">
        <v>70</v>
      </c>
      <c r="AO929" s="242">
        <v>42074</v>
      </c>
      <c r="AP929" s="235">
        <v>104</v>
      </c>
      <c r="AQ929" s="242">
        <v>42108</v>
      </c>
      <c r="AR929" s="136">
        <v>127</v>
      </c>
      <c r="AS929" s="297">
        <f t="shared" si="510"/>
        <v>127</v>
      </c>
      <c r="AT929" s="290">
        <v>42131</v>
      </c>
      <c r="AU929" s="298"/>
      <c r="BF929" s="282">
        <v>-3.7647109031677246</v>
      </c>
      <c r="BG929" s="283">
        <v>42235</v>
      </c>
      <c r="BL929" s="296">
        <v>63.573471069335937</v>
      </c>
      <c r="BM929" s="283">
        <v>42235</v>
      </c>
      <c r="BP929" s="282">
        <v>3.4022300243377686</v>
      </c>
      <c r="BQ929" s="283">
        <v>42235</v>
      </c>
      <c r="BR929" s="282">
        <v>50.139846801757813</v>
      </c>
      <c r="BS929" s="283">
        <v>42235</v>
      </c>
      <c r="BT929" s="282">
        <v>17.827426910400391</v>
      </c>
      <c r="BU929" s="283">
        <v>42235</v>
      </c>
      <c r="BV929" s="282">
        <v>15.824389457702637</v>
      </c>
      <c r="BW929" s="283">
        <v>42235</v>
      </c>
      <c r="BX929" s="282">
        <v>5.10101318359375</v>
      </c>
      <c r="BY929" s="283">
        <v>42235</v>
      </c>
      <c r="CB929" s="267">
        <v>2.62</v>
      </c>
      <c r="CD929" s="282">
        <v>5.0847457627118757</v>
      </c>
      <c r="CE929" s="291" t="s">
        <v>8403</v>
      </c>
      <c r="CH929" s="136">
        <v>3</v>
      </c>
      <c r="CI929" s="136">
        <v>3</v>
      </c>
      <c r="CL929" s="136">
        <v>4</v>
      </c>
      <c r="CM929" s="259">
        <v>42161</v>
      </c>
      <c r="CN929" s="137" t="s">
        <v>8406</v>
      </c>
    </row>
    <row r="930" spans="1:93">
      <c r="A930" s="258">
        <v>1540</v>
      </c>
      <c r="B930" s="235">
        <v>664</v>
      </c>
      <c r="C930" s="235" t="s">
        <v>7615</v>
      </c>
      <c r="D930" s="235" t="s">
        <v>7452</v>
      </c>
      <c r="E930" s="235" t="s">
        <v>7615</v>
      </c>
      <c r="F930" s="235" t="s">
        <v>8529</v>
      </c>
      <c r="G930" s="235" t="str">
        <f t="shared" si="504"/>
        <v>Rapsodyn</v>
      </c>
      <c r="H930" s="235" t="s">
        <v>267</v>
      </c>
      <c r="I930" s="235">
        <v>2</v>
      </c>
      <c r="J930" s="235">
        <v>9008</v>
      </c>
      <c r="K930" s="235">
        <v>67</v>
      </c>
      <c r="L930" s="235">
        <f t="shared" si="503"/>
        <v>139</v>
      </c>
      <c r="M930" s="235">
        <v>10</v>
      </c>
      <c r="N930" s="235">
        <v>7</v>
      </c>
      <c r="O930" s="248">
        <v>42048</v>
      </c>
      <c r="P930" s="136">
        <v>4.7300000000000004</v>
      </c>
      <c r="Q930" s="264">
        <v>42204</v>
      </c>
      <c r="V930" s="219">
        <f t="shared" si="505"/>
        <v>14.100593706185345</v>
      </c>
      <c r="X930">
        <v>15.55</v>
      </c>
      <c r="AB930" s="220">
        <f t="shared" si="506"/>
        <v>5.5794703105161663</v>
      </c>
      <c r="AD930" s="221">
        <f t="shared" si="507"/>
        <v>69689.412746349044</v>
      </c>
      <c r="AF930" s="220">
        <f t="shared" si="508"/>
        <v>28.29390157501771</v>
      </c>
      <c r="AH930" s="220">
        <f t="shared" si="509"/>
        <v>31.726734217333156</v>
      </c>
      <c r="AJ930">
        <v>4.0599999999999996</v>
      </c>
      <c r="AK930" s="285" t="s">
        <v>8403</v>
      </c>
      <c r="AL930" s="260">
        <v>185</v>
      </c>
      <c r="AN930" s="235">
        <v>72</v>
      </c>
      <c r="AO930" s="242">
        <v>42076</v>
      </c>
      <c r="AP930" s="235">
        <v>113</v>
      </c>
      <c r="AQ930" s="242">
        <v>42117</v>
      </c>
      <c r="AR930" s="136">
        <v>141</v>
      </c>
      <c r="AS930" s="297">
        <f t="shared" si="510"/>
        <v>141</v>
      </c>
      <c r="AT930" s="290">
        <v>42145</v>
      </c>
      <c r="AU930" s="298"/>
      <c r="BF930" s="282">
        <v>48.003238677978516</v>
      </c>
      <c r="BG930" s="283">
        <v>42235</v>
      </c>
      <c r="BL930" s="296">
        <v>62.205703735351562</v>
      </c>
      <c r="BM930" s="283">
        <v>42235</v>
      </c>
      <c r="BP930" s="282">
        <v>3.2616629600524902</v>
      </c>
      <c r="BQ930" s="283">
        <v>42235</v>
      </c>
      <c r="BR930" s="282">
        <v>49.836158752441406</v>
      </c>
      <c r="BS930" s="283">
        <v>42235</v>
      </c>
      <c r="BT930" s="282">
        <v>19.719692230224609</v>
      </c>
      <c r="BU930" s="283">
        <v>42235</v>
      </c>
      <c r="BV930" s="282">
        <v>62.167633056640625</v>
      </c>
      <c r="BW930" s="283">
        <v>42235</v>
      </c>
      <c r="BX930" s="282">
        <v>5.4526519775390625</v>
      </c>
      <c r="BY930" s="283">
        <v>42235</v>
      </c>
      <c r="CB930" s="267">
        <v>4.0599999999999996</v>
      </c>
      <c r="CD930" s="282">
        <v>5.0847457627118757</v>
      </c>
      <c r="CE930" s="291" t="s">
        <v>8403</v>
      </c>
      <c r="CH930" s="136">
        <v>2</v>
      </c>
      <c r="CI930" s="136">
        <v>2</v>
      </c>
      <c r="CL930" s="136">
        <v>4</v>
      </c>
      <c r="CM930" s="259">
        <v>42161</v>
      </c>
      <c r="CN930" s="137" t="s">
        <v>8406</v>
      </c>
    </row>
    <row r="931" spans="1:93">
      <c r="A931" s="258">
        <v>1544</v>
      </c>
      <c r="B931" s="235">
        <v>668</v>
      </c>
      <c r="C931" s="235" t="s">
        <v>7672</v>
      </c>
      <c r="D931" s="235" t="s">
        <v>7501</v>
      </c>
      <c r="E931" s="235" t="s">
        <v>7672</v>
      </c>
      <c r="F931" s="235" t="s">
        <v>8528</v>
      </c>
      <c r="G931" s="235" t="str">
        <f t="shared" si="504"/>
        <v>Rapsodyn</v>
      </c>
      <c r="H931" s="235" t="s">
        <v>267</v>
      </c>
      <c r="I931" s="235">
        <v>2</v>
      </c>
      <c r="J931" s="235">
        <v>9054</v>
      </c>
      <c r="K931" s="235">
        <v>63</v>
      </c>
      <c r="L931" s="235">
        <f t="shared" si="503"/>
        <v>135</v>
      </c>
      <c r="M931" s="235">
        <v>10</v>
      </c>
      <c r="N931" s="235">
        <v>7</v>
      </c>
      <c r="O931" s="248">
        <v>42048</v>
      </c>
      <c r="P931" s="136">
        <v>5.1100000000000003</v>
      </c>
      <c r="Q931" s="264">
        <v>42204</v>
      </c>
      <c r="V931" s="219">
        <f t="shared" si="505"/>
        <v>14.356497626870699</v>
      </c>
      <c r="X931">
        <v>15.55</v>
      </c>
      <c r="AB931" s="220">
        <f t="shared" si="506"/>
        <v>5.5131704825590031</v>
      </c>
      <c r="AD931" s="221">
        <f t="shared" si="507"/>
        <v>57098.195097986063</v>
      </c>
      <c r="AF931" s="220">
        <f t="shared" si="508"/>
        <v>29.862356036246712</v>
      </c>
      <c r="AH931" s="220">
        <f t="shared" si="509"/>
        <v>33.485485575517728</v>
      </c>
      <c r="AJ931">
        <v>5.23</v>
      </c>
      <c r="AK931" s="285" t="s">
        <v>8401</v>
      </c>
      <c r="AL931" s="260">
        <v>180</v>
      </c>
      <c r="AN931" s="235">
        <v>70</v>
      </c>
      <c r="AO931" s="242">
        <v>42074</v>
      </c>
      <c r="AP931" s="235">
        <v>106</v>
      </c>
      <c r="AQ931" s="242">
        <v>42110</v>
      </c>
      <c r="AR931" s="136">
        <v>132</v>
      </c>
      <c r="AS931" s="297">
        <f t="shared" si="510"/>
        <v>132</v>
      </c>
      <c r="AT931" s="290">
        <v>42136</v>
      </c>
      <c r="AU931" s="298"/>
      <c r="BF931" s="282">
        <v>-0.26994898915290833</v>
      </c>
      <c r="BG931" s="283">
        <v>42234</v>
      </c>
      <c r="BL931" s="296">
        <v>61.834297180175781</v>
      </c>
      <c r="BM931" s="283">
        <v>42234</v>
      </c>
      <c r="BP931" s="282">
        <v>3.1824710369110107</v>
      </c>
      <c r="BQ931" s="283">
        <v>42234</v>
      </c>
      <c r="BR931" s="282">
        <v>48.075569152832031</v>
      </c>
      <c r="BS931" s="283">
        <v>42234</v>
      </c>
      <c r="BT931" s="282">
        <v>18.461940765380859</v>
      </c>
      <c r="BU931" s="283">
        <v>42234</v>
      </c>
      <c r="BV931" s="282">
        <v>17.173393249511719</v>
      </c>
      <c r="BW931" s="283">
        <v>42234</v>
      </c>
      <c r="BX931" s="282">
        <v>5.4581527709960938</v>
      </c>
      <c r="BY931" s="283">
        <v>42234</v>
      </c>
      <c r="CB931" s="267">
        <v>4.49</v>
      </c>
      <c r="CD931" s="282">
        <v>7.2727272727272796</v>
      </c>
      <c r="CE931" s="291" t="s">
        <v>8401</v>
      </c>
      <c r="CH931" s="136">
        <v>2</v>
      </c>
      <c r="CI931" s="136">
        <v>2</v>
      </c>
      <c r="CL931" s="136">
        <v>2</v>
      </c>
      <c r="CM931" s="259">
        <v>42161</v>
      </c>
      <c r="CN931" s="137" t="s">
        <v>8406</v>
      </c>
    </row>
    <row r="932" spans="1:93">
      <c r="A932" s="258">
        <v>1545</v>
      </c>
      <c r="B932" s="235">
        <v>669</v>
      </c>
      <c r="C932" s="235" t="s">
        <v>7647</v>
      </c>
      <c r="D932" s="235" t="s">
        <v>7479</v>
      </c>
      <c r="E932" s="235" t="s">
        <v>7647</v>
      </c>
      <c r="F932" s="235" t="s">
        <v>8527</v>
      </c>
      <c r="G932" s="235" t="str">
        <f t="shared" si="504"/>
        <v>Rapsodyn</v>
      </c>
      <c r="H932" s="235" t="s">
        <v>267</v>
      </c>
      <c r="I932" s="235">
        <v>2</v>
      </c>
      <c r="J932" s="235">
        <v>9033</v>
      </c>
      <c r="K932" s="235">
        <v>62</v>
      </c>
      <c r="L932" s="235">
        <f t="shared" si="503"/>
        <v>134</v>
      </c>
      <c r="M932" s="235">
        <v>10</v>
      </c>
      <c r="N932" s="235">
        <v>7</v>
      </c>
      <c r="O932" s="248">
        <v>42048</v>
      </c>
      <c r="P932" s="136">
        <v>4.47</v>
      </c>
      <c r="Q932" s="264">
        <v>42204</v>
      </c>
      <c r="V932" s="219">
        <f t="shared" si="505"/>
        <v>12.294496402139032</v>
      </c>
      <c r="X932">
        <v>15.55</v>
      </c>
      <c r="AB932" s="220">
        <f t="shared" si="506"/>
        <v>5.441288303728876</v>
      </c>
      <c r="AD932" s="221">
        <f t="shared" si="507"/>
        <v>67870.598178921864</v>
      </c>
      <c r="AF932" s="220">
        <f t="shared" si="508"/>
        <v>27.216109869747669</v>
      </c>
      <c r="AH932" s="220">
        <f t="shared" si="509"/>
        <v>30.518176575182409</v>
      </c>
      <c r="AJ932">
        <v>4.01</v>
      </c>
      <c r="AK932" s="285" t="s">
        <v>8401</v>
      </c>
      <c r="AL932" s="260">
        <v>175</v>
      </c>
      <c r="AN932" s="235">
        <v>72</v>
      </c>
      <c r="AO932" s="242">
        <v>42076</v>
      </c>
      <c r="AP932" s="235">
        <v>110</v>
      </c>
      <c r="AQ932" s="242">
        <v>42114</v>
      </c>
      <c r="AR932" s="136">
        <v>141</v>
      </c>
      <c r="AS932" s="297">
        <f t="shared" si="510"/>
        <v>141</v>
      </c>
      <c r="AT932" s="290">
        <v>42145</v>
      </c>
      <c r="AU932" s="298"/>
      <c r="BF932" s="282">
        <v>-4.3807539939880371</v>
      </c>
      <c r="BG932" s="283">
        <v>42234</v>
      </c>
      <c r="BL932" s="296">
        <v>60.801044464111328</v>
      </c>
      <c r="BM932" s="283">
        <v>42234</v>
      </c>
      <c r="BP932" s="282">
        <v>3.4464950561523437</v>
      </c>
      <c r="BQ932" s="283">
        <v>42234</v>
      </c>
      <c r="BR932" s="282">
        <v>45.173599243164062</v>
      </c>
      <c r="BS932" s="283">
        <v>42234</v>
      </c>
      <c r="BT932" s="282">
        <v>19.992895126342773</v>
      </c>
      <c r="BU932" s="283">
        <v>42234</v>
      </c>
      <c r="BV932" s="282">
        <v>54.591560363769531</v>
      </c>
      <c r="BW932" s="283">
        <v>42234</v>
      </c>
      <c r="BX932" s="282">
        <v>5.6893539428710938</v>
      </c>
      <c r="BY932" s="283">
        <v>42234</v>
      </c>
      <c r="CB932" s="267">
        <v>3.06</v>
      </c>
      <c r="CD932" s="282">
        <v>3.3898305084745792</v>
      </c>
      <c r="CE932" s="291" t="s">
        <v>8401</v>
      </c>
      <c r="CH932" s="136">
        <v>3</v>
      </c>
      <c r="CI932" s="136">
        <v>4</v>
      </c>
      <c r="CL932" s="136">
        <v>6</v>
      </c>
      <c r="CM932" s="259">
        <v>42161</v>
      </c>
      <c r="CN932" s="137" t="s">
        <v>8406</v>
      </c>
    </row>
    <row r="933" spans="1:93">
      <c r="A933" s="258">
        <v>1547</v>
      </c>
      <c r="B933" s="235">
        <v>671</v>
      </c>
      <c r="C933" s="235" t="s">
        <v>7693</v>
      </c>
      <c r="D933" s="235" t="s">
        <v>7519</v>
      </c>
      <c r="E933" s="235" t="s">
        <v>7693</v>
      </c>
      <c r="F933" s="235" t="s">
        <v>8526</v>
      </c>
      <c r="G933" s="235" t="str">
        <f t="shared" si="504"/>
        <v>Rapsodyn</v>
      </c>
      <c r="H933" s="235" t="s">
        <v>267</v>
      </c>
      <c r="I933" s="235">
        <v>2</v>
      </c>
      <c r="J933" s="235">
        <v>9075</v>
      </c>
      <c r="K933" s="235">
        <v>60</v>
      </c>
      <c r="L933" s="235">
        <f t="shared" si="503"/>
        <v>132</v>
      </c>
      <c r="M933" s="235">
        <v>10</v>
      </c>
      <c r="N933" s="235">
        <v>7</v>
      </c>
      <c r="O933" s="248">
        <v>42048</v>
      </c>
      <c r="P933" s="136">
        <v>5.4</v>
      </c>
      <c r="Q933" s="264">
        <v>42204</v>
      </c>
      <c r="V933" s="219">
        <f t="shared" si="505"/>
        <v>15.453755198477745</v>
      </c>
      <c r="X933">
        <v>15.55</v>
      </c>
      <c r="AB933" s="220">
        <f t="shared" si="506"/>
        <v>6.5530847030675172</v>
      </c>
      <c r="AD933" s="221">
        <f t="shared" si="507"/>
        <v>78140.122265424594</v>
      </c>
      <c r="AF933" s="220">
        <f t="shared" si="508"/>
        <v>32.271870495620355</v>
      </c>
      <c r="AH933" s="220">
        <f t="shared" si="509"/>
        <v>36.187340766562421</v>
      </c>
      <c r="AJ933">
        <v>4.13</v>
      </c>
      <c r="AK933" s="285" t="s">
        <v>8399</v>
      </c>
      <c r="AL933" s="260">
        <v>140</v>
      </c>
      <c r="AN933" s="235">
        <v>79</v>
      </c>
      <c r="AO933" s="242">
        <v>42083</v>
      </c>
      <c r="AP933" s="235">
        <v>104</v>
      </c>
      <c r="AQ933" s="242">
        <v>42108</v>
      </c>
      <c r="AR933" s="136">
        <v>132</v>
      </c>
      <c r="AS933" s="297">
        <f t="shared" si="510"/>
        <v>132</v>
      </c>
      <c r="AT933" s="290">
        <v>42136</v>
      </c>
      <c r="AU933" s="298"/>
      <c r="BF933" s="282">
        <v>-2.4195120334625244</v>
      </c>
      <c r="BG933" s="283">
        <v>42234</v>
      </c>
      <c r="BL933" s="296">
        <v>62.251106262207031</v>
      </c>
      <c r="BM933" s="283">
        <v>42234</v>
      </c>
      <c r="BP933" s="282">
        <v>3.4610209465026855</v>
      </c>
      <c r="BQ933" s="283">
        <v>42234</v>
      </c>
      <c r="BR933" s="282">
        <v>47.886146545410156</v>
      </c>
      <c r="BS933" s="283">
        <v>42234</v>
      </c>
      <c r="BT933" s="282">
        <v>20.305871963500977</v>
      </c>
      <c r="BU933" s="283">
        <v>42234</v>
      </c>
      <c r="BV933" s="282">
        <v>17.739612579345703</v>
      </c>
      <c r="BW933" s="283">
        <v>42234</v>
      </c>
      <c r="BX933" s="282">
        <v>5.6326065063476562</v>
      </c>
      <c r="BY933" s="283">
        <v>42234</v>
      </c>
      <c r="CB933" s="267">
        <v>3.54</v>
      </c>
      <c r="CD933" s="282">
        <v>5.1724137931034457</v>
      </c>
      <c r="CE933" s="291" t="s">
        <v>8399</v>
      </c>
      <c r="CH933" s="136">
        <v>1</v>
      </c>
      <c r="CI933" s="136">
        <v>2</v>
      </c>
      <c r="CL933" s="136">
        <v>2</v>
      </c>
      <c r="CM933" s="259">
        <v>42161</v>
      </c>
      <c r="CN933" s="137" t="s">
        <v>8406</v>
      </c>
    </row>
    <row r="934" spans="1:93">
      <c r="A934" s="258">
        <v>1548</v>
      </c>
      <c r="B934" s="235">
        <v>672</v>
      </c>
      <c r="C934" s="235" t="s">
        <v>7727</v>
      </c>
      <c r="D934" s="235" t="s">
        <v>7550</v>
      </c>
      <c r="E934" s="235" t="s">
        <v>7727</v>
      </c>
      <c r="F934" s="235" t="s">
        <v>8525</v>
      </c>
      <c r="G934" s="235" t="str">
        <f t="shared" si="504"/>
        <v>Rapsodyn</v>
      </c>
      <c r="H934" s="235" t="s">
        <v>267</v>
      </c>
      <c r="I934" s="235">
        <v>2</v>
      </c>
      <c r="J934" s="235">
        <v>9109</v>
      </c>
      <c r="K934" s="235">
        <v>59</v>
      </c>
      <c r="L934" s="235">
        <f t="shared" si="503"/>
        <v>131</v>
      </c>
      <c r="M934" s="235">
        <v>10</v>
      </c>
      <c r="N934" s="235">
        <v>5</v>
      </c>
      <c r="O934" s="248">
        <v>42048</v>
      </c>
      <c r="P934" s="136">
        <v>5.2</v>
      </c>
      <c r="Q934" s="264">
        <v>42204</v>
      </c>
      <c r="V934" s="219">
        <f t="shared" si="505"/>
        <v>14.529745347492183</v>
      </c>
      <c r="X934">
        <v>15.55</v>
      </c>
      <c r="AB934" s="220">
        <f t="shared" si="506"/>
        <v>5.9141686938123312</v>
      </c>
      <c r="AD934" s="221">
        <f t="shared" si="507"/>
        <v>81052.56939345604</v>
      </c>
      <c r="AF934" s="220">
        <f t="shared" si="508"/>
        <v>30.881028938906756</v>
      </c>
      <c r="AH934" s="220">
        <f t="shared" si="509"/>
        <v>34.627751669552318</v>
      </c>
      <c r="AJ934">
        <v>3.81</v>
      </c>
      <c r="AK934" s="285" t="s">
        <v>8399</v>
      </c>
      <c r="AL934" s="260">
        <v>170</v>
      </c>
      <c r="AN934" s="235">
        <v>72</v>
      </c>
      <c r="AO934" s="242">
        <v>42076</v>
      </c>
      <c r="AP934" s="235">
        <v>110</v>
      </c>
      <c r="AQ934" s="242">
        <v>42114</v>
      </c>
      <c r="AR934" s="136">
        <v>134</v>
      </c>
      <c r="AS934" s="297">
        <f t="shared" si="510"/>
        <v>134</v>
      </c>
      <c r="AT934" s="290">
        <v>42138</v>
      </c>
      <c r="AU934" s="298"/>
      <c r="BF934" s="282">
        <v>-4.5907039642333984</v>
      </c>
      <c r="BG934" s="283">
        <v>42234</v>
      </c>
      <c r="BL934" s="296">
        <v>60.322769165039062</v>
      </c>
      <c r="BM934" s="283">
        <v>42234</v>
      </c>
      <c r="BP934" s="282">
        <v>3.6096959114074707</v>
      </c>
      <c r="BQ934" s="283">
        <v>42234</v>
      </c>
      <c r="BR934" s="282">
        <v>47.050716400146484</v>
      </c>
      <c r="BS934" s="283">
        <v>42234</v>
      </c>
      <c r="BT934" s="282">
        <v>19.151462554931641</v>
      </c>
      <c r="BU934" s="283">
        <v>42234</v>
      </c>
      <c r="BV934" s="282">
        <v>13.026359558105469</v>
      </c>
      <c r="BW934" s="283">
        <v>42234</v>
      </c>
      <c r="BX934" s="282">
        <v>5.4309921264648437</v>
      </c>
      <c r="BY934" s="283">
        <v>42234</v>
      </c>
      <c r="CB934" s="267">
        <v>3.48</v>
      </c>
      <c r="CD934" s="282">
        <v>5.7692307692307656</v>
      </c>
      <c r="CE934" s="291" t="s">
        <v>8399</v>
      </c>
      <c r="CH934" s="136">
        <v>3</v>
      </c>
      <c r="CI934" s="136">
        <v>6</v>
      </c>
      <c r="CL934" s="136">
        <v>3</v>
      </c>
      <c r="CM934" s="259">
        <v>42161</v>
      </c>
      <c r="CN934" s="137" t="s">
        <v>8406</v>
      </c>
    </row>
    <row r="935" spans="1:93">
      <c r="A935" s="258">
        <v>1550</v>
      </c>
      <c r="B935" s="235">
        <v>674</v>
      </c>
      <c r="C935" s="235" t="s">
        <v>7783</v>
      </c>
      <c r="D935" s="235" t="s">
        <v>7581</v>
      </c>
      <c r="E935" s="235" t="s">
        <v>7783</v>
      </c>
      <c r="F935" s="235" t="s">
        <v>8524</v>
      </c>
      <c r="G935" s="235" t="str">
        <f t="shared" si="504"/>
        <v>Rapsodyn</v>
      </c>
      <c r="H935" s="235" t="s">
        <v>267</v>
      </c>
      <c r="I935" s="235">
        <v>2</v>
      </c>
      <c r="J935" s="235">
        <v>9154</v>
      </c>
      <c r="K935" s="235">
        <v>57</v>
      </c>
      <c r="L935" s="235">
        <f t="shared" si="503"/>
        <v>129</v>
      </c>
      <c r="M935" s="235">
        <v>10</v>
      </c>
      <c r="N935" s="235">
        <v>7</v>
      </c>
      <c r="O935" s="248">
        <v>42048</v>
      </c>
      <c r="P935" s="136">
        <v>7.08</v>
      </c>
      <c r="Q935" s="264">
        <v>42204</v>
      </c>
      <c r="V935" s="219">
        <f t="shared" si="505"/>
        <v>21.265104676015039</v>
      </c>
      <c r="X935">
        <v>15.55</v>
      </c>
      <c r="AB935" s="220">
        <f t="shared" si="506"/>
        <v>7.6322268532455197</v>
      </c>
      <c r="AD935" s="221">
        <f t="shared" si="507"/>
        <v>80326.697453645596</v>
      </c>
      <c r="AF935" s="220">
        <f t="shared" si="508"/>
        <v>43.778050112236855</v>
      </c>
      <c r="AH935" s="220">
        <f t="shared" si="509"/>
        <v>49.089538138861684</v>
      </c>
      <c r="AJ935">
        <v>5.45</v>
      </c>
      <c r="AK935" s="285" t="s">
        <v>8399</v>
      </c>
      <c r="AL935" s="260">
        <v>165</v>
      </c>
      <c r="AN935" s="235">
        <v>70</v>
      </c>
      <c r="AO935" s="242">
        <v>42074</v>
      </c>
      <c r="AP935" s="235">
        <v>106</v>
      </c>
      <c r="AQ935" s="242">
        <v>42110</v>
      </c>
      <c r="AR935" s="136">
        <v>129</v>
      </c>
      <c r="AS935" s="297">
        <f t="shared" si="510"/>
        <v>129</v>
      </c>
      <c r="AT935" s="290">
        <v>42133</v>
      </c>
      <c r="AU935" s="298"/>
      <c r="BF935" s="282">
        <v>-0.82075899839401245</v>
      </c>
      <c r="BG935" s="283">
        <v>42234</v>
      </c>
      <c r="BL935" s="296">
        <v>62.120174407958984</v>
      </c>
      <c r="BM935" s="283">
        <v>42234</v>
      </c>
      <c r="BP935" s="282">
        <v>3.489577054977417</v>
      </c>
      <c r="BQ935" s="283">
        <v>42234</v>
      </c>
      <c r="BR935" s="282">
        <v>48.574810028076172</v>
      </c>
      <c r="BS935" s="283">
        <v>42234</v>
      </c>
      <c r="BT935" s="282">
        <v>17.43391227722168</v>
      </c>
      <c r="BU935" s="283">
        <v>42234</v>
      </c>
      <c r="BV935" s="282">
        <v>16.921848297119141</v>
      </c>
      <c r="BW935" s="283">
        <v>42234</v>
      </c>
      <c r="BX935" s="282">
        <v>5.4047012329101563</v>
      </c>
      <c r="BY935" s="283">
        <v>42234</v>
      </c>
      <c r="CB935" s="267">
        <v>4.5599999999999996</v>
      </c>
      <c r="CD935" s="282">
        <v>1.886792452830182</v>
      </c>
      <c r="CE935" s="291" t="s">
        <v>8399</v>
      </c>
      <c r="CH935" s="136">
        <v>2</v>
      </c>
      <c r="CI935" s="136">
        <v>2</v>
      </c>
      <c r="CL935" s="136">
        <v>3</v>
      </c>
      <c r="CM935" s="259">
        <v>42161</v>
      </c>
      <c r="CN935" s="137" t="s">
        <v>8406</v>
      </c>
    </row>
    <row r="936" spans="1:93">
      <c r="A936" s="258">
        <v>1551</v>
      </c>
      <c r="B936" s="235">
        <v>675</v>
      </c>
      <c r="C936" s="235" t="s">
        <v>7641</v>
      </c>
      <c r="D936" s="235" t="s">
        <v>7473</v>
      </c>
      <c r="E936" s="235" t="s">
        <v>7641</v>
      </c>
      <c r="F936" s="235" t="s">
        <v>8523</v>
      </c>
      <c r="G936" s="235" t="str">
        <f t="shared" si="504"/>
        <v>Rapsodyn</v>
      </c>
      <c r="H936" s="235" t="s">
        <v>267</v>
      </c>
      <c r="I936" s="235">
        <v>2</v>
      </c>
      <c r="J936" s="235">
        <v>9029</v>
      </c>
      <c r="K936" s="235">
        <v>56</v>
      </c>
      <c r="L936" s="235">
        <f t="shared" si="503"/>
        <v>128</v>
      </c>
      <c r="M936" s="235">
        <v>10</v>
      </c>
      <c r="N936" s="236">
        <v>9</v>
      </c>
      <c r="O936" s="248">
        <v>42048</v>
      </c>
      <c r="P936" s="136">
        <v>3.96</v>
      </c>
      <c r="Q936" s="264">
        <v>42204</v>
      </c>
      <c r="V936" s="219">
        <f t="shared" si="505"/>
        <v>10.957990039337256</v>
      </c>
      <c r="X936">
        <v>15.55</v>
      </c>
      <c r="AB936" s="220">
        <f t="shared" si="506"/>
        <v>5.4202320680869729</v>
      </c>
      <c r="AD936" s="221">
        <f t="shared" si="507"/>
        <v>47907.14953690063</v>
      </c>
      <c r="AF936" s="220">
        <f t="shared" si="508"/>
        <v>24.049389067524114</v>
      </c>
      <c r="AH936" s="220">
        <f t="shared" si="509"/>
        <v>26.967244973675832</v>
      </c>
      <c r="AJ936">
        <v>5.0199999999999996</v>
      </c>
      <c r="AK936" s="285" t="s">
        <v>8399</v>
      </c>
      <c r="AL936" s="260">
        <v>165</v>
      </c>
      <c r="AN936" s="235">
        <v>75</v>
      </c>
      <c r="AO936" s="242">
        <v>42079</v>
      </c>
      <c r="AP936" s="235">
        <v>106</v>
      </c>
      <c r="AQ936" s="242">
        <v>42110</v>
      </c>
      <c r="AR936" s="136">
        <v>131</v>
      </c>
      <c r="AS936" s="297">
        <f t="shared" si="510"/>
        <v>131</v>
      </c>
      <c r="AT936" s="290">
        <v>42135</v>
      </c>
      <c r="AU936" s="298"/>
      <c r="BF936" s="282">
        <v>-4.438971996307373</v>
      </c>
      <c r="BG936" s="283">
        <v>42234</v>
      </c>
      <c r="BL936" s="296">
        <v>58.749557495117188</v>
      </c>
      <c r="BM936" s="283">
        <v>42234</v>
      </c>
      <c r="BP936" s="282">
        <v>3.7401831150054932</v>
      </c>
      <c r="BQ936" s="283">
        <v>42234</v>
      </c>
      <c r="BR936" s="282">
        <v>45.564525604248047</v>
      </c>
      <c r="BS936" s="283">
        <v>42234</v>
      </c>
      <c r="BT936" s="282">
        <v>22.537919998168945</v>
      </c>
      <c r="BU936" s="283">
        <v>42234</v>
      </c>
      <c r="BV936" s="282">
        <v>71.644287109375</v>
      </c>
      <c r="BW936" s="283">
        <v>42234</v>
      </c>
      <c r="BX936" s="282">
        <v>5.93902587890625</v>
      </c>
      <c r="BY936" s="283">
        <v>42234</v>
      </c>
      <c r="CB936" s="267">
        <v>3.43</v>
      </c>
      <c r="CD936" s="282">
        <v>3.6363636363636398</v>
      </c>
      <c r="CE936" s="291" t="s">
        <v>8399</v>
      </c>
      <c r="CH936" s="136">
        <v>2</v>
      </c>
      <c r="CI936" s="136">
        <v>4</v>
      </c>
      <c r="CL936" s="136">
        <v>4</v>
      </c>
      <c r="CM936" s="259">
        <v>42161</v>
      </c>
      <c r="CN936" s="137" t="s">
        <v>8406</v>
      </c>
    </row>
    <row r="937" spans="1:93">
      <c r="A937" s="258">
        <v>1553</v>
      </c>
      <c r="B937" s="235">
        <v>677</v>
      </c>
      <c r="C937" s="235" t="s">
        <v>7714</v>
      </c>
      <c r="D937" s="235" t="s">
        <v>7538</v>
      </c>
      <c r="E937" s="235" t="s">
        <v>7714</v>
      </c>
      <c r="F937" s="235" t="s">
        <v>8522</v>
      </c>
      <c r="G937" s="235" t="str">
        <f t="shared" si="504"/>
        <v>Rapsodyn</v>
      </c>
      <c r="H937" s="235" t="s">
        <v>267</v>
      </c>
      <c r="I937" s="235">
        <v>2</v>
      </c>
      <c r="J937" s="235">
        <v>9096</v>
      </c>
      <c r="K937" s="235">
        <v>54</v>
      </c>
      <c r="L937" s="235">
        <f t="shared" si="503"/>
        <v>126</v>
      </c>
      <c r="M937" s="235">
        <v>10</v>
      </c>
      <c r="N937" s="235">
        <v>7</v>
      </c>
      <c r="O937" s="248">
        <v>42048</v>
      </c>
      <c r="P937" s="136">
        <v>6.8</v>
      </c>
      <c r="Q937" s="264">
        <v>42204</v>
      </c>
      <c r="V937" s="219">
        <f t="shared" si="505"/>
        <v>20.265243751795726</v>
      </c>
      <c r="X937">
        <v>15.55</v>
      </c>
      <c r="AB937" s="220">
        <f t="shared" si="506"/>
        <v>7.0386521547323628</v>
      </c>
      <c r="AD937" s="221">
        <f t="shared" si="507"/>
        <v>96112.524953901957</v>
      </c>
      <c r="AF937" s="220">
        <f t="shared" si="508"/>
        <v>40.559485530546617</v>
      </c>
      <c r="AH937" s="220">
        <f t="shared" si="509"/>
        <v>45.48047267385806</v>
      </c>
      <c r="AJ937">
        <v>4.22</v>
      </c>
      <c r="AK937" s="285" t="s">
        <v>8399</v>
      </c>
      <c r="AL937" s="260">
        <v>160</v>
      </c>
      <c r="AN937" s="235">
        <v>70</v>
      </c>
      <c r="AO937" s="242">
        <v>42074</v>
      </c>
      <c r="AP937" s="235">
        <v>106</v>
      </c>
      <c r="AQ937" s="242">
        <v>42110</v>
      </c>
      <c r="AR937" s="136">
        <v>138</v>
      </c>
      <c r="AS937" s="297">
        <f t="shared" si="510"/>
        <v>138</v>
      </c>
      <c r="AT937" s="290">
        <v>42142</v>
      </c>
      <c r="AU937" s="298"/>
      <c r="BF937" s="282">
        <v>-6.7386021614074707</v>
      </c>
      <c r="BG937" s="283">
        <v>42234</v>
      </c>
      <c r="BL937" s="296">
        <v>68.568214416503906</v>
      </c>
      <c r="BM937" s="283">
        <v>42234</v>
      </c>
      <c r="BP937" s="282">
        <v>3.0472700595855713</v>
      </c>
      <c r="BQ937" s="283">
        <v>42234</v>
      </c>
      <c r="BR937" s="282">
        <v>49.964252471923828</v>
      </c>
      <c r="BS937" s="283">
        <v>42234</v>
      </c>
      <c r="BT937" s="282">
        <v>17.353899002075195</v>
      </c>
      <c r="BU937" s="283">
        <v>42234</v>
      </c>
      <c r="BV937" s="282">
        <v>15.85533618927002</v>
      </c>
      <c r="BW937" s="283">
        <v>42234</v>
      </c>
      <c r="BX937" s="282">
        <v>5.4061126708984375</v>
      </c>
      <c r="BY937" s="283">
        <v>42234</v>
      </c>
      <c r="CB937" s="267">
        <v>2.89</v>
      </c>
      <c r="CD937" s="282">
        <v>5.3571428571428541</v>
      </c>
      <c r="CE937" s="291" t="s">
        <v>8399</v>
      </c>
      <c r="CH937" s="136">
        <v>3</v>
      </c>
      <c r="CI937" s="136">
        <v>2</v>
      </c>
      <c r="CL937" s="136">
        <v>3</v>
      </c>
      <c r="CM937" s="259">
        <v>42161</v>
      </c>
      <c r="CN937" s="137" t="s">
        <v>8406</v>
      </c>
    </row>
    <row r="938" spans="1:93">
      <c r="A938" s="258">
        <v>1555</v>
      </c>
      <c r="B938" s="235">
        <v>679</v>
      </c>
      <c r="C938" s="235" t="s">
        <v>7576</v>
      </c>
      <c r="D938" s="235"/>
      <c r="E938" s="235"/>
      <c r="F938" s="235"/>
      <c r="G938" s="235"/>
      <c r="H938" s="235" t="s">
        <v>267</v>
      </c>
      <c r="I938" s="235">
        <v>2</v>
      </c>
      <c r="K938" s="235">
        <v>52</v>
      </c>
      <c r="L938" s="235">
        <f t="shared" si="503"/>
        <v>124</v>
      </c>
      <c r="M938" s="235">
        <v>10</v>
      </c>
      <c r="O938" s="248">
        <v>42048</v>
      </c>
      <c r="V938" s="219"/>
      <c r="X938">
        <v>15.55</v>
      </c>
      <c r="AB938" s="220"/>
      <c r="AD938" s="221"/>
      <c r="AF938" s="220"/>
      <c r="AH938" s="220"/>
      <c r="AJ938" s="286"/>
      <c r="AK938" s="285"/>
      <c r="AL938" s="260"/>
      <c r="AN938" s="235">
        <v>70</v>
      </c>
      <c r="AO938" s="242">
        <v>42074</v>
      </c>
      <c r="AP938" s="235">
        <v>106</v>
      </c>
      <c r="AQ938" s="242">
        <v>42110</v>
      </c>
      <c r="AS938" s="297"/>
      <c r="AT938" s="290"/>
      <c r="AU938" s="298"/>
      <c r="BF938" s="282"/>
      <c r="BG938" s="235"/>
      <c r="BL938" s="296"/>
      <c r="BM938" s="235"/>
      <c r="BP938" s="282"/>
      <c r="BQ938" s="235"/>
      <c r="BR938" s="282"/>
      <c r="BS938" s="235"/>
      <c r="BT938" s="282"/>
      <c r="BU938" s="235"/>
      <c r="BV938" s="282"/>
      <c r="BW938" s="235"/>
      <c r="BX938" s="282"/>
      <c r="BY938" s="235"/>
      <c r="CB938" s="267"/>
      <c r="CD938" s="282"/>
      <c r="CE938" s="291"/>
      <c r="CL938" s="136">
        <v>3</v>
      </c>
      <c r="CM938" s="259">
        <v>42161</v>
      </c>
    </row>
    <row r="939" spans="1:93">
      <c r="A939" s="258">
        <v>1556</v>
      </c>
      <c r="B939" s="235">
        <v>680</v>
      </c>
      <c r="C939" s="235" t="s">
        <v>7576</v>
      </c>
      <c r="D939" s="235"/>
      <c r="E939" s="235"/>
      <c r="F939" s="235"/>
      <c r="G939" s="235"/>
      <c r="H939" s="235" t="s">
        <v>267</v>
      </c>
      <c r="I939" s="235">
        <v>2</v>
      </c>
      <c r="K939" s="235">
        <v>51</v>
      </c>
      <c r="L939" s="235">
        <f t="shared" si="503"/>
        <v>123</v>
      </c>
      <c r="M939" s="235">
        <v>10</v>
      </c>
      <c r="O939" s="248">
        <v>42048</v>
      </c>
      <c r="V939" s="219"/>
      <c r="X939">
        <v>15.55</v>
      </c>
      <c r="AB939" s="220"/>
      <c r="AD939" s="221"/>
      <c r="AF939" s="220"/>
      <c r="AH939" s="220"/>
      <c r="AJ939" s="286"/>
      <c r="AK939" s="285"/>
      <c r="AL939" s="260"/>
      <c r="AN939" s="235">
        <v>70</v>
      </c>
      <c r="AO939" s="242">
        <v>42074</v>
      </c>
      <c r="AP939" s="235">
        <v>106</v>
      </c>
      <c r="AQ939" s="242">
        <v>42110</v>
      </c>
      <c r="AS939" s="297"/>
      <c r="AT939" s="290"/>
      <c r="AU939" s="298"/>
      <c r="BF939" s="282"/>
      <c r="BG939" s="235"/>
      <c r="BL939" s="296"/>
      <c r="BM939" s="235"/>
      <c r="BP939" s="282"/>
      <c r="BQ939" s="235"/>
      <c r="BR939" s="282"/>
      <c r="BS939" s="235"/>
      <c r="BT939" s="282"/>
      <c r="BU939" s="235"/>
      <c r="BV939" s="282"/>
      <c r="BW939" s="235"/>
      <c r="BX939" s="282"/>
      <c r="BY939" s="235"/>
      <c r="CB939" s="267"/>
      <c r="CD939" s="282"/>
      <c r="CE939" s="291"/>
      <c r="CL939" s="136">
        <v>3</v>
      </c>
      <c r="CM939" s="259">
        <v>42161</v>
      </c>
    </row>
    <row r="940" spans="1:93">
      <c r="A940" s="258">
        <v>1559</v>
      </c>
      <c r="B940" s="235">
        <v>683</v>
      </c>
      <c r="C940" s="235" t="s">
        <v>7800</v>
      </c>
      <c r="D940" s="235" t="s">
        <v>7598</v>
      </c>
      <c r="E940" s="235" t="s">
        <v>7800</v>
      </c>
      <c r="F940" s="235" t="s">
        <v>8521</v>
      </c>
      <c r="G940" s="235" t="str">
        <f t="shared" ref="G940:G948" si="511">IF(MID(C940,1,3)="BGA","Complement","Rapsodyn")</f>
        <v>Rapsodyn</v>
      </c>
      <c r="H940" s="235" t="s">
        <v>267</v>
      </c>
      <c r="I940" s="235">
        <v>2</v>
      </c>
      <c r="J940" s="235">
        <v>9171</v>
      </c>
      <c r="K940" s="235">
        <v>48</v>
      </c>
      <c r="L940" s="235">
        <f t="shared" si="503"/>
        <v>120</v>
      </c>
      <c r="M940" s="235">
        <v>10</v>
      </c>
      <c r="N940" s="235">
        <v>7</v>
      </c>
      <c r="O940" s="248">
        <v>42048</v>
      </c>
      <c r="P940" s="136">
        <v>7.18</v>
      </c>
      <c r="Q940" s="264">
        <v>42204</v>
      </c>
      <c r="V940" s="219">
        <f t="shared" ref="V940:V948" si="512">+BR940*AF940/100</f>
        <v>22.127800015050934</v>
      </c>
      <c r="X940">
        <v>15.55</v>
      </c>
      <c r="AB940" s="220">
        <f t="shared" ref="AB940:AB948" si="513">+AF940*BT940/100</f>
        <v>6.9524903956070103</v>
      </c>
      <c r="AD940" s="221">
        <f t="shared" ref="AD940:AD948" si="514">+(AF940/AJ940)*10000</f>
        <v>95495.469161064015</v>
      </c>
      <c r="AF940" s="220">
        <f t="shared" ref="AF940:AF948" si="515">($P940/$X940)*(((100-$CD940)/100*(100-2)/100))*100</f>
        <v>42.781970184156677</v>
      </c>
      <c r="AH940" s="220">
        <f t="shared" ref="AH940:AH948" si="516">($P940/$X940)*(((100-$CD940)/(100-9)*(100-2)/(100-2))*100)</f>
        <v>47.972606171963086</v>
      </c>
      <c r="AJ940">
        <v>4.4800000000000004</v>
      </c>
      <c r="AK940" s="285" t="s">
        <v>8399</v>
      </c>
      <c r="AL940" s="260">
        <v>175</v>
      </c>
      <c r="AN940" s="235">
        <v>65</v>
      </c>
      <c r="AO940" s="242">
        <v>42069</v>
      </c>
      <c r="AP940" s="235">
        <v>104</v>
      </c>
      <c r="AQ940" s="242">
        <v>42108</v>
      </c>
      <c r="AR940" s="136">
        <v>128</v>
      </c>
      <c r="AS940" s="297">
        <f t="shared" ref="AS940:AS948" si="517">IF(AR940=0,,AR940)</f>
        <v>128</v>
      </c>
      <c r="AT940" s="290">
        <v>42132</v>
      </c>
      <c r="AU940" s="298"/>
      <c r="BF940" s="282">
        <v>-3.8242170810699463</v>
      </c>
      <c r="BG940" s="283">
        <v>42234</v>
      </c>
      <c r="BL940" s="296">
        <v>64.5826416015625</v>
      </c>
      <c r="BM940" s="283">
        <v>42234</v>
      </c>
      <c r="BP940" s="282">
        <v>3.2489190101623535</v>
      </c>
      <c r="BQ940" s="283">
        <v>42234</v>
      </c>
      <c r="BR940" s="282">
        <v>51.722255706787109</v>
      </c>
      <c r="BS940" s="283">
        <v>42234</v>
      </c>
      <c r="BT940" s="282">
        <v>16.250982284545898</v>
      </c>
      <c r="BU940" s="283">
        <v>42234</v>
      </c>
      <c r="BV940" s="282">
        <v>8.7950344085693359</v>
      </c>
      <c r="BW940" s="283">
        <v>42234</v>
      </c>
      <c r="BX940" s="282">
        <v>5.2485504150390625</v>
      </c>
      <c r="BY940" s="283">
        <v>42234</v>
      </c>
      <c r="CB940" s="267">
        <v>3.95</v>
      </c>
      <c r="CD940" s="282">
        <v>5.4545454545454515</v>
      </c>
      <c r="CE940" s="291" t="s">
        <v>8399</v>
      </c>
      <c r="CH940" s="136">
        <v>2</v>
      </c>
      <c r="CI940" s="136">
        <v>2</v>
      </c>
      <c r="CL940" s="136">
        <v>3</v>
      </c>
      <c r="CM940" s="259">
        <v>42161</v>
      </c>
      <c r="CN940" s="137" t="s">
        <v>8406</v>
      </c>
    </row>
    <row r="941" spans="1:93">
      <c r="A941" s="258">
        <v>1562</v>
      </c>
      <c r="B941" s="235">
        <v>686</v>
      </c>
      <c r="C941" s="235" t="s">
        <v>7616</v>
      </c>
      <c r="D941" s="235" t="s">
        <v>7453</v>
      </c>
      <c r="E941" s="235" t="s">
        <v>7616</v>
      </c>
      <c r="F941" s="235" t="s">
        <v>8520</v>
      </c>
      <c r="G941" s="235" t="str">
        <f t="shared" si="511"/>
        <v>Rapsodyn</v>
      </c>
      <c r="H941" s="235" t="s">
        <v>267</v>
      </c>
      <c r="I941" s="235">
        <v>2</v>
      </c>
      <c r="J941" s="235">
        <v>9009</v>
      </c>
      <c r="K941" s="235">
        <v>45</v>
      </c>
      <c r="L941" s="235">
        <f t="shared" si="503"/>
        <v>117</v>
      </c>
      <c r="M941" s="235">
        <v>10</v>
      </c>
      <c r="N941" s="235">
        <v>7</v>
      </c>
      <c r="O941" s="248">
        <v>42048</v>
      </c>
      <c r="P941" s="136">
        <v>3.59</v>
      </c>
      <c r="Q941" s="264">
        <v>42204</v>
      </c>
      <c r="V941" s="219">
        <f t="shared" si="512"/>
        <v>9.9250325479292787</v>
      </c>
      <c r="X941">
        <v>15.55</v>
      </c>
      <c r="AB941" s="220">
        <f t="shared" si="513"/>
        <v>4.693012238309314</v>
      </c>
      <c r="AD941" s="221">
        <f t="shared" si="514"/>
        <v>47000.007193364836</v>
      </c>
      <c r="AF941" s="220">
        <f t="shared" si="515"/>
        <v>21.009003215434081</v>
      </c>
      <c r="AH941" s="220">
        <f t="shared" si="516"/>
        <v>23.557976245160443</v>
      </c>
      <c r="AJ941">
        <v>4.47</v>
      </c>
      <c r="AK941" s="285" t="s">
        <v>8399</v>
      </c>
      <c r="AL941" s="260">
        <v>165</v>
      </c>
      <c r="AN941" s="235">
        <v>79</v>
      </c>
      <c r="AO941" s="242">
        <v>42083</v>
      </c>
      <c r="AP941" s="235">
        <v>106</v>
      </c>
      <c r="AQ941" s="242">
        <v>42110</v>
      </c>
      <c r="AR941" s="136">
        <v>130</v>
      </c>
      <c r="AS941" s="297">
        <f t="shared" si="517"/>
        <v>130</v>
      </c>
      <c r="AT941" s="290">
        <v>42134</v>
      </c>
      <c r="AU941" s="298"/>
      <c r="BF941" s="282">
        <v>38.524810791015625</v>
      </c>
      <c r="BG941" s="283">
        <v>42234</v>
      </c>
      <c r="BL941" s="296">
        <v>59.950164794921875</v>
      </c>
      <c r="BM941" s="283">
        <v>42234</v>
      </c>
      <c r="BP941" s="282">
        <v>3.9145560264587402</v>
      </c>
      <c r="BQ941" s="283">
        <v>42234</v>
      </c>
      <c r="BR941" s="282">
        <v>47.241806030273438</v>
      </c>
      <c r="BS941" s="283">
        <v>42234</v>
      </c>
      <c r="BT941" s="282">
        <v>22.338100433349609</v>
      </c>
      <c r="BU941" s="283">
        <v>42234</v>
      </c>
      <c r="BV941" s="282">
        <v>75.538558959960937</v>
      </c>
      <c r="BW941" s="283">
        <v>42234</v>
      </c>
      <c r="BX941" s="282">
        <v>5.7226409912109375</v>
      </c>
      <c r="BY941" s="283">
        <v>42234</v>
      </c>
      <c r="CB941" s="267">
        <v>4.34</v>
      </c>
      <c r="CD941" s="282">
        <v>7.1428571428571344</v>
      </c>
      <c r="CE941" s="291" t="s">
        <v>8399</v>
      </c>
      <c r="CH941" s="136">
        <v>2</v>
      </c>
      <c r="CI941" s="136">
        <v>2</v>
      </c>
      <c r="CL941" s="136">
        <v>8</v>
      </c>
      <c r="CM941" s="259">
        <v>42161</v>
      </c>
      <c r="CN941" s="137" t="s">
        <v>8391</v>
      </c>
    </row>
    <row r="942" spans="1:93">
      <c r="A942" s="258">
        <v>1564</v>
      </c>
      <c r="B942" s="235">
        <v>688</v>
      </c>
      <c r="C942" s="235" t="s">
        <v>7638</v>
      </c>
      <c r="D942" s="235" t="s">
        <v>7471</v>
      </c>
      <c r="E942" s="235" t="s">
        <v>7638</v>
      </c>
      <c r="F942" s="235" t="s">
        <v>8519</v>
      </c>
      <c r="G942" s="235" t="str">
        <f t="shared" si="511"/>
        <v>Rapsodyn</v>
      </c>
      <c r="H942" s="235" t="s">
        <v>267</v>
      </c>
      <c r="I942" s="235">
        <v>2</v>
      </c>
      <c r="J942" s="235">
        <v>9026</v>
      </c>
      <c r="K942" s="235">
        <v>43</v>
      </c>
      <c r="L942" s="235">
        <f t="shared" si="503"/>
        <v>115</v>
      </c>
      <c r="M942" s="235">
        <v>10</v>
      </c>
      <c r="N942" s="235">
        <v>7</v>
      </c>
      <c r="O942" s="248">
        <v>42048</v>
      </c>
      <c r="P942" s="136">
        <v>2.97</v>
      </c>
      <c r="Q942" s="264">
        <v>42204</v>
      </c>
      <c r="V942" s="219">
        <f t="shared" si="512"/>
        <v>7.8158494890672765</v>
      </c>
      <c r="X942">
        <v>15.55</v>
      </c>
      <c r="AB942" s="220">
        <f t="shared" si="513"/>
        <v>4.0572730987285928</v>
      </c>
      <c r="AD942" s="221">
        <f t="shared" si="514"/>
        <v>31989.480597928308</v>
      </c>
      <c r="AF942" s="220">
        <f t="shared" si="515"/>
        <v>17.658193290056424</v>
      </c>
      <c r="AH942" s="220">
        <f t="shared" si="516"/>
        <v>19.800620419439809</v>
      </c>
      <c r="AJ942">
        <v>5.52</v>
      </c>
      <c r="AK942" s="285" t="s">
        <v>8399</v>
      </c>
      <c r="AL942" s="260">
        <v>180</v>
      </c>
      <c r="AN942" s="235">
        <v>79</v>
      </c>
      <c r="AO942" s="242">
        <v>42083</v>
      </c>
      <c r="AP942" s="235">
        <v>110</v>
      </c>
      <c r="AQ942" s="242">
        <v>42114</v>
      </c>
      <c r="AR942" s="136">
        <v>141</v>
      </c>
      <c r="AS942" s="297">
        <f t="shared" si="517"/>
        <v>141</v>
      </c>
      <c r="AT942" s="290">
        <v>42145</v>
      </c>
      <c r="AU942" s="298"/>
      <c r="BF942" s="282">
        <v>-5.4489269256591797</v>
      </c>
      <c r="BG942" s="283">
        <v>42235</v>
      </c>
      <c r="BL942" s="296">
        <v>55.153842926025391</v>
      </c>
      <c r="BM942" s="283">
        <v>42235</v>
      </c>
      <c r="BP942" s="282">
        <v>3.261476993560791</v>
      </c>
      <c r="BQ942" s="283">
        <v>42235</v>
      </c>
      <c r="BR942" s="282">
        <v>44.261886596679687</v>
      </c>
      <c r="BS942" s="283">
        <v>42235</v>
      </c>
      <c r="BT942" s="282">
        <v>22.976716995239258</v>
      </c>
      <c r="BU942" s="283">
        <v>42235</v>
      </c>
      <c r="BV942" s="282">
        <v>71.870834350585937</v>
      </c>
      <c r="BW942" s="283">
        <v>42235</v>
      </c>
      <c r="BX942" s="282">
        <v>5.7466583251953125</v>
      </c>
      <c r="BY942" s="283">
        <v>42235</v>
      </c>
      <c r="CB942" s="267">
        <v>4.47</v>
      </c>
      <c r="CD942" s="282">
        <v>5.660377358490563</v>
      </c>
      <c r="CE942" s="291" t="s">
        <v>8399</v>
      </c>
      <c r="CH942" s="136">
        <v>2</v>
      </c>
      <c r="CI942" s="136">
        <v>3</v>
      </c>
      <c r="CL942" s="136">
        <v>7</v>
      </c>
      <c r="CM942" s="259">
        <v>42161</v>
      </c>
      <c r="CN942" s="137" t="s">
        <v>8406</v>
      </c>
    </row>
    <row r="943" spans="1:93">
      <c r="A943" s="258">
        <v>1570</v>
      </c>
      <c r="B943" s="235">
        <v>694</v>
      </c>
      <c r="C943" s="235" t="s">
        <v>7719</v>
      </c>
      <c r="D943" s="235" t="s">
        <v>7543</v>
      </c>
      <c r="E943" s="235" t="s">
        <v>7719</v>
      </c>
      <c r="F943" s="235" t="s">
        <v>8518</v>
      </c>
      <c r="G943" s="235" t="str">
        <f t="shared" si="511"/>
        <v>Rapsodyn</v>
      </c>
      <c r="H943" s="235" t="s">
        <v>267</v>
      </c>
      <c r="I943" s="235">
        <v>2</v>
      </c>
      <c r="J943" s="235">
        <v>9101</v>
      </c>
      <c r="K943" s="235">
        <v>37</v>
      </c>
      <c r="L943" s="235">
        <f t="shared" si="503"/>
        <v>109</v>
      </c>
      <c r="M943" s="235">
        <v>10</v>
      </c>
      <c r="N943" s="235">
        <v>7</v>
      </c>
      <c r="O943" s="248">
        <v>42048</v>
      </c>
      <c r="P943" s="136">
        <v>6.19</v>
      </c>
      <c r="Q943" s="264">
        <v>42204</v>
      </c>
      <c r="V943" s="219">
        <f t="shared" si="512"/>
        <v>18.692176156135382</v>
      </c>
      <c r="X943">
        <v>15.55</v>
      </c>
      <c r="AB943" s="220">
        <f t="shared" si="513"/>
        <v>6.4009490171925165</v>
      </c>
      <c r="AD943" s="221">
        <f t="shared" si="514"/>
        <v>82698.614166713669</v>
      </c>
      <c r="AF943" s="220">
        <f t="shared" si="515"/>
        <v>37.71056806002143</v>
      </c>
      <c r="AH943" s="220">
        <f t="shared" si="516"/>
        <v>42.285902736063512</v>
      </c>
      <c r="AJ943">
        <v>4.5599999999999996</v>
      </c>
      <c r="AK943" s="285" t="s">
        <v>8400</v>
      </c>
      <c r="AL943" s="260">
        <v>155</v>
      </c>
      <c r="AN943" s="235">
        <v>75</v>
      </c>
      <c r="AO943" s="242">
        <v>42079</v>
      </c>
      <c r="AP943" s="235">
        <v>104</v>
      </c>
      <c r="AQ943" s="242">
        <v>42108</v>
      </c>
      <c r="AR943" s="136">
        <v>131</v>
      </c>
      <c r="AS943" s="297">
        <f t="shared" si="517"/>
        <v>131</v>
      </c>
      <c r="AT943" s="290">
        <v>42135</v>
      </c>
      <c r="AU943" s="298"/>
      <c r="BF943" s="282">
        <v>-1.029574990272522</v>
      </c>
      <c r="BG943" s="283">
        <v>42235</v>
      </c>
      <c r="BL943" s="296">
        <v>64.103034973144531</v>
      </c>
      <c r="BM943" s="283">
        <v>42235</v>
      </c>
      <c r="BP943" s="282">
        <v>2.7791440486907959</v>
      </c>
      <c r="BQ943" s="283">
        <v>42235</v>
      </c>
      <c r="BR943" s="282">
        <v>49.567474365234375</v>
      </c>
      <c r="BS943" s="283">
        <v>42235</v>
      </c>
      <c r="BT943" s="282">
        <v>16.973886489868164</v>
      </c>
      <c r="BU943" s="283">
        <v>42235</v>
      </c>
      <c r="BV943" s="282">
        <v>10.2816162109375</v>
      </c>
      <c r="BW943" s="283">
        <v>42235</v>
      </c>
      <c r="BX943" s="282">
        <v>5.3078536987304687</v>
      </c>
      <c r="BY943" s="283">
        <v>42235</v>
      </c>
      <c r="CB943" s="267">
        <v>2.58</v>
      </c>
      <c r="CD943" s="282">
        <v>3.3333333333333361</v>
      </c>
      <c r="CE943" s="291" t="s">
        <v>8400</v>
      </c>
      <c r="CH943" s="136">
        <v>1</v>
      </c>
      <c r="CI943" s="136">
        <v>8</v>
      </c>
      <c r="CL943" s="136">
        <v>3</v>
      </c>
      <c r="CM943" s="259">
        <v>42161</v>
      </c>
      <c r="CO943" s="137" t="s">
        <v>8405</v>
      </c>
    </row>
    <row r="944" spans="1:93">
      <c r="A944" s="258">
        <v>1571</v>
      </c>
      <c r="B944" s="235">
        <v>695</v>
      </c>
      <c r="C944" s="235" t="s">
        <v>7711</v>
      </c>
      <c r="D944" s="235" t="s">
        <v>7536</v>
      </c>
      <c r="E944" s="235" t="s">
        <v>7711</v>
      </c>
      <c r="F944" s="235" t="s">
        <v>8517</v>
      </c>
      <c r="G944" s="235" t="str">
        <f t="shared" si="511"/>
        <v>Rapsodyn</v>
      </c>
      <c r="H944" s="235" t="s">
        <v>267</v>
      </c>
      <c r="I944" s="235">
        <v>2</v>
      </c>
      <c r="J944" s="235">
        <v>9093</v>
      </c>
      <c r="K944" s="235">
        <v>36</v>
      </c>
      <c r="L944" s="235">
        <f t="shared" si="503"/>
        <v>108</v>
      </c>
      <c r="M944" s="235">
        <v>10</v>
      </c>
      <c r="N944" s="235">
        <v>5</v>
      </c>
      <c r="O944" s="248">
        <v>42048</v>
      </c>
      <c r="P944" s="136">
        <v>4.6399999999999997</v>
      </c>
      <c r="Q944" s="264">
        <v>42204</v>
      </c>
      <c r="V944" s="219">
        <f t="shared" si="512"/>
        <v>13.320791917390425</v>
      </c>
      <c r="X944">
        <v>15.55</v>
      </c>
      <c r="AB944" s="220">
        <f t="shared" si="513"/>
        <v>4.760611534419489</v>
      </c>
      <c r="AD944" s="221">
        <f t="shared" si="514"/>
        <v>76377.366335742525</v>
      </c>
      <c r="AF944" s="220">
        <f t="shared" si="515"/>
        <v>27.190342415524338</v>
      </c>
      <c r="AH944" s="220">
        <f t="shared" si="516"/>
        <v>30.489282816241687</v>
      </c>
      <c r="AJ944">
        <v>3.56</v>
      </c>
      <c r="AK944" s="285" t="s">
        <v>8400</v>
      </c>
      <c r="AL944" s="260">
        <v>160</v>
      </c>
      <c r="AN944" s="235">
        <v>70</v>
      </c>
      <c r="AO944" s="242">
        <v>42074</v>
      </c>
      <c r="AP944" s="235">
        <v>113</v>
      </c>
      <c r="AQ944" s="242">
        <v>42117</v>
      </c>
      <c r="AR944" s="136">
        <v>149</v>
      </c>
      <c r="AS944" s="297">
        <f t="shared" si="517"/>
        <v>149</v>
      </c>
      <c r="AT944" s="290">
        <v>42153</v>
      </c>
      <c r="AU944" s="298"/>
      <c r="BF944" s="282">
        <v>-5.4955120086669922</v>
      </c>
      <c r="BG944" s="283">
        <v>42235</v>
      </c>
      <c r="BL944" s="296">
        <v>66.202926635742188</v>
      </c>
      <c r="BM944" s="283">
        <v>42235</v>
      </c>
      <c r="BP944" s="282">
        <v>3.1615300178527832</v>
      </c>
      <c r="BQ944" s="283">
        <v>42235</v>
      </c>
      <c r="BR944" s="282">
        <v>48.990894317626953</v>
      </c>
      <c r="BS944" s="283">
        <v>42235</v>
      </c>
      <c r="BT944" s="282">
        <v>17.508464813232422</v>
      </c>
      <c r="BU944" s="283">
        <v>42235</v>
      </c>
      <c r="BV944" s="282">
        <v>11.840941429138184</v>
      </c>
      <c r="BW944" s="283">
        <v>42235</v>
      </c>
      <c r="BX944" s="282">
        <v>5.28973388671875</v>
      </c>
      <c r="BY944" s="283">
        <v>42235</v>
      </c>
      <c r="CB944" s="267">
        <v>3.56</v>
      </c>
      <c r="CD944" s="282">
        <v>7.0175438596491295</v>
      </c>
      <c r="CE944" s="291" t="s">
        <v>8400</v>
      </c>
      <c r="CH944" s="136">
        <v>1</v>
      </c>
      <c r="CI944" s="136">
        <v>8</v>
      </c>
      <c r="CL944" s="136">
        <v>3</v>
      </c>
      <c r="CM944" s="259">
        <v>42161</v>
      </c>
      <c r="CO944" s="137" t="s">
        <v>8405</v>
      </c>
    </row>
    <row r="945" spans="1:92">
      <c r="A945" s="258">
        <v>1573</v>
      </c>
      <c r="B945" s="235">
        <v>697</v>
      </c>
      <c r="C945" s="235" t="s">
        <v>7700</v>
      </c>
      <c r="D945" s="235" t="s">
        <v>7526</v>
      </c>
      <c r="E945" s="235" t="s">
        <v>7700</v>
      </c>
      <c r="F945" s="235" t="s">
        <v>8516</v>
      </c>
      <c r="G945" s="235" t="str">
        <f t="shared" si="511"/>
        <v>Rapsodyn</v>
      </c>
      <c r="H945" s="235" t="s">
        <v>267</v>
      </c>
      <c r="I945" s="235">
        <v>2</v>
      </c>
      <c r="J945" s="235">
        <v>9082</v>
      </c>
      <c r="K945" s="235">
        <v>34</v>
      </c>
      <c r="L945" s="235">
        <f t="shared" si="503"/>
        <v>106</v>
      </c>
      <c r="M945" s="235">
        <v>10</v>
      </c>
      <c r="N945" s="235">
        <v>7</v>
      </c>
      <c r="O945" s="248">
        <v>42048</v>
      </c>
      <c r="P945" s="136">
        <v>5.9</v>
      </c>
      <c r="Q945" s="264">
        <v>42204</v>
      </c>
      <c r="V945" s="219">
        <f t="shared" si="512"/>
        <v>16.96141603471353</v>
      </c>
      <c r="X945">
        <v>15.55</v>
      </c>
      <c r="AB945" s="220">
        <f t="shared" si="513"/>
        <v>6.6152777831212903</v>
      </c>
      <c r="AD945" s="221">
        <f t="shared" si="514"/>
        <v>79184.121433547582</v>
      </c>
      <c r="AF945" s="220">
        <f t="shared" si="515"/>
        <v>35.078565795061579</v>
      </c>
      <c r="AH945" s="220">
        <f t="shared" si="516"/>
        <v>39.334565816395582</v>
      </c>
      <c r="AJ945">
        <v>4.43</v>
      </c>
      <c r="AK945" s="285" t="s">
        <v>8402</v>
      </c>
      <c r="AL945" s="260">
        <v>165</v>
      </c>
      <c r="AN945" s="235">
        <v>72</v>
      </c>
      <c r="AO945" s="242">
        <v>42076</v>
      </c>
      <c r="AP945" s="235">
        <v>110</v>
      </c>
      <c r="AQ945" s="242">
        <v>42114</v>
      </c>
      <c r="AR945" s="136">
        <v>131</v>
      </c>
      <c r="AS945" s="297">
        <f t="shared" si="517"/>
        <v>131</v>
      </c>
      <c r="AT945" s="290">
        <v>42135</v>
      </c>
      <c r="AU945" s="298"/>
      <c r="BF945" s="282">
        <v>0.58204501867294312</v>
      </c>
      <c r="BG945" s="283">
        <v>42234</v>
      </c>
      <c r="BL945" s="296">
        <v>63.53118896484375</v>
      </c>
      <c r="BM945" s="283">
        <v>42234</v>
      </c>
      <c r="BP945" s="282">
        <v>2.9581890106201172</v>
      </c>
      <c r="BQ945" s="283">
        <v>42234</v>
      </c>
      <c r="BR945" s="282">
        <v>48.352649688720703</v>
      </c>
      <c r="BS945" s="283">
        <v>42234</v>
      </c>
      <c r="BT945" s="282">
        <v>18.858461380004883</v>
      </c>
      <c r="BU945" s="283">
        <v>42234</v>
      </c>
      <c r="BV945" s="282">
        <v>13.163173675537109</v>
      </c>
      <c r="BW945" s="283">
        <v>42234</v>
      </c>
      <c r="BX945" s="282">
        <v>5.52197265625</v>
      </c>
      <c r="BY945" s="283">
        <v>42234</v>
      </c>
      <c r="CB945" s="267">
        <v>3.48</v>
      </c>
      <c r="CD945" s="282">
        <v>5.660377358490563</v>
      </c>
      <c r="CE945" s="291" t="s">
        <v>8402</v>
      </c>
      <c r="CH945" s="136">
        <v>1</v>
      </c>
      <c r="CI945" s="136">
        <v>3</v>
      </c>
      <c r="CL945" s="136">
        <v>3</v>
      </c>
      <c r="CM945" s="259">
        <v>42161</v>
      </c>
      <c r="CN945" s="137" t="s">
        <v>8406</v>
      </c>
    </row>
    <row r="946" spans="1:92">
      <c r="A946" s="258">
        <v>1574</v>
      </c>
      <c r="B946" s="235">
        <v>698</v>
      </c>
      <c r="C946" s="235" t="s">
        <v>7692</v>
      </c>
      <c r="D946" s="235" t="s">
        <v>7518</v>
      </c>
      <c r="E946" s="235" t="s">
        <v>7692</v>
      </c>
      <c r="F946" s="235" t="s">
        <v>8515</v>
      </c>
      <c r="G946" s="235" t="str">
        <f t="shared" si="511"/>
        <v>Rapsodyn</v>
      </c>
      <c r="H946" s="235" t="s">
        <v>267</v>
      </c>
      <c r="I946" s="235">
        <v>2</v>
      </c>
      <c r="J946" s="235">
        <v>9074</v>
      </c>
      <c r="K946" s="235">
        <v>33</v>
      </c>
      <c r="L946" s="235">
        <f t="shared" si="503"/>
        <v>105</v>
      </c>
      <c r="M946" s="235">
        <v>10</v>
      </c>
      <c r="N946" s="235">
        <v>7</v>
      </c>
      <c r="O946" s="248">
        <v>42048</v>
      </c>
      <c r="P946" s="136">
        <v>6</v>
      </c>
      <c r="Q946" s="264">
        <v>42204</v>
      </c>
      <c r="V946" s="219">
        <f t="shared" si="512"/>
        <v>17.172451626772325</v>
      </c>
      <c r="X946">
        <v>15.55</v>
      </c>
      <c r="AB946" s="220">
        <f t="shared" si="513"/>
        <v>6.6818102792871237</v>
      </c>
      <c r="AD946" s="221">
        <f t="shared" si="514"/>
        <v>69290.755045985978</v>
      </c>
      <c r="AF946" s="220">
        <f t="shared" si="515"/>
        <v>35.823320358774751</v>
      </c>
      <c r="AH946" s="220">
        <f t="shared" si="516"/>
        <v>40.169679702595595</v>
      </c>
      <c r="AJ946">
        <v>5.17</v>
      </c>
      <c r="AK946" s="285" t="s">
        <v>8402</v>
      </c>
      <c r="AL946" s="260">
        <v>165</v>
      </c>
      <c r="AN946" s="235">
        <v>70</v>
      </c>
      <c r="AO946" s="242">
        <v>42074</v>
      </c>
      <c r="AP946" s="235">
        <v>106</v>
      </c>
      <c r="AQ946" s="242">
        <v>42110</v>
      </c>
      <c r="AR946" s="136">
        <v>131</v>
      </c>
      <c r="AS946" s="297">
        <f t="shared" si="517"/>
        <v>131</v>
      </c>
      <c r="AT946" s="290">
        <v>42135</v>
      </c>
      <c r="AU946" s="298"/>
      <c r="BF946" s="282">
        <v>-1.2824339866638184</v>
      </c>
      <c r="BG946" s="283">
        <v>42234</v>
      </c>
      <c r="BL946" s="296">
        <v>63.079887390136719</v>
      </c>
      <c r="BM946" s="283">
        <v>42234</v>
      </c>
      <c r="BP946" s="282">
        <v>3.8507180213928223</v>
      </c>
      <c r="BQ946" s="283">
        <v>42234</v>
      </c>
      <c r="BR946" s="282">
        <v>47.936515808105469</v>
      </c>
      <c r="BS946" s="283">
        <v>42234</v>
      </c>
      <c r="BT946" s="282">
        <v>18.652124404907227</v>
      </c>
      <c r="BU946" s="283">
        <v>42234</v>
      </c>
      <c r="BV946" s="282">
        <v>13.403345108032227</v>
      </c>
      <c r="BW946" s="283">
        <v>42234</v>
      </c>
      <c r="BX946" s="282">
        <v>5.6450119018554687</v>
      </c>
      <c r="BY946" s="283">
        <v>42234</v>
      </c>
      <c r="CB946" s="267">
        <v>4.5</v>
      </c>
      <c r="CD946" s="282">
        <v>5.2631578947368389</v>
      </c>
      <c r="CE946" s="291" t="s">
        <v>8402</v>
      </c>
      <c r="CH946" s="136">
        <v>2</v>
      </c>
      <c r="CI946" s="136">
        <v>2</v>
      </c>
      <c r="CL946" s="136">
        <v>2</v>
      </c>
      <c r="CM946" s="259">
        <v>42161</v>
      </c>
      <c r="CN946" s="137" t="s">
        <v>8406</v>
      </c>
    </row>
    <row r="947" spans="1:92">
      <c r="A947" s="258">
        <v>1575</v>
      </c>
      <c r="B947" s="235">
        <v>699</v>
      </c>
      <c r="C947" s="235" t="s">
        <v>7687</v>
      </c>
      <c r="D947" s="235" t="s">
        <v>7513</v>
      </c>
      <c r="E947" s="235" t="s">
        <v>7687</v>
      </c>
      <c r="F947" s="235" t="s">
        <v>8514</v>
      </c>
      <c r="G947" s="235" t="str">
        <f t="shared" si="511"/>
        <v>Rapsodyn</v>
      </c>
      <c r="H947" s="235" t="s">
        <v>267</v>
      </c>
      <c r="I947" s="235">
        <v>2</v>
      </c>
      <c r="J947" s="235">
        <v>9069</v>
      </c>
      <c r="K947" s="235">
        <v>32</v>
      </c>
      <c r="L947" s="235">
        <f t="shared" si="503"/>
        <v>104</v>
      </c>
      <c r="M947" s="235">
        <v>10</v>
      </c>
      <c r="N947" s="235">
        <v>9</v>
      </c>
      <c r="O947" s="248">
        <v>42048</v>
      </c>
      <c r="P947" s="136">
        <v>6.07</v>
      </c>
      <c r="Q947" s="264">
        <v>42204</v>
      </c>
      <c r="V947" s="219">
        <f t="shared" si="512"/>
        <v>17.820295056150119</v>
      </c>
      <c r="X947">
        <v>15.55</v>
      </c>
      <c r="AB947" s="220">
        <f t="shared" si="513"/>
        <v>7.1268252868013588</v>
      </c>
      <c r="AD947" s="221">
        <f t="shared" si="514"/>
        <v>79334.246151206986</v>
      </c>
      <c r="AF947" s="220">
        <f t="shared" si="515"/>
        <v>36.811090214160039</v>
      </c>
      <c r="AH947" s="220">
        <f t="shared" si="516"/>
        <v>41.277293355191794</v>
      </c>
      <c r="AJ947">
        <v>4.6399999999999997</v>
      </c>
      <c r="AK947" s="285" t="s">
        <v>8401</v>
      </c>
      <c r="AL947" s="260">
        <v>155</v>
      </c>
      <c r="AN947" s="235">
        <v>70</v>
      </c>
      <c r="AO947" s="242">
        <v>42074</v>
      </c>
      <c r="AP947" s="235">
        <v>104</v>
      </c>
      <c r="AQ947" s="242">
        <v>42108</v>
      </c>
      <c r="AR947" s="136">
        <v>127</v>
      </c>
      <c r="AS947" s="297">
        <f t="shared" si="517"/>
        <v>127</v>
      </c>
      <c r="AT947" s="290">
        <v>42131</v>
      </c>
      <c r="AU947" s="298"/>
      <c r="BF947" s="282">
        <v>-0.76004397869110107</v>
      </c>
      <c r="BG947" s="283">
        <v>42234</v>
      </c>
      <c r="BL947" s="296">
        <v>62.847118377685547</v>
      </c>
      <c r="BM947" s="283">
        <v>42234</v>
      </c>
      <c r="BP947" s="282">
        <v>3.0273900032043457</v>
      </c>
      <c r="BQ947" s="283">
        <v>42234</v>
      </c>
      <c r="BR947" s="282">
        <v>48.410125732421875</v>
      </c>
      <c r="BS947" s="283">
        <v>42234</v>
      </c>
      <c r="BT947" s="282">
        <v>19.360538482666016</v>
      </c>
      <c r="BU947" s="283">
        <v>42234</v>
      </c>
      <c r="BV947" s="282">
        <v>13.255172729492187</v>
      </c>
      <c r="BW947" s="283">
        <v>42234</v>
      </c>
      <c r="BX947" s="282">
        <v>5.623870849609375</v>
      </c>
      <c r="BY947" s="283">
        <v>42234</v>
      </c>
      <c r="CB947" s="267">
        <v>5.12</v>
      </c>
      <c r="CD947" s="282">
        <v>3.7735849056603805</v>
      </c>
      <c r="CE947" s="291" t="s">
        <v>8401</v>
      </c>
      <c r="CH947" s="136">
        <v>2</v>
      </c>
      <c r="CI947" s="136">
        <v>2</v>
      </c>
      <c r="CL947" s="136">
        <v>2</v>
      </c>
      <c r="CM947" s="259">
        <v>42161</v>
      </c>
      <c r="CN947" s="137" t="s">
        <v>8406</v>
      </c>
    </row>
    <row r="948" spans="1:92">
      <c r="A948" s="258">
        <v>1576</v>
      </c>
      <c r="B948" s="235">
        <v>700</v>
      </c>
      <c r="C948" s="235" t="s">
        <v>7609</v>
      </c>
      <c r="D948" s="235" t="s">
        <v>7448</v>
      </c>
      <c r="E948" s="235" t="s">
        <v>7609</v>
      </c>
      <c r="F948" s="235" t="s">
        <v>8513</v>
      </c>
      <c r="G948" s="235" t="str">
        <f t="shared" si="511"/>
        <v>Rapsodyn</v>
      </c>
      <c r="H948" s="235" t="s">
        <v>267</v>
      </c>
      <c r="I948" s="235">
        <v>2</v>
      </c>
      <c r="J948" s="235">
        <v>9004</v>
      </c>
      <c r="K948" s="235">
        <v>31</v>
      </c>
      <c r="L948" s="235">
        <f t="shared" si="503"/>
        <v>103</v>
      </c>
      <c r="M948" s="235">
        <v>10</v>
      </c>
      <c r="N948" s="236">
        <v>9</v>
      </c>
      <c r="O948" s="248">
        <v>42048</v>
      </c>
      <c r="P948" s="136">
        <v>2.87</v>
      </c>
      <c r="Q948" s="264">
        <v>42204</v>
      </c>
      <c r="V948" s="219">
        <f t="shared" si="512"/>
        <v>8.2145571220484523</v>
      </c>
      <c r="X948">
        <v>15.55</v>
      </c>
      <c r="AB948" s="220">
        <f t="shared" si="513"/>
        <v>4.0797664336445401</v>
      </c>
      <c r="AD948" s="221">
        <f t="shared" si="514"/>
        <v>35923.455426164765</v>
      </c>
      <c r="AF948" s="220">
        <f t="shared" si="515"/>
        <v>17.746186980525394</v>
      </c>
      <c r="AH948" s="220">
        <f t="shared" si="516"/>
        <v>19.899290177758907</v>
      </c>
      <c r="AJ948">
        <v>4.9400000000000004</v>
      </c>
      <c r="AK948" s="285" t="s">
        <v>8401</v>
      </c>
      <c r="AL948" s="260">
        <v>175</v>
      </c>
      <c r="AN948" s="235">
        <v>70</v>
      </c>
      <c r="AO948" s="242">
        <v>42074</v>
      </c>
      <c r="AP948" s="235">
        <v>106</v>
      </c>
      <c r="AQ948" s="242">
        <v>42110</v>
      </c>
      <c r="AR948" s="136">
        <v>143</v>
      </c>
      <c r="AS948" s="297">
        <f t="shared" si="517"/>
        <v>143</v>
      </c>
      <c r="AT948" s="290">
        <v>42147</v>
      </c>
      <c r="AU948" s="298"/>
      <c r="BF948" s="282">
        <v>35.130214691162109</v>
      </c>
      <c r="BG948" s="283">
        <v>42234</v>
      </c>
      <c r="BL948" s="296">
        <v>60.504875183105469</v>
      </c>
      <c r="BM948" s="283">
        <v>42234</v>
      </c>
      <c r="BP948" s="282">
        <v>2.8388528823852539</v>
      </c>
      <c r="BQ948" s="283">
        <v>42234</v>
      </c>
      <c r="BR948" s="282">
        <v>46.289138793945313</v>
      </c>
      <c r="BS948" s="283">
        <v>42234</v>
      </c>
      <c r="BT948" s="282">
        <v>22.989538192749023</v>
      </c>
      <c r="BU948" s="283">
        <v>42234</v>
      </c>
      <c r="BV948" s="282">
        <v>75.424331665039063</v>
      </c>
      <c r="BW948" s="283">
        <v>42234</v>
      </c>
      <c r="BX948" s="282">
        <v>5.7124557495117187</v>
      </c>
      <c r="BY948" s="283">
        <v>42234</v>
      </c>
      <c r="CB948" s="267">
        <v>7.44</v>
      </c>
      <c r="CD948" s="282">
        <v>1.886792452830182</v>
      </c>
      <c r="CE948" s="291" t="s">
        <v>8401</v>
      </c>
      <c r="CH948" s="136">
        <v>2</v>
      </c>
      <c r="CI948" s="136">
        <v>3</v>
      </c>
      <c r="CL948" s="136">
        <v>6</v>
      </c>
      <c r="CM948" s="259">
        <v>42161</v>
      </c>
      <c r="CN948" s="137" t="s">
        <v>8406</v>
      </c>
    </row>
    <row r="949" spans="1:92">
      <c r="A949" s="258">
        <v>1577</v>
      </c>
      <c r="B949" s="235">
        <v>701</v>
      </c>
      <c r="C949" s="235" t="s">
        <v>7576</v>
      </c>
      <c r="D949" s="235"/>
      <c r="E949" s="235"/>
      <c r="F949" s="235"/>
      <c r="G949" s="235"/>
      <c r="H949" s="235" t="s">
        <v>267</v>
      </c>
      <c r="I949" s="235">
        <v>2</v>
      </c>
      <c r="K949" s="235">
        <v>30</v>
      </c>
      <c r="L949" s="235">
        <f t="shared" si="503"/>
        <v>102</v>
      </c>
      <c r="M949" s="235">
        <v>10</v>
      </c>
      <c r="O949" s="248">
        <v>42048</v>
      </c>
      <c r="V949" s="219"/>
      <c r="X949">
        <v>15.55</v>
      </c>
      <c r="AB949" s="220"/>
      <c r="AD949" s="221"/>
      <c r="AF949" s="220"/>
      <c r="AH949" s="220"/>
      <c r="AJ949" s="286"/>
      <c r="AK949" s="285"/>
      <c r="AL949" s="260"/>
      <c r="AN949" s="235">
        <v>70</v>
      </c>
      <c r="AO949" s="242">
        <v>42074</v>
      </c>
      <c r="AP949" s="235">
        <v>106</v>
      </c>
      <c r="AQ949" s="242">
        <v>42110</v>
      </c>
      <c r="AS949" s="297"/>
      <c r="AT949" s="290"/>
      <c r="AU949" s="298"/>
      <c r="BF949" s="282"/>
      <c r="BG949" s="235"/>
      <c r="BL949" s="296"/>
      <c r="BM949" s="235"/>
      <c r="BP949" s="282"/>
      <c r="BQ949" s="235"/>
      <c r="BR949" s="282"/>
      <c r="BS949" s="235"/>
      <c r="BT949" s="282"/>
      <c r="BU949" s="235"/>
      <c r="BV949" s="282"/>
      <c r="BW949" s="235"/>
      <c r="BX949" s="282"/>
      <c r="BY949" s="235"/>
      <c r="CB949" s="267"/>
      <c r="CD949" s="282"/>
      <c r="CE949" s="291"/>
      <c r="CL949" s="136">
        <v>3</v>
      </c>
      <c r="CM949" s="259">
        <v>42161</v>
      </c>
    </row>
    <row r="950" spans="1:92">
      <c r="A950" s="258">
        <v>1578</v>
      </c>
      <c r="B950" s="235">
        <v>702</v>
      </c>
      <c r="C950" s="235" t="s">
        <v>7576</v>
      </c>
      <c r="D950" s="235"/>
      <c r="E950" s="235"/>
      <c r="F950" s="235"/>
      <c r="G950" s="235"/>
      <c r="H950" s="235" t="s">
        <v>267</v>
      </c>
      <c r="I950" s="235">
        <v>2</v>
      </c>
      <c r="K950" s="235">
        <v>29</v>
      </c>
      <c r="L950" s="235">
        <f t="shared" si="503"/>
        <v>101</v>
      </c>
      <c r="M950" s="235">
        <v>10</v>
      </c>
      <c r="O950" s="248">
        <v>42048</v>
      </c>
      <c r="V950" s="219"/>
      <c r="X950">
        <v>15.55</v>
      </c>
      <c r="AB950" s="220"/>
      <c r="AD950" s="221"/>
      <c r="AF950" s="220"/>
      <c r="AH950" s="220"/>
      <c r="AJ950" s="286"/>
      <c r="AK950" s="285"/>
      <c r="AL950" s="260"/>
      <c r="AN950" s="235">
        <v>70</v>
      </c>
      <c r="AO950" s="242">
        <v>42074</v>
      </c>
      <c r="AP950" s="235">
        <v>106</v>
      </c>
      <c r="AQ950" s="242">
        <v>42110</v>
      </c>
      <c r="AS950" s="297"/>
      <c r="AT950" s="290"/>
      <c r="AU950" s="298"/>
      <c r="BF950" s="282"/>
      <c r="BG950" s="235"/>
      <c r="BL950" s="296"/>
      <c r="BM950" s="235"/>
      <c r="BP950" s="282"/>
      <c r="BQ950" s="235"/>
      <c r="BR950" s="282"/>
      <c r="BS950" s="235"/>
      <c r="BT950" s="282"/>
      <c r="BU950" s="235"/>
      <c r="BV950" s="282"/>
      <c r="BW950" s="235"/>
      <c r="BX950" s="282"/>
      <c r="BY950" s="235"/>
      <c r="CB950" s="267"/>
      <c r="CD950" s="282"/>
      <c r="CE950" s="291"/>
      <c r="CL950" s="136">
        <v>3</v>
      </c>
      <c r="CM950" s="259">
        <v>42161</v>
      </c>
    </row>
    <row r="951" spans="1:92">
      <c r="A951" s="258">
        <v>1580</v>
      </c>
      <c r="B951" s="235">
        <v>704</v>
      </c>
      <c r="C951" s="235" t="s">
        <v>7761</v>
      </c>
      <c r="D951" s="235" t="s">
        <v>7838</v>
      </c>
      <c r="E951" s="235" t="s">
        <v>7761</v>
      </c>
      <c r="F951" s="235" t="s">
        <v>8512</v>
      </c>
      <c r="G951" s="235" t="str">
        <f t="shared" ref="G951:G962" si="518">IF(MID(C951,1,3)="BGA","Complement","Rapsodyn")</f>
        <v>Rapsodyn</v>
      </c>
      <c r="H951" s="235" t="s">
        <v>267</v>
      </c>
      <c r="I951" s="235">
        <v>2</v>
      </c>
      <c r="J951" s="235">
        <v>9132</v>
      </c>
      <c r="K951" s="235">
        <v>27</v>
      </c>
      <c r="L951" s="235">
        <f t="shared" si="503"/>
        <v>99</v>
      </c>
      <c r="M951" s="235">
        <v>10</v>
      </c>
      <c r="N951" s="235">
        <v>7</v>
      </c>
      <c r="O951" s="248">
        <v>42048</v>
      </c>
      <c r="P951" s="136">
        <v>5.77</v>
      </c>
      <c r="Q951" s="264">
        <v>42204</v>
      </c>
      <c r="V951" s="219">
        <f t="shared" ref="V951:V962" si="519">+BR951*AF951/100</f>
        <v>16.711470164676186</v>
      </c>
      <c r="X951">
        <v>15.55</v>
      </c>
      <c r="AB951" s="220">
        <f t="shared" ref="AB951:AB962" si="520">+AF951*BT951/100</f>
        <v>6.1730464068961668</v>
      </c>
      <c r="AD951" s="221">
        <f t="shared" ref="AD951:AD962" si="521">+(AF951/AJ951)*10000</f>
        <v>72772.757511919277</v>
      </c>
      <c r="AF951" s="220">
        <f t="shared" ref="AF951:AF962" si="522">($P951/$X951)*(((100-$CD951)/100*(100-2)/100))*100</f>
        <v>33.766559485530543</v>
      </c>
      <c r="AH951" s="220">
        <f t="shared" ref="AH951:AH962" si="523">($P951/$X951)*(((100-$CD951)/(100-9)*(100-2)/(100-2))*100)</f>
        <v>37.863376861998816</v>
      </c>
      <c r="AJ951">
        <v>4.6399999999999997</v>
      </c>
      <c r="AK951" s="285" t="s">
        <v>8402</v>
      </c>
      <c r="AL951" s="260">
        <v>165</v>
      </c>
      <c r="AN951" s="235">
        <v>72</v>
      </c>
      <c r="AO951" s="242">
        <v>42076</v>
      </c>
      <c r="AP951" s="235">
        <v>104</v>
      </c>
      <c r="AQ951" s="242">
        <v>42108</v>
      </c>
      <c r="AR951" s="136">
        <v>127</v>
      </c>
      <c r="AS951" s="297">
        <f t="shared" ref="AS951:AS962" si="524">IF(AR951=0,,AR951)</f>
        <v>127</v>
      </c>
      <c r="AT951" s="290">
        <v>42131</v>
      </c>
      <c r="AU951" s="298"/>
      <c r="BF951" s="282">
        <v>-0.97661000490188599</v>
      </c>
      <c r="BG951" s="283">
        <v>42235</v>
      </c>
      <c r="BL951" s="296">
        <v>64.451095581054688</v>
      </c>
      <c r="BM951" s="283">
        <v>42235</v>
      </c>
      <c r="BP951" s="282">
        <v>3.7737059593200684</v>
      </c>
      <c r="BQ951" s="283">
        <v>42235</v>
      </c>
      <c r="BR951" s="282">
        <v>49.491184234619141</v>
      </c>
      <c r="BS951" s="283">
        <v>42235</v>
      </c>
      <c r="BT951" s="282">
        <v>18.281538009643555</v>
      </c>
      <c r="BU951" s="283">
        <v>42235</v>
      </c>
      <c r="BV951" s="282">
        <v>12.837215423583984</v>
      </c>
      <c r="BW951" s="283">
        <v>42235</v>
      </c>
      <c r="BX951" s="282">
        <v>5.5675201416015625</v>
      </c>
      <c r="BY951" s="283">
        <v>42235</v>
      </c>
      <c r="CB951" s="267">
        <v>5.07</v>
      </c>
      <c r="CD951" s="282">
        <v>7.1428571428571344</v>
      </c>
      <c r="CE951" s="291" t="s">
        <v>8402</v>
      </c>
      <c r="CH951" s="136">
        <v>1</v>
      </c>
      <c r="CI951" s="136">
        <v>2</v>
      </c>
      <c r="CL951" s="136">
        <v>3</v>
      </c>
      <c r="CM951" s="259">
        <v>42161</v>
      </c>
      <c r="CN951" s="137" t="s">
        <v>8406</v>
      </c>
    </row>
    <row r="952" spans="1:92">
      <c r="A952" s="258">
        <v>1581</v>
      </c>
      <c r="B952" s="235">
        <v>705</v>
      </c>
      <c r="C952" s="235" t="s">
        <v>7689</v>
      </c>
      <c r="D952" s="235" t="s">
        <v>7515</v>
      </c>
      <c r="E952" s="235" t="s">
        <v>7689</v>
      </c>
      <c r="F952" s="235" t="s">
        <v>8511</v>
      </c>
      <c r="G952" s="235" t="str">
        <f t="shared" si="518"/>
        <v>Rapsodyn</v>
      </c>
      <c r="H952" s="235" t="s">
        <v>267</v>
      </c>
      <c r="I952" s="235">
        <v>2</v>
      </c>
      <c r="J952" s="235">
        <v>9071</v>
      </c>
      <c r="K952" s="235">
        <v>26</v>
      </c>
      <c r="L952" s="235">
        <f t="shared" si="503"/>
        <v>98</v>
      </c>
      <c r="M952" s="235">
        <v>10</v>
      </c>
      <c r="N952" s="235">
        <v>9</v>
      </c>
      <c r="O952" s="248">
        <v>42048</v>
      </c>
      <c r="P952" s="136">
        <v>7</v>
      </c>
      <c r="Q952" s="264">
        <v>42204</v>
      </c>
      <c r="V952" s="219">
        <f t="shared" si="519"/>
        <v>20.037101669512239</v>
      </c>
      <c r="X952">
        <v>15.55</v>
      </c>
      <c r="AB952" s="220">
        <f t="shared" si="520"/>
        <v>7.1513934955970475</v>
      </c>
      <c r="AD952" s="221">
        <f t="shared" si="521"/>
        <v>94039.855255067581</v>
      </c>
      <c r="AF952" s="220">
        <f t="shared" si="522"/>
        <v>40.907337035954399</v>
      </c>
      <c r="AH952" s="220">
        <f t="shared" si="523"/>
        <v>45.870528185640723</v>
      </c>
      <c r="AJ952">
        <v>4.3499999999999996</v>
      </c>
      <c r="AK952" s="285" t="s">
        <v>8403</v>
      </c>
      <c r="AL952" s="260">
        <v>150</v>
      </c>
      <c r="AN952" s="235">
        <v>70</v>
      </c>
      <c r="AO952" s="242">
        <v>42074</v>
      </c>
      <c r="AP952" s="235">
        <v>110</v>
      </c>
      <c r="AQ952" s="242">
        <v>42114</v>
      </c>
      <c r="AR952" s="136">
        <v>133</v>
      </c>
      <c r="AS952" s="297">
        <f t="shared" si="524"/>
        <v>133</v>
      </c>
      <c r="AT952" s="290">
        <v>42137</v>
      </c>
      <c r="AU952" s="298"/>
      <c r="BF952" s="282">
        <v>-3.5223410129547119</v>
      </c>
      <c r="BG952" s="283">
        <v>42235</v>
      </c>
      <c r="BL952" s="296">
        <v>61.547416687011719</v>
      </c>
      <c r="BM952" s="283">
        <v>42235</v>
      </c>
      <c r="BP952" s="282">
        <v>4.1594967842102051</v>
      </c>
      <c r="BQ952" s="283">
        <v>42235</v>
      </c>
      <c r="BR952" s="282">
        <v>48.981681823730469</v>
      </c>
      <c r="BS952" s="283">
        <v>42235</v>
      </c>
      <c r="BT952" s="282">
        <v>17.48193359375</v>
      </c>
      <c r="BU952" s="283">
        <v>42235</v>
      </c>
      <c r="BV952" s="282">
        <v>17.036258697509766</v>
      </c>
      <c r="BW952" s="283">
        <v>42235</v>
      </c>
      <c r="BX952" s="282">
        <v>5.6512908935546875</v>
      </c>
      <c r="BY952" s="283">
        <v>42235</v>
      </c>
      <c r="CB952" s="267">
        <v>5.0999999999999996</v>
      </c>
      <c r="CD952" s="281">
        <v>7.2727272727272796</v>
      </c>
      <c r="CE952" s="291" t="s">
        <v>8403</v>
      </c>
      <c r="CH952" s="136">
        <v>1</v>
      </c>
      <c r="CI952" s="136">
        <v>3</v>
      </c>
      <c r="CL952" s="136">
        <v>1</v>
      </c>
      <c r="CM952" s="259">
        <v>42161</v>
      </c>
      <c r="CN952" s="137" t="s">
        <v>8406</v>
      </c>
    </row>
    <row r="953" spans="1:92">
      <c r="A953" s="258">
        <v>1582</v>
      </c>
      <c r="B953" s="235">
        <v>706</v>
      </c>
      <c r="C953" s="235" t="s">
        <v>7712</v>
      </c>
      <c r="D953" s="235" t="s">
        <v>259</v>
      </c>
      <c r="E953" s="235" t="s">
        <v>7712</v>
      </c>
      <c r="F953" s="235" t="s">
        <v>8510</v>
      </c>
      <c r="G953" s="235" t="str">
        <f t="shared" si="518"/>
        <v>Rapsodyn</v>
      </c>
      <c r="H953" s="235" t="s">
        <v>267</v>
      </c>
      <c r="I953" s="235">
        <v>2</v>
      </c>
      <c r="J953" s="235">
        <v>9094</v>
      </c>
      <c r="K953" s="235">
        <v>25</v>
      </c>
      <c r="L953" s="235">
        <f t="shared" ref="L953:L993" si="525">72+K953</f>
        <v>97</v>
      </c>
      <c r="M953" s="235">
        <v>10</v>
      </c>
      <c r="N953" s="235">
        <v>7</v>
      </c>
      <c r="O953" s="248">
        <v>42048</v>
      </c>
      <c r="P953" s="136">
        <v>7.24</v>
      </c>
      <c r="Q953" s="264">
        <v>42204</v>
      </c>
      <c r="V953" s="219">
        <f t="shared" si="519"/>
        <v>22.053332598168403</v>
      </c>
      <c r="X953">
        <v>15.55</v>
      </c>
      <c r="AB953" s="220">
        <f t="shared" si="520"/>
        <v>7.3472383976543085</v>
      </c>
      <c r="AD953" s="221">
        <f t="shared" si="521"/>
        <v>98113.858397703589</v>
      </c>
      <c r="AF953" s="220">
        <f t="shared" si="522"/>
        <v>43.268211553387289</v>
      </c>
      <c r="AH953" s="220">
        <f t="shared" si="523"/>
        <v>48.517842064798501</v>
      </c>
      <c r="AJ953">
        <v>4.41</v>
      </c>
      <c r="AK953" s="285" t="s">
        <v>8403</v>
      </c>
      <c r="AL953" s="260">
        <v>160</v>
      </c>
      <c r="AN953" s="235">
        <v>72</v>
      </c>
      <c r="AO953" s="242">
        <v>42076</v>
      </c>
      <c r="AP953" s="235">
        <v>100</v>
      </c>
      <c r="AQ953" s="242">
        <v>42104</v>
      </c>
      <c r="AR953" s="136">
        <v>127</v>
      </c>
      <c r="AS953" s="297">
        <f t="shared" si="524"/>
        <v>127</v>
      </c>
      <c r="AT953" s="290">
        <v>42131</v>
      </c>
      <c r="AU953" s="298"/>
      <c r="BF953" s="282">
        <v>-1.513308048248291</v>
      </c>
      <c r="BG953" s="283">
        <v>42235</v>
      </c>
      <c r="BL953" s="296">
        <v>64.932807922363281</v>
      </c>
      <c r="BM953" s="283">
        <v>42235</v>
      </c>
      <c r="BP953" s="282">
        <v>3.5471460819244385</v>
      </c>
      <c r="BQ953" s="283">
        <v>42235</v>
      </c>
      <c r="BR953" s="282">
        <v>50.968902587890625</v>
      </c>
      <c r="BS953" s="283">
        <v>42235</v>
      </c>
      <c r="BT953" s="282">
        <v>16.980684280395508</v>
      </c>
      <c r="BU953" s="283">
        <v>42235</v>
      </c>
      <c r="BV953" s="282">
        <v>13.476467132568359</v>
      </c>
      <c r="BW953" s="283">
        <v>42235</v>
      </c>
      <c r="BX953" s="282">
        <v>5.2786636352539062</v>
      </c>
      <c r="BY953" s="283">
        <v>42235</v>
      </c>
      <c r="CB953" s="267">
        <v>5.37</v>
      </c>
      <c r="CD953" s="282">
        <v>5.1724137931034457</v>
      </c>
      <c r="CE953" s="291" t="s">
        <v>8403</v>
      </c>
      <c r="CH953" s="136">
        <v>1</v>
      </c>
      <c r="CI953" s="136">
        <v>2</v>
      </c>
      <c r="CL953" s="136">
        <v>2</v>
      </c>
      <c r="CM953" s="259">
        <v>42161</v>
      </c>
      <c r="CN953" s="137" t="s">
        <v>8406</v>
      </c>
    </row>
    <row r="954" spans="1:92">
      <c r="A954" s="258">
        <v>1583</v>
      </c>
      <c r="B954" s="235">
        <v>707</v>
      </c>
      <c r="C954" s="235" t="s">
        <v>7808</v>
      </c>
      <c r="D954" s="235" t="s">
        <v>7602</v>
      </c>
      <c r="E954" s="235" t="s">
        <v>7808</v>
      </c>
      <c r="F954" s="235" t="s">
        <v>8509</v>
      </c>
      <c r="G954" s="235" t="str">
        <f t="shared" si="518"/>
        <v>Rapsodyn</v>
      </c>
      <c r="H954" s="235" t="s">
        <v>267</v>
      </c>
      <c r="I954" s="235">
        <v>2</v>
      </c>
      <c r="J954" s="235">
        <v>9179</v>
      </c>
      <c r="K954" s="235">
        <v>24</v>
      </c>
      <c r="L954" s="235">
        <f t="shared" si="525"/>
        <v>96</v>
      </c>
      <c r="M954" s="235">
        <v>10</v>
      </c>
      <c r="N954" s="235">
        <v>5</v>
      </c>
      <c r="O954" s="248">
        <v>42048</v>
      </c>
      <c r="P954" s="136">
        <v>8.27</v>
      </c>
      <c r="Q954" s="264">
        <v>42204</v>
      </c>
      <c r="V954" s="219">
        <f t="shared" si="519"/>
        <v>25.471932222171578</v>
      </c>
      <c r="X954">
        <v>15.55</v>
      </c>
      <c r="AB954" s="220">
        <f t="shared" si="520"/>
        <v>7.5278622838729472</v>
      </c>
      <c r="AD954" s="221">
        <f t="shared" si="521"/>
        <v>119054.35183861748</v>
      </c>
      <c r="AF954" s="220">
        <f t="shared" si="522"/>
        <v>49.169447309349017</v>
      </c>
      <c r="AH954" s="220">
        <f t="shared" si="523"/>
        <v>55.135060898574814</v>
      </c>
      <c r="AJ954">
        <v>4.13</v>
      </c>
      <c r="AK954" s="285" t="s">
        <v>8398</v>
      </c>
      <c r="AL954" s="260">
        <v>165</v>
      </c>
      <c r="AN954" s="235">
        <v>70</v>
      </c>
      <c r="AO954" s="242">
        <v>42074</v>
      </c>
      <c r="AP954" s="235">
        <v>106</v>
      </c>
      <c r="AQ954" s="242">
        <v>42110</v>
      </c>
      <c r="AR954" s="136">
        <v>132</v>
      </c>
      <c r="AS954" s="297">
        <f t="shared" si="524"/>
        <v>132</v>
      </c>
      <c r="AT954" s="290">
        <v>42136</v>
      </c>
      <c r="AU954" s="298"/>
      <c r="BF954" s="282">
        <v>-3.4962708950042725</v>
      </c>
      <c r="BG954" s="283">
        <v>42235</v>
      </c>
      <c r="BL954" s="296">
        <v>63.315353393554688</v>
      </c>
      <c r="BM954" s="283">
        <v>42235</v>
      </c>
      <c r="BP954" s="282">
        <v>3.7136681079864502</v>
      </c>
      <c r="BQ954" s="283">
        <v>42235</v>
      </c>
      <c r="BR954" s="282">
        <v>51.804389953613281</v>
      </c>
      <c r="BS954" s="283">
        <v>42235</v>
      </c>
      <c r="BT954" s="282">
        <v>15.310040473937988</v>
      </c>
      <c r="BU954" s="283">
        <v>42235</v>
      </c>
      <c r="BV954" s="282">
        <v>13.113418579101563</v>
      </c>
      <c r="BW954" s="283">
        <v>42235</v>
      </c>
      <c r="BX954" s="282">
        <v>5.4876174926757812</v>
      </c>
      <c r="BY954" s="283">
        <v>42235</v>
      </c>
      <c r="CB954" s="267">
        <v>5.33</v>
      </c>
      <c r="CD954" s="282">
        <v>5.660377358490563</v>
      </c>
      <c r="CE954" s="291" t="s">
        <v>8398</v>
      </c>
      <c r="CH954" s="136">
        <v>1</v>
      </c>
      <c r="CI954" s="136">
        <v>2</v>
      </c>
      <c r="CL954" s="136">
        <v>1</v>
      </c>
      <c r="CM954" s="259">
        <v>42161</v>
      </c>
      <c r="CN954" s="137" t="s">
        <v>8406</v>
      </c>
    </row>
    <row r="955" spans="1:92">
      <c r="A955" s="258">
        <v>1586</v>
      </c>
      <c r="B955" s="235">
        <v>710</v>
      </c>
      <c r="C955" s="235" t="s">
        <v>7806</v>
      </c>
      <c r="D955" s="235" t="s">
        <v>7600</v>
      </c>
      <c r="E955" s="235" t="s">
        <v>7806</v>
      </c>
      <c r="F955" s="235" t="s">
        <v>8508</v>
      </c>
      <c r="G955" s="235" t="str">
        <f t="shared" si="518"/>
        <v>Rapsodyn</v>
      </c>
      <c r="H955" s="235" t="s">
        <v>267</v>
      </c>
      <c r="I955" s="235">
        <v>2</v>
      </c>
      <c r="J955" s="235">
        <v>9177</v>
      </c>
      <c r="K955" s="235">
        <v>21</v>
      </c>
      <c r="L955" s="235">
        <f t="shared" si="525"/>
        <v>93</v>
      </c>
      <c r="M955" s="235">
        <v>10</v>
      </c>
      <c r="N955" s="235">
        <v>7</v>
      </c>
      <c r="O955" s="248">
        <v>42048</v>
      </c>
      <c r="P955" s="136">
        <v>7.48</v>
      </c>
      <c r="Q955" s="264">
        <v>42204</v>
      </c>
      <c r="V955" s="219">
        <f t="shared" si="519"/>
        <v>22.922023552995793</v>
      </c>
      <c r="X955">
        <v>15.55</v>
      </c>
      <c r="AB955" s="220">
        <f t="shared" si="520"/>
        <v>8.1295253927592697</v>
      </c>
      <c r="AD955" s="221">
        <f t="shared" si="521"/>
        <v>83102.805716066025</v>
      </c>
      <c r="AF955" s="220">
        <f t="shared" si="522"/>
        <v>45.457234726688114</v>
      </c>
      <c r="AH955" s="220">
        <f t="shared" si="523"/>
        <v>50.972454279757912</v>
      </c>
      <c r="AJ955">
        <v>5.47</v>
      </c>
      <c r="AK955" s="285" t="s">
        <v>8398</v>
      </c>
      <c r="AL955" s="260">
        <v>175</v>
      </c>
      <c r="AN955" s="235">
        <v>72</v>
      </c>
      <c r="AO955" s="242">
        <v>42076</v>
      </c>
      <c r="AP955" s="235">
        <v>104</v>
      </c>
      <c r="AQ955" s="242">
        <v>42108</v>
      </c>
      <c r="AR955" s="136">
        <v>127</v>
      </c>
      <c r="AS955" s="297">
        <f t="shared" si="524"/>
        <v>127</v>
      </c>
      <c r="AT955" s="290">
        <v>42131</v>
      </c>
      <c r="AU955" s="298"/>
      <c r="BF955" s="282">
        <v>-3.4046230316162109</v>
      </c>
      <c r="BG955" s="283">
        <v>42235</v>
      </c>
      <c r="BL955" s="296">
        <v>63.422142028808594</v>
      </c>
      <c r="BM955" s="283">
        <v>42235</v>
      </c>
      <c r="BP955" s="282">
        <v>3.7729790210723877</v>
      </c>
      <c r="BQ955" s="283">
        <v>42235</v>
      </c>
      <c r="BR955" s="282">
        <v>50.425468444824219</v>
      </c>
      <c r="BS955" s="283">
        <v>42235</v>
      </c>
      <c r="BT955" s="282">
        <v>17.88389778137207</v>
      </c>
      <c r="BU955" s="283">
        <v>42235</v>
      </c>
      <c r="BV955" s="282">
        <v>20.586502075195313</v>
      </c>
      <c r="BW955" s="283">
        <v>42235</v>
      </c>
      <c r="BX955" s="282">
        <v>5.6004409790039062</v>
      </c>
      <c r="BY955" s="283">
        <v>42235</v>
      </c>
      <c r="CB955" s="267">
        <v>6.3</v>
      </c>
      <c r="CD955" s="282">
        <v>3.5714285714285587</v>
      </c>
      <c r="CE955" s="291" t="s">
        <v>8398</v>
      </c>
      <c r="CH955" s="136">
        <v>1</v>
      </c>
      <c r="CI955" s="136">
        <v>2</v>
      </c>
      <c r="CL955" s="136">
        <v>3</v>
      </c>
      <c r="CM955" s="259">
        <v>42161</v>
      </c>
      <c r="CN955" s="137" t="s">
        <v>8406</v>
      </c>
    </row>
    <row r="956" spans="1:92">
      <c r="A956" s="258">
        <v>1587</v>
      </c>
      <c r="B956" s="235">
        <v>711</v>
      </c>
      <c r="C956" s="235" t="s">
        <v>7635</v>
      </c>
      <c r="D956" s="235" t="s">
        <v>7468</v>
      </c>
      <c r="E956" s="235" t="s">
        <v>7635</v>
      </c>
      <c r="F956" s="235" t="s">
        <v>8507</v>
      </c>
      <c r="G956" s="235" t="str">
        <f t="shared" si="518"/>
        <v>Rapsodyn</v>
      </c>
      <c r="H956" s="235" t="s">
        <v>267</v>
      </c>
      <c r="I956" s="235">
        <v>2</v>
      </c>
      <c r="J956" s="235">
        <v>9023</v>
      </c>
      <c r="K956" s="235">
        <v>20</v>
      </c>
      <c r="L956" s="235">
        <f t="shared" si="525"/>
        <v>92</v>
      </c>
      <c r="M956" s="235">
        <v>10</v>
      </c>
      <c r="N956" s="236">
        <v>9</v>
      </c>
      <c r="O956" s="248">
        <v>42048</v>
      </c>
      <c r="P956" s="136">
        <v>5.68</v>
      </c>
      <c r="Q956" s="264">
        <v>42204</v>
      </c>
      <c r="V956" s="219">
        <f t="shared" si="519"/>
        <v>17.925753659010624</v>
      </c>
      <c r="X956">
        <v>15.55</v>
      </c>
      <c r="AB956" s="220">
        <f t="shared" si="520"/>
        <v>5.8623810156142584</v>
      </c>
      <c r="AD956" s="221">
        <f t="shared" si="521"/>
        <v>78139.961458464139</v>
      </c>
      <c r="AF956" s="220">
        <f t="shared" si="522"/>
        <v>33.912743272973437</v>
      </c>
      <c r="AH956" s="220">
        <f t="shared" si="523"/>
        <v>38.027296785123831</v>
      </c>
      <c r="AJ956">
        <v>4.34</v>
      </c>
      <c r="AK956" s="285" t="s">
        <v>8398</v>
      </c>
      <c r="AL956" s="260">
        <v>170</v>
      </c>
      <c r="AN956" s="235">
        <v>75</v>
      </c>
      <c r="AO956" s="242">
        <v>42079</v>
      </c>
      <c r="AP956" s="235">
        <v>110</v>
      </c>
      <c r="AQ956" s="242">
        <v>42114</v>
      </c>
      <c r="AR956" s="136">
        <v>133</v>
      </c>
      <c r="AS956" s="297">
        <f t="shared" si="524"/>
        <v>133</v>
      </c>
      <c r="AT956" s="290">
        <v>42137</v>
      </c>
      <c r="AU956" s="298"/>
      <c r="BF956" s="282">
        <v>44.104171752929688</v>
      </c>
      <c r="BG956" s="283">
        <v>42235</v>
      </c>
      <c r="BL956" s="296">
        <v>60.252773284912109</v>
      </c>
      <c r="BM956" s="283">
        <v>42235</v>
      </c>
      <c r="BP956" s="282">
        <v>3.4992249011993408</v>
      </c>
      <c r="BQ956" s="283">
        <v>42235</v>
      </c>
      <c r="BR956" s="282">
        <v>52.85845947265625</v>
      </c>
      <c r="BS956" s="283">
        <v>42235</v>
      </c>
      <c r="BT956" s="282">
        <v>17.286661148071289</v>
      </c>
      <c r="BU956" s="283">
        <v>42235</v>
      </c>
      <c r="BV956" s="282">
        <v>56.637344360351563</v>
      </c>
      <c r="BW956" s="283">
        <v>42235</v>
      </c>
      <c r="BX956" s="282">
        <v>5.3856353759765625</v>
      </c>
      <c r="BY956" s="283">
        <v>42235</v>
      </c>
      <c r="CB956" s="267">
        <v>6.41</v>
      </c>
      <c r="CD956" s="282">
        <v>5.2631578947368389</v>
      </c>
      <c r="CE956" s="291" t="s">
        <v>8398</v>
      </c>
      <c r="CH956" s="136">
        <v>3</v>
      </c>
      <c r="CI956" s="136">
        <v>3</v>
      </c>
      <c r="CL956" s="136">
        <v>5</v>
      </c>
      <c r="CM956" s="259">
        <v>42161</v>
      </c>
      <c r="CN956" s="137" t="s">
        <v>8406</v>
      </c>
    </row>
    <row r="957" spans="1:92">
      <c r="A957" s="258">
        <v>1588</v>
      </c>
      <c r="B957" s="235">
        <v>712</v>
      </c>
      <c r="C957" s="235" t="s">
        <v>7617</v>
      </c>
      <c r="D957" s="235" t="s">
        <v>7454</v>
      </c>
      <c r="E957" s="235" t="s">
        <v>7617</v>
      </c>
      <c r="F957" s="235" t="s">
        <v>8506</v>
      </c>
      <c r="G957" s="235" t="str">
        <f t="shared" si="518"/>
        <v>Rapsodyn</v>
      </c>
      <c r="H957" s="235" t="s">
        <v>267</v>
      </c>
      <c r="I957" s="235">
        <v>2</v>
      </c>
      <c r="J957" s="235">
        <v>9010</v>
      </c>
      <c r="K957" s="235">
        <v>19</v>
      </c>
      <c r="L957" s="235">
        <f t="shared" si="525"/>
        <v>91</v>
      </c>
      <c r="M957" s="235">
        <v>10</v>
      </c>
      <c r="N957" s="235">
        <v>9</v>
      </c>
      <c r="O957" s="248">
        <v>42048</v>
      </c>
      <c r="P957" s="136">
        <v>4.75</v>
      </c>
      <c r="Q957" s="264">
        <v>42204</v>
      </c>
      <c r="V957" s="219">
        <f t="shared" si="519"/>
        <v>13.293407210086206</v>
      </c>
      <c r="X957">
        <v>15.55</v>
      </c>
      <c r="AB957" s="220">
        <f t="shared" si="520"/>
        <v>5.6860505681357605</v>
      </c>
      <c r="AD957" s="221">
        <f t="shared" si="521"/>
        <v>69122.774818342979</v>
      </c>
      <c r="AF957" s="220">
        <f t="shared" si="522"/>
        <v>27.718232702155532</v>
      </c>
      <c r="AH957" s="220">
        <f t="shared" si="523"/>
        <v>31.081220791831718</v>
      </c>
      <c r="AJ957">
        <v>4.01</v>
      </c>
      <c r="AK957" s="285" t="s">
        <v>8398</v>
      </c>
      <c r="AL957" s="260">
        <v>155</v>
      </c>
      <c r="AN957" s="235">
        <v>72</v>
      </c>
      <c r="AO957" s="242">
        <v>42076</v>
      </c>
      <c r="AP957" s="235">
        <v>104</v>
      </c>
      <c r="AQ957" s="242">
        <v>42108</v>
      </c>
      <c r="AR957" s="136">
        <v>127</v>
      </c>
      <c r="AS957" s="297">
        <f t="shared" si="524"/>
        <v>127</v>
      </c>
      <c r="AT957" s="290">
        <v>42131</v>
      </c>
      <c r="AU957" s="298"/>
      <c r="BF957" s="282">
        <v>44.496063232421875</v>
      </c>
      <c r="BG957" s="283">
        <v>42235</v>
      </c>
      <c r="BL957" s="296">
        <v>58.9571533203125</v>
      </c>
      <c r="BM957" s="283">
        <v>42235</v>
      </c>
      <c r="BP957" s="282">
        <v>2.6619260311126709</v>
      </c>
      <c r="BQ957" s="283">
        <v>42235</v>
      </c>
      <c r="BR957" s="282">
        <v>47.959072113037109</v>
      </c>
      <c r="BS957" s="283">
        <v>42235</v>
      </c>
      <c r="BT957" s="282">
        <v>20.513755798339844</v>
      </c>
      <c r="BU957" s="283">
        <v>42235</v>
      </c>
      <c r="BV957" s="282">
        <v>64.683822631835937</v>
      </c>
      <c r="BW957" s="283">
        <v>42235</v>
      </c>
      <c r="BX957" s="282">
        <v>5.4424209594726562</v>
      </c>
      <c r="BY957" s="283">
        <v>42235</v>
      </c>
      <c r="CB957" s="267">
        <v>5.14</v>
      </c>
      <c r="CD957" s="282">
        <v>7.4074074074074137</v>
      </c>
      <c r="CE957" s="291" t="s">
        <v>8398</v>
      </c>
      <c r="CH957" s="136">
        <v>2</v>
      </c>
      <c r="CI957" s="136">
        <v>5</v>
      </c>
      <c r="CL957" s="136">
        <v>2</v>
      </c>
      <c r="CM957" s="259">
        <v>42161</v>
      </c>
      <c r="CN957" s="137" t="s">
        <v>8406</v>
      </c>
    </row>
    <row r="958" spans="1:92">
      <c r="A958" s="258">
        <v>1592</v>
      </c>
      <c r="B958" s="235">
        <v>716</v>
      </c>
      <c r="C958" s="235" t="s">
        <v>7724</v>
      </c>
      <c r="D958" s="235" t="s">
        <v>7821</v>
      </c>
      <c r="E958" s="235" t="s">
        <v>7724</v>
      </c>
      <c r="F958" s="235" t="s">
        <v>8505</v>
      </c>
      <c r="G958" s="235" t="str">
        <f t="shared" si="518"/>
        <v>Rapsodyn</v>
      </c>
      <c r="H958" s="235" t="s">
        <v>267</v>
      </c>
      <c r="I958" s="235">
        <v>2</v>
      </c>
      <c r="J958" s="235">
        <v>9106</v>
      </c>
      <c r="K958" s="235">
        <v>15</v>
      </c>
      <c r="L958" s="235">
        <f t="shared" si="525"/>
        <v>87</v>
      </c>
      <c r="M958" s="235">
        <v>10</v>
      </c>
      <c r="N958" s="235">
        <v>7</v>
      </c>
      <c r="O958" s="248">
        <v>42048</v>
      </c>
      <c r="P958" s="136">
        <v>7.46</v>
      </c>
      <c r="Q958" s="264">
        <v>42204</v>
      </c>
      <c r="V958" s="219">
        <f t="shared" si="519"/>
        <v>22.059170687736458</v>
      </c>
      <c r="X958">
        <v>15.55</v>
      </c>
      <c r="AB958" s="220">
        <f t="shared" si="520"/>
        <v>7.7118240536944942</v>
      </c>
      <c r="AD958" s="221">
        <f t="shared" si="521"/>
        <v>101841.4178064905</v>
      </c>
      <c r="AF958" s="220">
        <f t="shared" si="522"/>
        <v>44.402858163629858</v>
      </c>
      <c r="AH958" s="220">
        <f t="shared" si="523"/>
        <v>49.790152684043349</v>
      </c>
      <c r="AJ958">
        <v>4.3600000000000003</v>
      </c>
      <c r="AK958" s="285" t="s">
        <v>8398</v>
      </c>
      <c r="AL958" s="260">
        <v>160</v>
      </c>
      <c r="AN958" s="235">
        <v>70</v>
      </c>
      <c r="AO958" s="242">
        <v>42074</v>
      </c>
      <c r="AP958" s="235">
        <v>104</v>
      </c>
      <c r="AQ958" s="242">
        <v>42108</v>
      </c>
      <c r="AR958" s="136">
        <v>130</v>
      </c>
      <c r="AS958" s="297">
        <f t="shared" si="524"/>
        <v>130</v>
      </c>
      <c r="AT958" s="290">
        <v>42134</v>
      </c>
      <c r="AU958" s="298"/>
      <c r="BF958" s="282">
        <v>-2.9867289066314697</v>
      </c>
      <c r="BG958" s="283">
        <v>42235</v>
      </c>
      <c r="BL958" s="296">
        <v>64.176925659179688</v>
      </c>
      <c r="BM958" s="283">
        <v>42235</v>
      </c>
      <c r="BP958" s="282">
        <v>3.2909150123596191</v>
      </c>
      <c r="BQ958" s="283">
        <v>42235</v>
      </c>
      <c r="BR958" s="282">
        <v>49.679618835449219</v>
      </c>
      <c r="BS958" s="283">
        <v>42235</v>
      </c>
      <c r="BT958" s="282">
        <v>17.367855072021484</v>
      </c>
      <c r="BU958" s="283">
        <v>42235</v>
      </c>
      <c r="BV958" s="282">
        <v>14.402730941772461</v>
      </c>
      <c r="BW958" s="283">
        <v>42235</v>
      </c>
      <c r="BX958" s="282">
        <v>5.6330642700195313</v>
      </c>
      <c r="BY958" s="283">
        <v>42235</v>
      </c>
      <c r="CB958" s="267">
        <v>5.83</v>
      </c>
      <c r="CD958" s="282">
        <v>5.5555555555555687</v>
      </c>
      <c r="CE958" s="291" t="s">
        <v>8398</v>
      </c>
      <c r="CH958" s="136">
        <v>1</v>
      </c>
      <c r="CI958" s="136">
        <v>3</v>
      </c>
      <c r="CL958" s="136">
        <v>2</v>
      </c>
      <c r="CM958" s="259">
        <v>42161</v>
      </c>
      <c r="CN958" s="137" t="s">
        <v>8406</v>
      </c>
    </row>
    <row r="959" spans="1:92">
      <c r="A959" s="258">
        <v>1594</v>
      </c>
      <c r="B959" s="96">
        <v>718</v>
      </c>
      <c r="C959" s="96" t="s">
        <v>7624</v>
      </c>
      <c r="D959" s="96" t="s">
        <v>7459</v>
      </c>
      <c r="E959" s="96" t="s">
        <v>7624</v>
      </c>
      <c r="F959" s="96" t="s">
        <v>8504</v>
      </c>
      <c r="G959" s="235" t="str">
        <f t="shared" si="518"/>
        <v>Rapsodyn</v>
      </c>
      <c r="H959" s="235" t="s">
        <v>267</v>
      </c>
      <c r="I959" s="235">
        <v>2</v>
      </c>
      <c r="J959" s="96">
        <v>9016</v>
      </c>
      <c r="K959" s="96">
        <v>13</v>
      </c>
      <c r="L959" s="235">
        <f t="shared" si="525"/>
        <v>85</v>
      </c>
      <c r="M959" s="96">
        <v>10</v>
      </c>
      <c r="N959" s="235">
        <v>7</v>
      </c>
      <c r="O959" s="248">
        <v>42048</v>
      </c>
      <c r="P959" s="136">
        <v>3.88</v>
      </c>
      <c r="Q959" s="264">
        <v>42204</v>
      </c>
      <c r="V959" s="219">
        <f t="shared" si="519"/>
        <v>10.932235907642136</v>
      </c>
      <c r="X959">
        <v>15.55</v>
      </c>
      <c r="AB959" s="220">
        <f t="shared" si="520"/>
        <v>5.0773626645975343</v>
      </c>
      <c r="AD959" s="221">
        <f t="shared" si="521"/>
        <v>45079.865134019805</v>
      </c>
      <c r="AF959" s="220">
        <f t="shared" si="522"/>
        <v>23.982488251298538</v>
      </c>
      <c r="AH959" s="220">
        <f t="shared" si="523"/>
        <v>26.892227238504748</v>
      </c>
      <c r="AJ959">
        <v>5.32</v>
      </c>
      <c r="AK959" s="285" t="s">
        <v>8398</v>
      </c>
      <c r="AL959" s="260">
        <v>185</v>
      </c>
      <c r="AN959" s="235">
        <v>61</v>
      </c>
      <c r="AO959" s="249">
        <v>42065</v>
      </c>
      <c r="AP959" s="235">
        <v>104</v>
      </c>
      <c r="AQ959" s="242">
        <v>42108</v>
      </c>
      <c r="AR959" s="136">
        <v>134</v>
      </c>
      <c r="AS959" s="297">
        <f t="shared" si="524"/>
        <v>134</v>
      </c>
      <c r="AT959" s="290">
        <v>42138</v>
      </c>
      <c r="AU959" s="298"/>
      <c r="BF959" s="282">
        <v>25.354221343994141</v>
      </c>
      <c r="BG959" s="283">
        <v>42235</v>
      </c>
      <c r="BL959" s="296">
        <v>60.766277313232422</v>
      </c>
      <c r="BM959" s="283">
        <v>42235</v>
      </c>
      <c r="BP959" s="282">
        <v>3.5313820838928223</v>
      </c>
      <c r="BQ959" s="283">
        <v>42235</v>
      </c>
      <c r="BR959" s="282">
        <v>45.584243774414063</v>
      </c>
      <c r="BS959" s="283">
        <v>42235</v>
      </c>
      <c r="BT959" s="282">
        <v>21.171125411987305</v>
      </c>
      <c r="BU959" s="283">
        <v>42235</v>
      </c>
      <c r="BV959" s="282">
        <v>64.7607421875</v>
      </c>
      <c r="BW959" s="283">
        <v>42235</v>
      </c>
      <c r="BX959" s="282">
        <v>6.1065216064453125</v>
      </c>
      <c r="BY959" s="283">
        <v>42235</v>
      </c>
      <c r="CB959" s="267">
        <v>7</v>
      </c>
      <c r="CD959" s="282">
        <v>1.9230769230769333</v>
      </c>
      <c r="CE959" s="291" t="s">
        <v>8398</v>
      </c>
      <c r="CH959" s="136">
        <v>1</v>
      </c>
      <c r="CI959" s="136">
        <v>3</v>
      </c>
      <c r="CL959" s="136">
        <v>8</v>
      </c>
      <c r="CM959" s="259">
        <v>42161</v>
      </c>
      <c r="CN959" s="137" t="s">
        <v>8391</v>
      </c>
    </row>
    <row r="960" spans="1:92">
      <c r="A960" s="258">
        <v>1595</v>
      </c>
      <c r="B960" s="235">
        <v>719</v>
      </c>
      <c r="C960" s="235" t="s">
        <v>7656</v>
      </c>
      <c r="D960" s="235" t="s">
        <v>7486</v>
      </c>
      <c r="E960" s="235" t="s">
        <v>7656</v>
      </c>
      <c r="F960" s="235" t="s">
        <v>8503</v>
      </c>
      <c r="G960" s="235" t="str">
        <f t="shared" si="518"/>
        <v>Rapsodyn</v>
      </c>
      <c r="H960" s="235" t="s">
        <v>267</v>
      </c>
      <c r="I960" s="235">
        <v>2</v>
      </c>
      <c r="J960" s="235">
        <v>9039</v>
      </c>
      <c r="K960" s="235">
        <v>12</v>
      </c>
      <c r="L960" s="235">
        <f t="shared" si="525"/>
        <v>84</v>
      </c>
      <c r="M960" s="235">
        <v>10</v>
      </c>
      <c r="N960" s="235">
        <v>7</v>
      </c>
      <c r="O960" s="248">
        <v>42048</v>
      </c>
      <c r="P960" s="136">
        <v>6.98</v>
      </c>
      <c r="Q960" s="264">
        <v>42204</v>
      </c>
      <c r="V960" s="219">
        <f t="shared" si="519"/>
        <v>20.563129830262771</v>
      </c>
      <c r="X960">
        <v>15.55</v>
      </c>
      <c r="AB960" s="220">
        <f t="shared" si="520"/>
        <v>7.1681871002760218</v>
      </c>
      <c r="AD960" s="221">
        <f t="shared" si="521"/>
        <v>78810.623073367184</v>
      </c>
      <c r="AF960" s="220">
        <f t="shared" si="522"/>
        <v>40.902713375077568</v>
      </c>
      <c r="AH960" s="220">
        <f t="shared" si="523"/>
        <v>45.86534354684634</v>
      </c>
      <c r="AJ960">
        <v>5.19</v>
      </c>
      <c r="AK960" s="285" t="s">
        <v>8401</v>
      </c>
      <c r="AL960" s="260">
        <v>175</v>
      </c>
      <c r="AN960" s="235">
        <v>65</v>
      </c>
      <c r="AO960" s="242">
        <v>42069</v>
      </c>
      <c r="AP960" s="235">
        <v>106</v>
      </c>
      <c r="AQ960" s="242">
        <v>42110</v>
      </c>
      <c r="AR960" s="136">
        <v>127</v>
      </c>
      <c r="AS960" s="297">
        <f t="shared" si="524"/>
        <v>127</v>
      </c>
      <c r="AT960" s="290">
        <v>42131</v>
      </c>
      <c r="AU960" s="298"/>
      <c r="BF960" s="282">
        <v>-4.4246501922607422</v>
      </c>
      <c r="BG960" s="283">
        <v>42234</v>
      </c>
      <c r="BL960" s="296">
        <v>66.390106201171875</v>
      </c>
      <c r="BM960" s="283">
        <v>42234</v>
      </c>
      <c r="BP960" s="282">
        <v>4.1182107925415039</v>
      </c>
      <c r="BQ960" s="283">
        <v>42234</v>
      </c>
      <c r="BR960" s="282">
        <v>50.273265838623047</v>
      </c>
      <c r="BS960" s="283">
        <v>42234</v>
      </c>
      <c r="BT960" s="282">
        <v>17.524967193603516</v>
      </c>
      <c r="BU960" s="283">
        <v>42234</v>
      </c>
      <c r="BV960" s="282">
        <v>12.641234397888184</v>
      </c>
      <c r="BW960" s="283">
        <v>42234</v>
      </c>
      <c r="BX960" s="282">
        <v>5.5240707397460938</v>
      </c>
      <c r="BY960" s="283">
        <v>42234</v>
      </c>
      <c r="CB960" s="267">
        <v>7.18</v>
      </c>
      <c r="CD960" s="282">
        <v>7.0175438596491295</v>
      </c>
      <c r="CE960" s="291" t="s">
        <v>8401</v>
      </c>
      <c r="CH960" s="136">
        <v>1</v>
      </c>
      <c r="CI960" s="136">
        <v>4</v>
      </c>
      <c r="CL960" s="136">
        <v>1</v>
      </c>
      <c r="CM960" s="259">
        <v>42161</v>
      </c>
      <c r="CN960" s="137" t="s">
        <v>8406</v>
      </c>
    </row>
    <row r="961" spans="1:93">
      <c r="A961" s="258">
        <v>1596</v>
      </c>
      <c r="B961" s="235">
        <v>720</v>
      </c>
      <c r="C961" s="235" t="s">
        <v>7716</v>
      </c>
      <c r="D961" s="235" t="s">
        <v>7540</v>
      </c>
      <c r="E961" s="235" t="s">
        <v>7716</v>
      </c>
      <c r="F961" s="235" t="s">
        <v>8502</v>
      </c>
      <c r="G961" s="235" t="str">
        <f t="shared" si="518"/>
        <v>Rapsodyn</v>
      </c>
      <c r="H961" s="235" t="s">
        <v>267</v>
      </c>
      <c r="I961" s="235">
        <v>2</v>
      </c>
      <c r="J961" s="235">
        <v>9098</v>
      </c>
      <c r="K961" s="235">
        <v>11</v>
      </c>
      <c r="L961" s="235">
        <f t="shared" si="525"/>
        <v>83</v>
      </c>
      <c r="M961" s="235">
        <v>10</v>
      </c>
      <c r="N961" s="235">
        <v>7</v>
      </c>
      <c r="O961" s="248">
        <v>42048</v>
      </c>
      <c r="P961" s="136">
        <v>6.44</v>
      </c>
      <c r="Q961" s="264">
        <v>42204</v>
      </c>
      <c r="V961" s="219">
        <f t="shared" si="519"/>
        <v>19.574121673534925</v>
      </c>
      <c r="X961">
        <v>15.55</v>
      </c>
      <c r="AB961" s="220">
        <f t="shared" si="520"/>
        <v>6.8062053018060933</v>
      </c>
      <c r="AD961" s="221">
        <f t="shared" si="521"/>
        <v>86395.093801239345</v>
      </c>
      <c r="AF961" s="220">
        <f t="shared" si="522"/>
        <v>39.136977491961424</v>
      </c>
      <c r="AH961" s="220">
        <f t="shared" si="523"/>
        <v>43.88537507508569</v>
      </c>
      <c r="AJ961">
        <v>4.53</v>
      </c>
      <c r="AK961" s="285" t="s">
        <v>8401</v>
      </c>
      <c r="AL961" s="260">
        <v>155</v>
      </c>
      <c r="AN961" s="235">
        <v>70</v>
      </c>
      <c r="AO961" s="242">
        <v>42074</v>
      </c>
      <c r="AP961" s="235">
        <v>100</v>
      </c>
      <c r="AQ961" s="242">
        <v>42104</v>
      </c>
      <c r="AR961" s="136">
        <v>131</v>
      </c>
      <c r="AS961" s="297">
        <f t="shared" si="524"/>
        <v>131</v>
      </c>
      <c r="AT961" s="290">
        <v>42135</v>
      </c>
      <c r="AU961" s="298"/>
      <c r="BF961" s="282">
        <v>-0.62764698266983032</v>
      </c>
      <c r="BG961" s="283">
        <v>42234</v>
      </c>
      <c r="BL961" s="296">
        <v>63.686206817626953</v>
      </c>
      <c r="BM961" s="283">
        <v>42234</v>
      </c>
      <c r="BP961" s="282">
        <v>4.4579582214355469</v>
      </c>
      <c r="BQ961" s="283">
        <v>42234</v>
      </c>
      <c r="BR961" s="282">
        <v>50.014392852783203</v>
      </c>
      <c r="BS961" s="283">
        <v>42234</v>
      </c>
      <c r="BT961" s="282">
        <v>17.390727996826172</v>
      </c>
      <c r="BU961" s="283">
        <v>42234</v>
      </c>
      <c r="BV961" s="282">
        <v>13.867094039916992</v>
      </c>
      <c r="BW961" s="283">
        <v>42234</v>
      </c>
      <c r="BX961" s="282">
        <v>5.518524169921875</v>
      </c>
      <c r="BY961" s="283">
        <v>42234</v>
      </c>
      <c r="CB961" s="267">
        <v>6.63</v>
      </c>
      <c r="CD961" s="282">
        <v>3.5714285714285587</v>
      </c>
      <c r="CE961" s="291" t="s">
        <v>8401</v>
      </c>
      <c r="CH961" s="136">
        <v>1</v>
      </c>
      <c r="CI961" s="136">
        <v>6</v>
      </c>
      <c r="CL961" s="136">
        <v>1</v>
      </c>
      <c r="CM961" s="259">
        <v>42161</v>
      </c>
      <c r="CN961" s="137" t="s">
        <v>8406</v>
      </c>
    </row>
    <row r="962" spans="1:93">
      <c r="A962" s="258">
        <v>1597</v>
      </c>
      <c r="B962" s="235">
        <v>721</v>
      </c>
      <c r="C962" s="235" t="s">
        <v>7674</v>
      </c>
      <c r="D962" s="235" t="s">
        <v>7503</v>
      </c>
      <c r="E962" s="235" t="s">
        <v>7674</v>
      </c>
      <c r="F962" s="235" t="s">
        <v>8501</v>
      </c>
      <c r="G962" s="235" t="str">
        <f t="shared" si="518"/>
        <v>Rapsodyn</v>
      </c>
      <c r="H962" s="235" t="s">
        <v>267</v>
      </c>
      <c r="I962" s="235">
        <v>2</v>
      </c>
      <c r="J962" s="235">
        <v>9056</v>
      </c>
      <c r="K962" s="235">
        <v>10</v>
      </c>
      <c r="L962" s="235">
        <f t="shared" si="525"/>
        <v>82</v>
      </c>
      <c r="M962" s="235">
        <v>10</v>
      </c>
      <c r="N962" s="235">
        <v>7</v>
      </c>
      <c r="O962" s="248">
        <v>42048</v>
      </c>
      <c r="P962" s="136">
        <v>6.19</v>
      </c>
      <c r="Q962" s="264">
        <v>42204</v>
      </c>
      <c r="V962" s="219">
        <f t="shared" si="519"/>
        <v>18.083453832441005</v>
      </c>
      <c r="X962">
        <v>15.55</v>
      </c>
      <c r="AB962" s="220">
        <f t="shared" si="520"/>
        <v>6.3670095707276291</v>
      </c>
      <c r="AD962" s="221">
        <f t="shared" si="521"/>
        <v>77952.264715415455</v>
      </c>
      <c r="AF962" s="220">
        <f t="shared" si="522"/>
        <v>37.027325739822338</v>
      </c>
      <c r="AH962" s="220">
        <f t="shared" si="523"/>
        <v>41.519764229448676</v>
      </c>
      <c r="AJ962">
        <v>4.75</v>
      </c>
      <c r="AK962" s="285" t="s">
        <v>8401</v>
      </c>
      <c r="AL962" s="260">
        <v>165</v>
      </c>
      <c r="AN962" s="235">
        <v>70</v>
      </c>
      <c r="AO962" s="242">
        <v>42074</v>
      </c>
      <c r="AP962" s="235">
        <v>104</v>
      </c>
      <c r="AQ962" s="242">
        <v>42108</v>
      </c>
      <c r="AR962" s="136">
        <v>131</v>
      </c>
      <c r="AS962" s="297">
        <f t="shared" si="524"/>
        <v>131</v>
      </c>
      <c r="AT962" s="290">
        <v>42135</v>
      </c>
      <c r="AU962" s="298"/>
      <c r="BF962" s="282">
        <v>-3.6561200618743896</v>
      </c>
      <c r="BG962" s="283">
        <v>42234</v>
      </c>
      <c r="BL962" s="296">
        <v>60.639602661132812</v>
      </c>
      <c r="BM962" s="283">
        <v>42234</v>
      </c>
      <c r="BP962" s="282">
        <v>4.1597228050231934</v>
      </c>
      <c r="BQ962" s="283">
        <v>42234</v>
      </c>
      <c r="BR962" s="282">
        <v>48.838130950927734</v>
      </c>
      <c r="BS962" s="283">
        <v>42234</v>
      </c>
      <c r="BT962" s="282">
        <v>17.1954345703125</v>
      </c>
      <c r="BU962" s="283">
        <v>42234</v>
      </c>
      <c r="BV962" s="282">
        <v>12.941198348999023</v>
      </c>
      <c r="BW962" s="283">
        <v>42234</v>
      </c>
      <c r="BX962" s="282">
        <v>5.5108642578125</v>
      </c>
      <c r="BY962" s="283">
        <v>42234</v>
      </c>
      <c r="CB962" s="267">
        <v>6.66</v>
      </c>
      <c r="CD962" s="282">
        <v>5.0847457627118757</v>
      </c>
      <c r="CE962" s="291" t="s">
        <v>8401</v>
      </c>
      <c r="CH962" s="136">
        <v>1</v>
      </c>
      <c r="CI962" s="136">
        <v>4</v>
      </c>
      <c r="CL962" s="136">
        <v>1</v>
      </c>
      <c r="CM962" s="259">
        <v>42161</v>
      </c>
      <c r="CN962" s="137" t="s">
        <v>8406</v>
      </c>
    </row>
    <row r="963" spans="1:93">
      <c r="A963" s="258">
        <v>1599</v>
      </c>
      <c r="B963" s="235">
        <v>723</v>
      </c>
      <c r="C963" s="235" t="s">
        <v>7576</v>
      </c>
      <c r="D963" s="235"/>
      <c r="E963" s="235"/>
      <c r="F963" s="235"/>
      <c r="G963" s="235"/>
      <c r="H963" s="235" t="s">
        <v>267</v>
      </c>
      <c r="I963" s="235">
        <v>2</v>
      </c>
      <c r="K963" s="235">
        <v>8</v>
      </c>
      <c r="L963" s="235">
        <f t="shared" si="525"/>
        <v>80</v>
      </c>
      <c r="M963" s="235">
        <v>10</v>
      </c>
      <c r="O963" s="248">
        <v>42048</v>
      </c>
      <c r="V963" s="219"/>
      <c r="X963">
        <v>15.55</v>
      </c>
      <c r="AB963" s="220"/>
      <c r="AD963" s="221"/>
      <c r="AF963" s="220"/>
      <c r="AH963" s="220"/>
      <c r="AJ963" s="286"/>
      <c r="AK963" s="285"/>
      <c r="AL963" s="260"/>
      <c r="AN963" s="235">
        <v>70</v>
      </c>
      <c r="AO963" s="242">
        <v>42074</v>
      </c>
      <c r="AP963" s="235">
        <v>106</v>
      </c>
      <c r="AQ963" s="242">
        <v>42110</v>
      </c>
      <c r="AS963" s="297"/>
      <c r="AT963" s="290"/>
      <c r="AU963" s="298"/>
      <c r="BF963" s="282"/>
      <c r="BG963" s="235"/>
      <c r="BL963" s="296"/>
      <c r="BM963" s="235"/>
      <c r="BP963" s="282"/>
      <c r="BQ963" s="235"/>
      <c r="BR963" s="282"/>
      <c r="BS963" s="235"/>
      <c r="BT963" s="282"/>
      <c r="BU963" s="235"/>
      <c r="BV963" s="282"/>
      <c r="BW963" s="235"/>
      <c r="BX963" s="282"/>
      <c r="BY963" s="235"/>
      <c r="CB963" s="267"/>
      <c r="CD963" s="282"/>
      <c r="CE963" s="291"/>
      <c r="CL963" s="136">
        <v>3</v>
      </c>
      <c r="CM963" s="259">
        <v>42161</v>
      </c>
    </row>
    <row r="964" spans="1:93">
      <c r="A964" s="258">
        <v>1600</v>
      </c>
      <c r="B964" s="235">
        <v>724</v>
      </c>
      <c r="C964" s="235" t="s">
        <v>7645</v>
      </c>
      <c r="D964" s="235" t="s">
        <v>7477</v>
      </c>
      <c r="E964" s="235" t="s">
        <v>7645</v>
      </c>
      <c r="F964" s="235" t="s">
        <v>8500</v>
      </c>
      <c r="G964" s="235" t="str">
        <f>IF(MID(C964,1,3)="BGA","Complement","Rapsodyn")</f>
        <v>Rapsodyn</v>
      </c>
      <c r="H964" s="235" t="s">
        <v>267</v>
      </c>
      <c r="I964" s="235">
        <v>2</v>
      </c>
      <c r="J964" s="235">
        <v>9368</v>
      </c>
      <c r="K964" s="235">
        <v>7</v>
      </c>
      <c r="L964" s="235">
        <f t="shared" si="525"/>
        <v>79</v>
      </c>
      <c r="M964" s="235">
        <v>10</v>
      </c>
      <c r="N964" s="235">
        <v>7</v>
      </c>
      <c r="O964" s="248">
        <v>42048</v>
      </c>
      <c r="P964" s="136">
        <v>2.7</v>
      </c>
      <c r="Q964" s="264">
        <v>42204</v>
      </c>
      <c r="V964" s="219">
        <f>+BR964*AF964/100</f>
        <v>7.1077847510994605</v>
      </c>
      <c r="X964">
        <v>15.55</v>
      </c>
      <c r="AB964" s="220">
        <f>+AF964*BT964/100</f>
        <v>3.5582161654108506</v>
      </c>
      <c r="AD964" s="221">
        <f>+(AF964/AJ964)*10000</f>
        <v>35205.676904313121</v>
      </c>
      <c r="AF964" s="220">
        <f>($P964/$X964)*(((100-$CD964)/100*(100-2)/100))*100</f>
        <v>15.842554606940906</v>
      </c>
      <c r="AH964" s="220">
        <f>($P964/$X964)*(((100-$CD964)/(100-9)*(100-2)/(100-2))*100)</f>
        <v>17.764694558130639</v>
      </c>
      <c r="AJ964">
        <v>4.5</v>
      </c>
      <c r="AK964" s="285" t="s">
        <v>8400</v>
      </c>
      <c r="AL964" s="260">
        <v>175</v>
      </c>
      <c r="AN964" s="235">
        <v>75</v>
      </c>
      <c r="AO964" s="242">
        <v>42079</v>
      </c>
      <c r="AP964" s="235">
        <v>110</v>
      </c>
      <c r="AQ964" s="242">
        <v>42114</v>
      </c>
      <c r="AR964" s="136">
        <v>136</v>
      </c>
      <c r="AS964" s="297">
        <f>IF(AR964=0,,AR964)</f>
        <v>136</v>
      </c>
      <c r="AT964" s="290">
        <v>42140</v>
      </c>
      <c r="AU964" s="298"/>
      <c r="BF964" s="282">
        <v>0.64878702163696289</v>
      </c>
      <c r="BG964" s="283">
        <v>42236</v>
      </c>
      <c r="BL964" s="296">
        <v>58.053470611572266</v>
      </c>
      <c r="BM964" s="283">
        <v>42236</v>
      </c>
      <c r="BP964" s="282">
        <v>3.7120509147644043</v>
      </c>
      <c r="BQ964" s="283">
        <v>42236</v>
      </c>
      <c r="BR964" s="282">
        <v>44.865142822265625</v>
      </c>
      <c r="BS964" s="283">
        <v>42236</v>
      </c>
      <c r="BT964" s="282">
        <v>22.459863662719727</v>
      </c>
      <c r="BU964" s="283">
        <v>42236</v>
      </c>
      <c r="BV964" s="282">
        <v>72.256492614746094</v>
      </c>
      <c r="BW964" s="283">
        <v>42236</v>
      </c>
      <c r="BX964" s="282">
        <v>5.9454803466796875</v>
      </c>
      <c r="BY964" s="283">
        <v>42236</v>
      </c>
      <c r="CB964" s="267">
        <v>6.85</v>
      </c>
      <c r="CD964" s="282">
        <v>6.8965517241379226</v>
      </c>
      <c r="CE964" s="291" t="s">
        <v>8400</v>
      </c>
      <c r="CH964" s="136">
        <v>2</v>
      </c>
      <c r="CI964" s="136">
        <v>8</v>
      </c>
      <c r="CL964" s="136">
        <v>8</v>
      </c>
      <c r="CM964" s="259">
        <v>42161</v>
      </c>
      <c r="CN964" s="137" t="s">
        <v>8391</v>
      </c>
      <c r="CO964" s="137" t="s">
        <v>8405</v>
      </c>
    </row>
    <row r="965" spans="1:93">
      <c r="A965" s="258">
        <v>1601</v>
      </c>
      <c r="B965" s="235">
        <v>725</v>
      </c>
      <c r="C965" s="235" t="s">
        <v>7745</v>
      </c>
      <c r="D965" s="235" t="s">
        <v>7875</v>
      </c>
      <c r="E965" s="235" t="s">
        <v>7745</v>
      </c>
      <c r="F965" s="235" t="s">
        <v>8499</v>
      </c>
      <c r="G965" s="235" t="str">
        <f>IF(MID(C965,1,3)="BGA","Complement","Rapsodyn")</f>
        <v>Rapsodyn</v>
      </c>
      <c r="H965" s="235" t="s">
        <v>267</v>
      </c>
      <c r="I965" s="235">
        <v>2</v>
      </c>
      <c r="J965" s="235">
        <v>9378</v>
      </c>
      <c r="K965" s="235">
        <v>6</v>
      </c>
      <c r="L965" s="235">
        <f t="shared" si="525"/>
        <v>78</v>
      </c>
      <c r="M965" s="235">
        <v>10</v>
      </c>
      <c r="N965" s="235">
        <v>7</v>
      </c>
      <c r="O965" s="248">
        <v>42048</v>
      </c>
      <c r="P965" s="136">
        <v>2.9</v>
      </c>
      <c r="Q965" s="264">
        <v>42204</v>
      </c>
      <c r="V965" s="219">
        <f>+BR965*AF965/100</f>
        <v>7.2409021879239104</v>
      </c>
      <c r="X965">
        <v>15.55</v>
      </c>
      <c r="AB965" s="220">
        <f>+AF965*BT965/100</f>
        <v>4.0208534547370354</v>
      </c>
      <c r="AD965" s="221">
        <f>+(AF965/AJ965)*10000</f>
        <v>41201.155376314789</v>
      </c>
      <c r="AF965" s="220">
        <f>($P965/$X965)*(((100-$CD965)/100*(100-2)/100))*100</f>
        <v>17.016077170418008</v>
      </c>
      <c r="AH965" s="220">
        <f>($P965/$X965)*(((100-$CD965)/(100-9)*(100-2)/(100-2))*100)</f>
        <v>19.080597858732908</v>
      </c>
      <c r="AJ965">
        <v>4.13</v>
      </c>
      <c r="AK965" s="285" t="s">
        <v>8400</v>
      </c>
      <c r="AL965" s="260">
        <v>180</v>
      </c>
      <c r="AN965" s="235">
        <v>72</v>
      </c>
      <c r="AO965" s="242">
        <v>42076</v>
      </c>
      <c r="AP965" s="235">
        <v>106</v>
      </c>
      <c r="AQ965" s="242">
        <v>42110</v>
      </c>
      <c r="AR965" s="136">
        <v>136</v>
      </c>
      <c r="AS965" s="297">
        <f>IF(AR965=0,,AR965)</f>
        <v>136</v>
      </c>
      <c r="AT965" s="290">
        <v>42140</v>
      </c>
      <c r="AU965" s="298"/>
      <c r="BF965" s="282">
        <v>32.963718414306641</v>
      </c>
      <c r="BG965" s="283">
        <v>42236</v>
      </c>
      <c r="BL965" s="296">
        <v>58.503604888916016</v>
      </c>
      <c r="BM965" s="283">
        <v>42236</v>
      </c>
      <c r="BP965" s="282">
        <v>3.995589017868042</v>
      </c>
      <c r="BQ965" s="283">
        <v>42236</v>
      </c>
      <c r="BR965" s="282">
        <v>42.553298950195313</v>
      </c>
      <c r="BS965" s="283">
        <v>42236</v>
      </c>
      <c r="BT965" s="282">
        <v>23.629732131958008</v>
      </c>
      <c r="BU965" s="283">
        <v>42236</v>
      </c>
      <c r="BV965" s="282">
        <v>73.204666137695313</v>
      </c>
      <c r="BW965" s="283">
        <v>42236</v>
      </c>
      <c r="BX965" s="282">
        <v>6.22320556640625</v>
      </c>
      <c r="BY965" s="283">
        <v>42236</v>
      </c>
      <c r="CB965" s="267">
        <v>6.95</v>
      </c>
      <c r="CD965" s="282">
        <v>6.8965517241379226</v>
      </c>
      <c r="CE965" s="291" t="s">
        <v>8400</v>
      </c>
      <c r="CH965" s="136">
        <v>2</v>
      </c>
      <c r="CI965" s="136">
        <v>6</v>
      </c>
      <c r="CL965" s="136">
        <v>8</v>
      </c>
      <c r="CM965" s="259">
        <v>42161</v>
      </c>
      <c r="CN965" s="137" t="s">
        <v>8391</v>
      </c>
    </row>
    <row r="966" spans="1:93">
      <c r="A966" s="258">
        <v>1602</v>
      </c>
      <c r="B966" s="235">
        <v>726</v>
      </c>
      <c r="C966" s="235" t="s">
        <v>7740</v>
      </c>
      <c r="D966" s="235" t="s">
        <v>8415</v>
      </c>
      <c r="E966" s="235" t="s">
        <v>7740</v>
      </c>
      <c r="F966" s="235" t="s">
        <v>8498</v>
      </c>
      <c r="G966" s="235" t="str">
        <f>IF(MID(C966,1,3)="BGA","Complement","Rapsodyn")</f>
        <v>Rapsodyn</v>
      </c>
      <c r="H966" s="235" t="s">
        <v>267</v>
      </c>
      <c r="I966" s="235">
        <v>2</v>
      </c>
      <c r="J966" s="235">
        <v>9375</v>
      </c>
      <c r="K966" s="235">
        <v>5</v>
      </c>
      <c r="L966" s="235">
        <f t="shared" si="525"/>
        <v>77</v>
      </c>
      <c r="M966" s="235">
        <v>10</v>
      </c>
      <c r="N966" s="235">
        <v>7</v>
      </c>
      <c r="O966" s="248">
        <v>42048</v>
      </c>
      <c r="P966" s="136">
        <v>2.4500000000000002</v>
      </c>
      <c r="Q966" s="264">
        <v>42204</v>
      </c>
      <c r="V966" s="219">
        <f>+BR966*AF966/100</f>
        <v>6.9110364269549898</v>
      </c>
      <c r="X966">
        <v>15.55</v>
      </c>
      <c r="AB966" s="220">
        <f>+AF966*BT966/100</f>
        <v>3.2730381205312331</v>
      </c>
      <c r="AD966" s="221">
        <f>+(AF966/AJ966)*10000</f>
        <v>24914.284334328921</v>
      </c>
      <c r="AF966" s="220">
        <f>($P966/$X966)*(((100-$CD966)/100*(100-2)/100))*100</f>
        <v>14.898742031928697</v>
      </c>
      <c r="AH966" s="220">
        <f>($P966/$X966)*(((100-$CD966)/(100-9)*(100-2)/(100-2))*100)</f>
        <v>16.706371419520856</v>
      </c>
      <c r="AJ966">
        <v>5.98</v>
      </c>
      <c r="AK966" s="285" t="s">
        <v>8398</v>
      </c>
      <c r="AL966" s="260">
        <v>150</v>
      </c>
      <c r="AN966" s="235">
        <v>72</v>
      </c>
      <c r="AO966" s="242">
        <v>42076</v>
      </c>
      <c r="AP966" s="235">
        <v>104</v>
      </c>
      <c r="AQ966" s="242">
        <v>42108</v>
      </c>
      <c r="AR966" s="136">
        <v>130</v>
      </c>
      <c r="AS966" s="297">
        <f>IF(AR966=0,,AR966)</f>
        <v>130</v>
      </c>
      <c r="AT966" s="290">
        <v>42134</v>
      </c>
      <c r="AU966" s="298"/>
      <c r="BF966" s="282">
        <v>30.353693008422852</v>
      </c>
      <c r="BG966" s="283">
        <v>42236</v>
      </c>
      <c r="BL966" s="296">
        <v>58.149162292480469</v>
      </c>
      <c r="BM966" s="283">
        <v>42236</v>
      </c>
      <c r="BP966" s="282">
        <v>4.0371251106262207</v>
      </c>
      <c r="BQ966" s="283">
        <v>42236</v>
      </c>
      <c r="BR966" s="282">
        <v>46.386711120605469</v>
      </c>
      <c r="BS966" s="283">
        <v>42236</v>
      </c>
      <c r="BT966" s="282">
        <v>21.96855354309082</v>
      </c>
      <c r="BU966" s="283">
        <v>42236</v>
      </c>
      <c r="BV966" s="282">
        <v>80.951583862304688</v>
      </c>
      <c r="BW966" s="283">
        <v>42236</v>
      </c>
      <c r="BX966" s="282">
        <v>6.1259613037109375</v>
      </c>
      <c r="BY966" s="283">
        <v>42236</v>
      </c>
      <c r="CB966" s="267">
        <v>7.48</v>
      </c>
      <c r="CD966" s="282">
        <v>3.5087719298245648</v>
      </c>
      <c r="CE966" s="291" t="s">
        <v>8398</v>
      </c>
      <c r="CH966" s="136">
        <v>1</v>
      </c>
      <c r="CI966" s="136">
        <v>4</v>
      </c>
      <c r="CL966" s="136">
        <v>9</v>
      </c>
      <c r="CM966" s="259">
        <v>42161</v>
      </c>
      <c r="CN966" s="137" t="s">
        <v>8391</v>
      </c>
    </row>
    <row r="967" spans="1:93">
      <c r="A967" s="258">
        <v>1603</v>
      </c>
      <c r="B967" s="235">
        <v>727</v>
      </c>
      <c r="C967" s="235" t="s">
        <v>7632</v>
      </c>
      <c r="D967" s="235" t="s">
        <v>7466</v>
      </c>
      <c r="E967" s="235" t="s">
        <v>7632</v>
      </c>
      <c r="F967" s="235" t="s">
        <v>8497</v>
      </c>
      <c r="G967" s="235" t="str">
        <f>IF(MID(C967,1,3)="BGA","Complement","Rapsodyn")</f>
        <v>Rapsodyn</v>
      </c>
      <c r="H967" s="235" t="s">
        <v>267</v>
      </c>
      <c r="I967" s="235">
        <v>2</v>
      </c>
      <c r="J967" s="235">
        <v>9366</v>
      </c>
      <c r="K967" s="235">
        <v>4</v>
      </c>
      <c r="L967" s="235">
        <f t="shared" si="525"/>
        <v>76</v>
      </c>
      <c r="M967" s="235">
        <v>10</v>
      </c>
      <c r="N967" s="236">
        <v>9</v>
      </c>
      <c r="O967" s="248">
        <v>42048</v>
      </c>
      <c r="P967" s="136">
        <v>3.9</v>
      </c>
      <c r="Q967" s="264">
        <v>42204</v>
      </c>
      <c r="V967" s="219">
        <f>+BR967*AF967/100</f>
        <v>10.253313513589184</v>
      </c>
      <c r="X967">
        <v>15.55</v>
      </c>
      <c r="AB967" s="220">
        <f>+AF967*BT967/100</f>
        <v>5.6710596186810616</v>
      </c>
      <c r="AD967" s="221">
        <f>+(AF967/AJ967)*10000</f>
        <v>49180.700128980687</v>
      </c>
      <c r="AF967" s="220">
        <f>($P967/$X967)*(((100-$CD967)/100*(100-2)/100))*100</f>
        <v>23.213290460878884</v>
      </c>
      <c r="AH967" s="220">
        <f>($P967/$X967)*(((100-$CD967)/(100-9)*(100-2)/(100-2))*100)</f>
        <v>26.029704486296122</v>
      </c>
      <c r="AJ967">
        <v>4.72</v>
      </c>
      <c r="AK967" s="285" t="s">
        <v>8398</v>
      </c>
      <c r="AL967" s="260">
        <v>155</v>
      </c>
      <c r="AN967" s="235">
        <v>72</v>
      </c>
      <c r="AO967" s="242">
        <v>42076</v>
      </c>
      <c r="AP967" s="235">
        <v>106</v>
      </c>
      <c r="AQ967" s="242">
        <v>42110</v>
      </c>
      <c r="AR967" s="136">
        <v>131</v>
      </c>
      <c r="AS967" s="297">
        <f>IF(AR967=0,,AR967)</f>
        <v>131</v>
      </c>
      <c r="AT967" s="290">
        <v>42135</v>
      </c>
      <c r="AU967" s="298"/>
      <c r="BF967" s="282">
        <v>35.733428955078125</v>
      </c>
      <c r="BG967" s="283">
        <v>42236</v>
      </c>
      <c r="BL967" s="296">
        <v>58.843215942382813</v>
      </c>
      <c r="BM967" s="283">
        <v>42236</v>
      </c>
      <c r="BP967" s="282">
        <v>4.2361268997192383</v>
      </c>
      <c r="BQ967" s="283">
        <v>42236</v>
      </c>
      <c r="BR967" s="282">
        <v>44.170013427734375</v>
      </c>
      <c r="BS967" s="283">
        <v>42236</v>
      </c>
      <c r="BT967" s="282">
        <v>24.430227279663086</v>
      </c>
      <c r="BU967" s="283">
        <v>42236</v>
      </c>
      <c r="BV967" s="282">
        <v>93.802154541015625</v>
      </c>
      <c r="BW967" s="283">
        <v>42236</v>
      </c>
      <c r="BX967" s="282">
        <v>6.4124298095703125</v>
      </c>
      <c r="BY967" s="283">
        <v>42236</v>
      </c>
      <c r="CB967" s="267">
        <v>8.07</v>
      </c>
      <c r="CD967" s="282">
        <v>5.5555555555555687</v>
      </c>
      <c r="CE967" s="291" t="s">
        <v>8398</v>
      </c>
      <c r="CH967" s="136">
        <v>2</v>
      </c>
      <c r="CI967" s="136">
        <v>3</v>
      </c>
      <c r="CL967" s="136">
        <v>8</v>
      </c>
      <c r="CM967" s="259">
        <v>42161</v>
      </c>
      <c r="CN967" s="137" t="s">
        <v>8391</v>
      </c>
    </row>
    <row r="968" spans="1:93">
      <c r="A968" s="258">
        <v>1604</v>
      </c>
      <c r="B968" s="235">
        <v>728</v>
      </c>
      <c r="C968" s="235" t="s">
        <v>7576</v>
      </c>
      <c r="D968" s="235"/>
      <c r="E968" s="235"/>
      <c r="F968" s="235"/>
      <c r="G968" s="235"/>
      <c r="H968" s="235" t="s">
        <v>267</v>
      </c>
      <c r="I968" s="235">
        <v>2</v>
      </c>
      <c r="K968" s="235">
        <v>3</v>
      </c>
      <c r="L968" s="235">
        <f t="shared" si="525"/>
        <v>75</v>
      </c>
      <c r="M968" s="235">
        <v>10</v>
      </c>
      <c r="O968" s="248">
        <v>42048</v>
      </c>
      <c r="V968" s="219"/>
      <c r="X968">
        <v>15.55</v>
      </c>
      <c r="AB968" s="220"/>
      <c r="AD968" s="221"/>
      <c r="AF968" s="220"/>
      <c r="AH968" s="220"/>
      <c r="AJ968" s="286"/>
      <c r="AK968" s="285"/>
      <c r="AL968" s="260"/>
      <c r="AN968" s="235">
        <v>70</v>
      </c>
      <c r="AO968" s="242">
        <v>42074</v>
      </c>
      <c r="AP968" s="235">
        <v>106</v>
      </c>
      <c r="AQ968" s="242">
        <v>42110</v>
      </c>
      <c r="AS968" s="297"/>
      <c r="AT968" s="290"/>
      <c r="AU968" s="298"/>
      <c r="BF968" s="282"/>
      <c r="BG968" s="235"/>
      <c r="BL968" s="296"/>
      <c r="BM968" s="235"/>
      <c r="BP968" s="282"/>
      <c r="BQ968" s="235"/>
      <c r="BR968" s="282"/>
      <c r="BS968" s="235"/>
      <c r="BT968" s="282"/>
      <c r="BU968" s="235"/>
      <c r="BV968" s="282"/>
      <c r="BW968" s="235"/>
      <c r="BX968" s="282"/>
      <c r="BY968" s="235"/>
      <c r="CB968" s="267"/>
      <c r="CD968" s="282"/>
      <c r="CE968" s="291"/>
      <c r="CL968" s="136">
        <v>1</v>
      </c>
      <c r="CM968" s="259">
        <v>42161</v>
      </c>
    </row>
    <row r="969" spans="1:93">
      <c r="A969" s="258">
        <v>1605</v>
      </c>
      <c r="B969" s="235">
        <v>729</v>
      </c>
      <c r="C969" s="235" t="s">
        <v>7576</v>
      </c>
      <c r="D969" s="235"/>
      <c r="E969" s="235"/>
      <c r="F969" s="235"/>
      <c r="G969" s="235"/>
      <c r="H969" s="235" t="s">
        <v>267</v>
      </c>
      <c r="I969" s="235">
        <v>2</v>
      </c>
      <c r="K969" s="235">
        <v>2</v>
      </c>
      <c r="L969" s="235">
        <f t="shared" si="525"/>
        <v>74</v>
      </c>
      <c r="M969" s="235">
        <v>10</v>
      </c>
      <c r="O969" s="248">
        <v>42048</v>
      </c>
      <c r="V969" s="219"/>
      <c r="X969">
        <v>15.55</v>
      </c>
      <c r="AB969" s="220"/>
      <c r="AD969" s="221"/>
      <c r="AF969" s="220"/>
      <c r="AH969" s="220"/>
      <c r="AJ969" s="286"/>
      <c r="AK969" s="285"/>
      <c r="AL969" s="260"/>
      <c r="AN969" s="235">
        <v>70</v>
      </c>
      <c r="AO969" s="242">
        <v>42074</v>
      </c>
      <c r="AP969" s="235">
        <v>106</v>
      </c>
      <c r="AQ969" s="242">
        <v>42110</v>
      </c>
      <c r="AS969" s="297"/>
      <c r="AT969" s="290"/>
      <c r="AU969" s="298"/>
      <c r="BF969" s="282"/>
      <c r="BG969" s="235"/>
      <c r="BL969" s="296"/>
      <c r="BM969" s="235"/>
      <c r="BP969" s="282"/>
      <c r="BQ969" s="235"/>
      <c r="BR969" s="282"/>
      <c r="BS969" s="235"/>
      <c r="BT969" s="282"/>
      <c r="BU969" s="235"/>
      <c r="BV969" s="282"/>
      <c r="BW969" s="235"/>
      <c r="BX969" s="282"/>
      <c r="BY969" s="235"/>
      <c r="CB969" s="267"/>
      <c r="CD969" s="282"/>
      <c r="CE969" s="291"/>
      <c r="CL969" s="136">
        <v>1</v>
      </c>
      <c r="CM969" s="259">
        <v>42161</v>
      </c>
    </row>
    <row r="970" spans="1:93">
      <c r="A970" s="258">
        <v>1606</v>
      </c>
      <c r="B970" s="235">
        <v>730</v>
      </c>
      <c r="C970" s="235" t="s">
        <v>7576</v>
      </c>
      <c r="D970" s="235"/>
      <c r="E970" s="235"/>
      <c r="F970" s="235"/>
      <c r="G970" s="235"/>
      <c r="H970" s="235" t="s">
        <v>267</v>
      </c>
      <c r="I970" s="235">
        <v>2</v>
      </c>
      <c r="K970" s="235">
        <v>1</v>
      </c>
      <c r="L970" s="235">
        <f t="shared" si="525"/>
        <v>73</v>
      </c>
      <c r="M970" s="235">
        <v>10</v>
      </c>
      <c r="O970" s="248">
        <v>42048</v>
      </c>
      <c r="V970" s="219"/>
      <c r="X970">
        <v>15.55</v>
      </c>
      <c r="AB970" s="220"/>
      <c r="AD970" s="221"/>
      <c r="AF970" s="220"/>
      <c r="AH970" s="220"/>
      <c r="AJ970" s="286"/>
      <c r="AK970" s="285"/>
      <c r="AL970" s="260"/>
      <c r="AN970" s="235">
        <v>70</v>
      </c>
      <c r="AO970" s="242">
        <v>42074</v>
      </c>
      <c r="AP970" s="235">
        <v>106</v>
      </c>
      <c r="AQ970" s="242">
        <v>42110</v>
      </c>
      <c r="AS970" s="297"/>
      <c r="AT970" s="290"/>
      <c r="AU970" s="298"/>
      <c r="BF970" s="282"/>
      <c r="BG970" s="235"/>
      <c r="BL970" s="296"/>
      <c r="BM970" s="235"/>
      <c r="BP970" s="282"/>
      <c r="BQ970" s="235"/>
      <c r="BR970" s="282"/>
      <c r="BS970" s="235"/>
      <c r="BT970" s="282"/>
      <c r="BU970" s="235"/>
      <c r="BV970" s="282"/>
      <c r="BW970" s="235"/>
      <c r="BX970" s="282"/>
      <c r="BY970" s="235"/>
      <c r="CB970" s="267"/>
      <c r="CD970" s="282"/>
      <c r="CE970" s="291"/>
      <c r="CL970" s="136">
        <v>1</v>
      </c>
      <c r="CM970" s="259">
        <v>42161</v>
      </c>
    </row>
    <row r="971" spans="1:93">
      <c r="A971" s="258">
        <v>1607</v>
      </c>
      <c r="B971" s="235">
        <v>731</v>
      </c>
      <c r="C971" s="235" t="s">
        <v>7576</v>
      </c>
      <c r="D971" s="235"/>
      <c r="E971" s="235"/>
      <c r="F971" s="235"/>
      <c r="G971" s="235"/>
      <c r="H971" s="235" t="s">
        <v>267</v>
      </c>
      <c r="I971" s="235">
        <v>2</v>
      </c>
      <c r="K971" s="235">
        <v>1</v>
      </c>
      <c r="L971" s="235">
        <f t="shared" si="525"/>
        <v>73</v>
      </c>
      <c r="M971" s="235">
        <v>11</v>
      </c>
      <c r="O971" s="248">
        <v>42048</v>
      </c>
      <c r="V971" s="219"/>
      <c r="X971">
        <v>15.55</v>
      </c>
      <c r="AB971" s="220"/>
      <c r="AD971" s="221"/>
      <c r="AF971" s="220"/>
      <c r="AH971" s="220"/>
      <c r="AJ971" s="286"/>
      <c r="AK971" s="285"/>
      <c r="AL971" s="260"/>
      <c r="AN971" s="235">
        <v>70</v>
      </c>
      <c r="AO971" s="242">
        <v>42074</v>
      </c>
      <c r="AP971" s="235">
        <v>106</v>
      </c>
      <c r="AQ971" s="242">
        <v>42110</v>
      </c>
      <c r="AS971" s="297"/>
      <c r="AT971" s="290"/>
      <c r="AU971" s="298"/>
      <c r="BF971" s="282"/>
      <c r="BG971" s="235"/>
      <c r="BL971" s="296"/>
      <c r="BM971" s="235"/>
      <c r="BP971" s="282"/>
      <c r="BQ971" s="235"/>
      <c r="BR971" s="282"/>
      <c r="BS971" s="235"/>
      <c r="BT971" s="282"/>
      <c r="BU971" s="235"/>
      <c r="BV971" s="282"/>
      <c r="BW971" s="235"/>
      <c r="BX971" s="282"/>
      <c r="BY971" s="235"/>
      <c r="CB971" s="267"/>
      <c r="CD971" s="282"/>
      <c r="CE971" s="291"/>
      <c r="CL971" s="136">
        <v>1</v>
      </c>
      <c r="CM971" s="259">
        <v>42161</v>
      </c>
    </row>
    <row r="972" spans="1:93">
      <c r="A972" s="258">
        <v>1608</v>
      </c>
      <c r="B972" s="235">
        <v>732</v>
      </c>
      <c r="C972" s="235" t="s">
        <v>7576</v>
      </c>
      <c r="D972" s="235"/>
      <c r="E972" s="235"/>
      <c r="F972" s="235"/>
      <c r="G972" s="235"/>
      <c r="H972" s="235" t="s">
        <v>267</v>
      </c>
      <c r="I972" s="235">
        <v>2</v>
      </c>
      <c r="K972" s="235">
        <v>2</v>
      </c>
      <c r="L972" s="235">
        <f t="shared" si="525"/>
        <v>74</v>
      </c>
      <c r="M972" s="235">
        <v>11</v>
      </c>
      <c r="O972" s="248">
        <v>42048</v>
      </c>
      <c r="V972" s="219"/>
      <c r="X972">
        <v>15.55</v>
      </c>
      <c r="AB972" s="220"/>
      <c r="AD972" s="221"/>
      <c r="AF972" s="220"/>
      <c r="AH972" s="220"/>
      <c r="AJ972" s="286"/>
      <c r="AK972" s="285"/>
      <c r="AL972" s="260"/>
      <c r="AN972" s="235">
        <v>70</v>
      </c>
      <c r="AO972" s="242">
        <v>42074</v>
      </c>
      <c r="AP972" s="235">
        <v>106</v>
      </c>
      <c r="AQ972" s="242">
        <v>42110</v>
      </c>
      <c r="AS972" s="297"/>
      <c r="AT972" s="290"/>
      <c r="AU972" s="298"/>
      <c r="BF972" s="282"/>
      <c r="BG972" s="235"/>
      <c r="BL972" s="296"/>
      <c r="BM972" s="235"/>
      <c r="BP972" s="282"/>
      <c r="BQ972" s="235"/>
      <c r="BR972" s="282"/>
      <c r="BS972" s="235"/>
      <c r="BT972" s="282"/>
      <c r="BU972" s="235"/>
      <c r="BV972" s="282"/>
      <c r="BW972" s="235"/>
      <c r="BX972" s="282"/>
      <c r="BY972" s="235"/>
      <c r="CB972" s="267"/>
      <c r="CD972" s="282"/>
      <c r="CE972" s="291"/>
      <c r="CL972" s="136">
        <v>1</v>
      </c>
      <c r="CM972" s="259">
        <v>42161</v>
      </c>
    </row>
    <row r="973" spans="1:93">
      <c r="A973" s="258">
        <v>1609</v>
      </c>
      <c r="B973" s="235">
        <v>733</v>
      </c>
      <c r="C973" s="235" t="s">
        <v>7576</v>
      </c>
      <c r="D973" s="235"/>
      <c r="E973" s="235"/>
      <c r="F973" s="235"/>
      <c r="G973" s="235"/>
      <c r="H973" s="235" t="s">
        <v>267</v>
      </c>
      <c r="I973" s="235">
        <v>2</v>
      </c>
      <c r="K973" s="235">
        <v>3</v>
      </c>
      <c r="L973" s="235">
        <f t="shared" si="525"/>
        <v>75</v>
      </c>
      <c r="M973" s="235">
        <v>11</v>
      </c>
      <c r="O973" s="248">
        <v>42048</v>
      </c>
      <c r="V973" s="219"/>
      <c r="X973">
        <v>15.55</v>
      </c>
      <c r="AB973" s="220"/>
      <c r="AD973" s="221"/>
      <c r="AF973" s="220"/>
      <c r="AH973" s="220"/>
      <c r="AJ973" s="286"/>
      <c r="AK973" s="285"/>
      <c r="AL973" s="260"/>
      <c r="AN973" s="235">
        <v>70</v>
      </c>
      <c r="AO973" s="242">
        <v>42074</v>
      </c>
      <c r="AP973" s="235">
        <v>106</v>
      </c>
      <c r="AQ973" s="242">
        <v>42110</v>
      </c>
      <c r="AS973" s="297"/>
      <c r="AT973" s="290"/>
      <c r="AU973" s="298"/>
      <c r="BF973" s="282"/>
      <c r="BG973" s="235"/>
      <c r="BL973" s="296"/>
      <c r="BM973" s="235"/>
      <c r="BP973" s="282"/>
      <c r="BQ973" s="235"/>
      <c r="BR973" s="282"/>
      <c r="BS973" s="235"/>
      <c r="BT973" s="282"/>
      <c r="BU973" s="235"/>
      <c r="BV973" s="282"/>
      <c r="BW973" s="235"/>
      <c r="BX973" s="282"/>
      <c r="BY973" s="235"/>
      <c r="CB973" s="267"/>
      <c r="CD973" s="282"/>
      <c r="CE973" s="291"/>
      <c r="CL973" s="136">
        <v>3</v>
      </c>
      <c r="CM973" s="259">
        <v>42161</v>
      </c>
    </row>
    <row r="974" spans="1:93">
      <c r="A974" s="258">
        <v>1610</v>
      </c>
      <c r="B974" s="235">
        <v>734</v>
      </c>
      <c r="C974" s="235" t="s">
        <v>7747</v>
      </c>
      <c r="D974" s="235" t="s">
        <v>7874</v>
      </c>
      <c r="E974" s="235" t="s">
        <v>7747</v>
      </c>
      <c r="F974" s="235" t="s">
        <v>8496</v>
      </c>
      <c r="G974" s="235" t="str">
        <f>IF(MID(C974,1,3)="BGA","Complement","Rapsodyn")</f>
        <v>Rapsodyn</v>
      </c>
      <c r="H974" s="235" t="s">
        <v>267</v>
      </c>
      <c r="I974" s="235">
        <v>2</v>
      </c>
      <c r="J974" s="235">
        <v>9380</v>
      </c>
      <c r="K974" s="235">
        <v>4</v>
      </c>
      <c r="L974" s="235">
        <f t="shared" si="525"/>
        <v>76</v>
      </c>
      <c r="M974" s="235">
        <v>11</v>
      </c>
      <c r="N974" s="235">
        <v>7</v>
      </c>
      <c r="O974" s="248">
        <v>42048</v>
      </c>
      <c r="P974" s="136">
        <v>4.0999999999999996</v>
      </c>
      <c r="Q974" s="264">
        <v>42204</v>
      </c>
      <c r="V974" s="219">
        <f>+BR974*AF974/100</f>
        <v>11.048880369121052</v>
      </c>
      <c r="X974">
        <v>15.55</v>
      </c>
      <c r="AB974" s="220">
        <f>+AF974*BT974/100</f>
        <v>5.481561110492609</v>
      </c>
      <c r="AD974" s="221">
        <f>+(AF974/AJ974)*10000</f>
        <v>54305.220206051083</v>
      </c>
      <c r="AF974" s="220">
        <f>($P974/$X974)*(((100-$CD974)/100*(100-2)/100))*100</f>
        <v>24.057212551280628</v>
      </c>
      <c r="AH974" s="220">
        <f>($P974/$X974)*(((100-$CD974)/(100-9)*(100-2)/(100-2))*100)</f>
        <v>26.976017662346525</v>
      </c>
      <c r="AJ974">
        <v>4.43</v>
      </c>
      <c r="AK974" s="285" t="s">
        <v>8398</v>
      </c>
      <c r="AL974" s="260">
        <v>175</v>
      </c>
      <c r="AN974" s="235">
        <v>72</v>
      </c>
      <c r="AO974" s="242">
        <v>42076</v>
      </c>
      <c r="AP974" s="235">
        <v>110</v>
      </c>
      <c r="AQ974" s="242">
        <v>42114</v>
      </c>
      <c r="AR974" s="136">
        <v>138</v>
      </c>
      <c r="AS974" s="297">
        <f>IF(AR974=0,,AR974)</f>
        <v>138</v>
      </c>
      <c r="AT974" s="290">
        <v>42142</v>
      </c>
      <c r="AU974" s="298"/>
      <c r="BF974" s="282">
        <v>31.405429840087891</v>
      </c>
      <c r="BG974" s="283">
        <v>42236</v>
      </c>
      <c r="BL974" s="296">
        <v>58.702304840087891</v>
      </c>
      <c r="BM974" s="283">
        <v>42236</v>
      </c>
      <c r="BP974" s="282">
        <v>4.5273241996765137</v>
      </c>
      <c r="BQ974" s="283">
        <v>42236</v>
      </c>
      <c r="BR974" s="282">
        <v>45.927516937255859</v>
      </c>
      <c r="BS974" s="283">
        <v>42236</v>
      </c>
      <c r="BT974" s="282">
        <v>22.785520553588867</v>
      </c>
      <c r="BU974" s="283">
        <v>42236</v>
      </c>
      <c r="BV974" s="282">
        <v>81.279289245605469</v>
      </c>
      <c r="BW974" s="283">
        <v>42236</v>
      </c>
      <c r="BX974" s="282">
        <v>6.4270553588867187</v>
      </c>
      <c r="BY974" s="283">
        <v>42236</v>
      </c>
      <c r="CB974" s="267">
        <v>8.3000000000000007</v>
      </c>
      <c r="CD974" s="282">
        <v>6.8965517241379226</v>
      </c>
      <c r="CE974" s="291" t="s">
        <v>8398</v>
      </c>
      <c r="CH974" s="136">
        <v>3</v>
      </c>
      <c r="CL974" s="136">
        <v>5</v>
      </c>
      <c r="CM974" s="259">
        <v>42161</v>
      </c>
      <c r="CN974" s="137" t="s">
        <v>8406</v>
      </c>
    </row>
    <row r="975" spans="1:93">
      <c r="A975" s="258">
        <v>1611</v>
      </c>
      <c r="B975" s="235">
        <v>735</v>
      </c>
      <c r="C975" s="235" t="s">
        <v>7756</v>
      </c>
      <c r="D975" s="235" t="s">
        <v>7564</v>
      </c>
      <c r="E975" s="235" t="s">
        <v>7756</v>
      </c>
      <c r="F975" s="235" t="s">
        <v>8495</v>
      </c>
      <c r="G975" s="235" t="str">
        <f>IF(MID(C975,1,3)="BGA","Complement","Rapsodyn")</f>
        <v>Rapsodyn</v>
      </c>
      <c r="H975" s="235" t="s">
        <v>267</v>
      </c>
      <c r="I975" s="235">
        <v>2</v>
      </c>
      <c r="J975" s="235">
        <v>9383</v>
      </c>
      <c r="K975" s="235">
        <v>5</v>
      </c>
      <c r="L975" s="235">
        <f t="shared" si="525"/>
        <v>77</v>
      </c>
      <c r="M975" s="235">
        <v>11</v>
      </c>
      <c r="N975" s="235">
        <v>5</v>
      </c>
      <c r="O975" s="248">
        <v>42048</v>
      </c>
      <c r="P975" s="136">
        <v>3.25</v>
      </c>
      <c r="Q975" s="264">
        <v>42204</v>
      </c>
      <c r="V975" s="219">
        <f>+BR975*AF975/100</f>
        <v>8.4523570611673655</v>
      </c>
      <c r="X975">
        <v>15.55</v>
      </c>
      <c r="AB975" s="220">
        <f>+AF975*BT975/100</f>
        <v>4.0867616655486696</v>
      </c>
      <c r="AD975" s="221">
        <f>+(AF975/AJ975)*10000</f>
        <v>49985.552241341262</v>
      </c>
      <c r="AF975" s="220">
        <f>($P975/$X975)*(((100-$CD975)/100*(100-2)/100))*100</f>
        <v>19.34440871739907</v>
      </c>
      <c r="AH975" s="220">
        <f>($P975/$X975)*(((100-$CD975)/(100-9)*(100-2)/(100-2))*100)</f>
        <v>21.691420405246767</v>
      </c>
      <c r="AJ975">
        <v>3.87</v>
      </c>
      <c r="AK975" s="285" t="s">
        <v>8398</v>
      </c>
      <c r="AL975" s="260">
        <v>180</v>
      </c>
      <c r="AN975" s="235">
        <v>72</v>
      </c>
      <c r="AO975" s="242">
        <v>42076</v>
      </c>
      <c r="AP975" s="235">
        <v>110</v>
      </c>
      <c r="AQ975" s="242">
        <v>42114</v>
      </c>
      <c r="AR975" s="136">
        <v>141</v>
      </c>
      <c r="AS975" s="297">
        <f>IF(AR975=0,,AR975)</f>
        <v>141</v>
      </c>
      <c r="AT975" s="290">
        <v>42145</v>
      </c>
      <c r="AU975" s="298"/>
      <c r="BF975" s="282">
        <v>7.4920997023582458E-2</v>
      </c>
      <c r="BG975" s="283">
        <v>42236</v>
      </c>
      <c r="BL975" s="296">
        <v>59.913078308105469</v>
      </c>
      <c r="BM975" s="283">
        <v>42236</v>
      </c>
      <c r="BP975" s="282">
        <v>2.8288319110870361</v>
      </c>
      <c r="BQ975" s="283">
        <v>42236</v>
      </c>
      <c r="BR975" s="282">
        <v>43.694057464599609</v>
      </c>
      <c r="BS975" s="283">
        <v>42236</v>
      </c>
      <c r="BT975" s="282">
        <v>21.126319885253906</v>
      </c>
      <c r="BU975" s="283">
        <v>42236</v>
      </c>
      <c r="BV975" s="282">
        <v>63.836051940917969</v>
      </c>
      <c r="BW975" s="283">
        <v>42236</v>
      </c>
      <c r="BX975" s="282">
        <v>6.1450576782226563</v>
      </c>
      <c r="BY975" s="283">
        <v>42236</v>
      </c>
      <c r="CB975" s="267">
        <v>7.96</v>
      </c>
      <c r="CD975" s="282">
        <v>5.5555555555555687</v>
      </c>
      <c r="CE975" s="291" t="s">
        <v>8398</v>
      </c>
      <c r="CH975" s="136">
        <v>2</v>
      </c>
      <c r="CI975" s="136">
        <v>7</v>
      </c>
      <c r="CL975" s="136">
        <v>9</v>
      </c>
      <c r="CM975" s="259">
        <v>42161</v>
      </c>
      <c r="CN975" s="137" t="s">
        <v>8391</v>
      </c>
      <c r="CO975" s="137" t="s">
        <v>8405</v>
      </c>
    </row>
    <row r="976" spans="1:93">
      <c r="A976" s="258">
        <v>1612</v>
      </c>
      <c r="B976" s="235">
        <v>736</v>
      </c>
      <c r="C976" s="235" t="s">
        <v>7607</v>
      </c>
      <c r="D976" s="235" t="s">
        <v>257</v>
      </c>
      <c r="E976" s="235" t="s">
        <v>7607</v>
      </c>
      <c r="F976" s="235" t="s">
        <v>8494</v>
      </c>
      <c r="G976" s="235" t="str">
        <f>IF(MID(C976,1,3)="BGA","Complement","Rapsodyn")</f>
        <v>Rapsodyn</v>
      </c>
      <c r="H976" s="235" t="s">
        <v>267</v>
      </c>
      <c r="I976" s="235">
        <v>2</v>
      </c>
      <c r="J976" s="235">
        <v>9362</v>
      </c>
      <c r="K976" s="235">
        <v>6</v>
      </c>
      <c r="L976" s="235">
        <f t="shared" si="525"/>
        <v>78</v>
      </c>
      <c r="M976" s="235">
        <v>11</v>
      </c>
      <c r="N976" s="235">
        <v>7</v>
      </c>
      <c r="O976" s="248">
        <v>42048</v>
      </c>
      <c r="P976" s="136">
        <v>2.65</v>
      </c>
      <c r="Q976" s="264">
        <v>42204</v>
      </c>
      <c r="V976" s="219">
        <f>+BR976*AF976/100</f>
        <v>6.8911349975487806</v>
      </c>
      <c r="X976">
        <v>15.55</v>
      </c>
      <c r="AB976" s="220">
        <f>+AF976*BT976/100</f>
        <v>3.4211921376047405</v>
      </c>
      <c r="AD976" s="221">
        <f>+(AF976/AJ976)*10000</f>
        <v>38386.23412180446</v>
      </c>
      <c r="AF976" s="220">
        <f>($P976/$X976)*(((100-$CD976)/100*(100-2)/100))*100</f>
        <v>15.508038585209002</v>
      </c>
      <c r="AH976" s="220">
        <f>($P976/$X976)*(((100-$CD976)/(100-9)*(100-2)/(100-2))*100)</f>
        <v>17.389592492945731</v>
      </c>
      <c r="AJ976">
        <v>4.04</v>
      </c>
      <c r="AK976" s="285" t="s">
        <v>8400</v>
      </c>
      <c r="AL976" s="260">
        <v>145</v>
      </c>
      <c r="AN976" s="235">
        <v>70</v>
      </c>
      <c r="AO976" s="242">
        <v>42074</v>
      </c>
      <c r="AP976" s="235">
        <v>104</v>
      </c>
      <c r="AQ976" s="242">
        <v>42108</v>
      </c>
      <c r="AR976" s="136">
        <v>131</v>
      </c>
      <c r="AS976" s="297">
        <f>IF(AR976=0,,AR976)</f>
        <v>131</v>
      </c>
      <c r="AT976" s="290">
        <v>42135</v>
      </c>
      <c r="AU976" s="298"/>
      <c r="BF976" s="282">
        <v>25.339860916137695</v>
      </c>
      <c r="BG976" s="283">
        <v>42236</v>
      </c>
      <c r="BL976" s="296">
        <v>60.305118560791016</v>
      </c>
      <c r="BM976" s="283">
        <v>42236</v>
      </c>
      <c r="BP976" s="282">
        <v>4.2739877700805664</v>
      </c>
      <c r="BQ976" s="283">
        <v>42236</v>
      </c>
      <c r="BR976" s="282">
        <v>44.435890197753906</v>
      </c>
      <c r="BS976" s="283">
        <v>42236</v>
      </c>
      <c r="BT976" s="282">
        <v>22.060766220092773</v>
      </c>
      <c r="BU976" s="283">
        <v>42236</v>
      </c>
      <c r="BV976" s="282">
        <v>66.728317260742187</v>
      </c>
      <c r="BW976" s="283">
        <v>42236</v>
      </c>
      <c r="BX976" s="282">
        <v>6.0583877563476563</v>
      </c>
      <c r="BY976" s="283">
        <v>42236</v>
      </c>
      <c r="CB976" s="267">
        <v>7.65</v>
      </c>
      <c r="CD976" s="282">
        <v>7.1428571428571344</v>
      </c>
      <c r="CE976" s="291" t="s">
        <v>8400</v>
      </c>
      <c r="CH976" s="136">
        <v>2</v>
      </c>
      <c r="CI976" s="136">
        <v>8</v>
      </c>
      <c r="CL976" s="136">
        <v>9</v>
      </c>
      <c r="CM976" s="259">
        <v>42161</v>
      </c>
      <c r="CN976" s="137" t="s">
        <v>8391</v>
      </c>
      <c r="CO976" s="137" t="s">
        <v>8405</v>
      </c>
    </row>
    <row r="977" spans="1:93">
      <c r="A977" s="258">
        <v>1613</v>
      </c>
      <c r="B977" s="235">
        <v>737</v>
      </c>
      <c r="C977" s="235" t="s">
        <v>7629</v>
      </c>
      <c r="D977" s="235" t="s">
        <v>7463</v>
      </c>
      <c r="E977" s="235" t="s">
        <v>7629</v>
      </c>
      <c r="F977" s="235" t="s">
        <v>8493</v>
      </c>
      <c r="G977" s="235" t="str">
        <f>IF(MID(C977,1,3)="BGA","Complement","Rapsodyn")</f>
        <v>Rapsodyn</v>
      </c>
      <c r="H977" s="235" t="s">
        <v>267</v>
      </c>
      <c r="I977" s="235">
        <v>2</v>
      </c>
      <c r="J977" s="235">
        <v>9365</v>
      </c>
      <c r="K977" s="235">
        <v>7</v>
      </c>
      <c r="L977" s="235">
        <f t="shared" si="525"/>
        <v>79</v>
      </c>
      <c r="M977" s="235">
        <v>11</v>
      </c>
      <c r="N977" s="235">
        <v>7</v>
      </c>
      <c r="O977" s="248">
        <v>42048</v>
      </c>
      <c r="P977" s="136">
        <v>2.4</v>
      </c>
      <c r="Q977" s="264">
        <v>42204</v>
      </c>
      <c r="V977" s="219">
        <f>+BR977*AF977/100</f>
        <v>6.2751653522847164</v>
      </c>
      <c r="X977">
        <v>15.55</v>
      </c>
      <c r="AB977" s="220">
        <f>+AF977*BT977/100</f>
        <v>3.2927052989113368</v>
      </c>
      <c r="AD977" s="221">
        <f>+(AF977/AJ977)*10000</f>
        <v>30936.158760287261</v>
      </c>
      <c r="AF977" s="220">
        <f>($P977/$X977)*(((100-$CD977)/100*(100-2)/100))*100</f>
        <v>14.045016077170416</v>
      </c>
      <c r="AH977" s="220">
        <f>($P977/$X977)*(((100-$CD977)/(100-9)*(100-2)/(100-2))*100)</f>
        <v>15.749064899271605</v>
      </c>
      <c r="AJ977">
        <v>4.54</v>
      </c>
      <c r="AK977" s="285" t="s">
        <v>8400</v>
      </c>
      <c r="AL977" s="260">
        <v>180</v>
      </c>
      <c r="AN977" s="235">
        <v>72</v>
      </c>
      <c r="AO977" s="242">
        <v>42076</v>
      </c>
      <c r="AP977" s="235">
        <v>106</v>
      </c>
      <c r="AQ977" s="242">
        <v>42110</v>
      </c>
      <c r="AR977" s="136">
        <v>131</v>
      </c>
      <c r="AS977" s="297">
        <f>IF(AR977=0,,AR977)</f>
        <v>131</v>
      </c>
      <c r="AT977" s="290">
        <v>42135</v>
      </c>
      <c r="AU977" s="298"/>
      <c r="BF977" s="282">
        <v>-3.3111269474029541</v>
      </c>
      <c r="BG977" s="283">
        <v>42236</v>
      </c>
      <c r="BL977" s="296">
        <v>60.399188995361328</v>
      </c>
      <c r="BM977" s="283">
        <v>42236</v>
      </c>
      <c r="BP977" s="282">
        <v>3.6156361103057861</v>
      </c>
      <c r="BQ977" s="283">
        <v>42236</v>
      </c>
      <c r="BR977" s="282">
        <v>44.678947448730469</v>
      </c>
      <c r="BS977" s="283">
        <v>42236</v>
      </c>
      <c r="BT977" s="282">
        <v>23.443941116333008</v>
      </c>
      <c r="BU977" s="283">
        <v>42236</v>
      </c>
      <c r="BV977" s="282">
        <v>77.459182739257813</v>
      </c>
      <c r="BW977" s="283">
        <v>42236</v>
      </c>
      <c r="BX977" s="282">
        <v>6.2161407470703125</v>
      </c>
      <c r="BY977" s="283">
        <v>42236</v>
      </c>
      <c r="CB977" s="267">
        <v>7.14</v>
      </c>
      <c r="CD977" s="282">
        <v>7.1428571428571344</v>
      </c>
      <c r="CE977" s="291" t="s">
        <v>8400</v>
      </c>
      <c r="CH977" s="136">
        <v>1</v>
      </c>
      <c r="CI977" s="136">
        <v>8</v>
      </c>
      <c r="CL977" s="136">
        <v>7</v>
      </c>
      <c r="CM977" s="259">
        <v>42161</v>
      </c>
      <c r="CO977" s="137" t="s">
        <v>8405</v>
      </c>
    </row>
    <row r="978" spans="1:93">
      <c r="A978" s="258">
        <v>1614</v>
      </c>
      <c r="B978" s="235">
        <v>738</v>
      </c>
      <c r="C978" s="235" t="s">
        <v>7576</v>
      </c>
      <c r="D978" s="235"/>
      <c r="E978" s="235"/>
      <c r="F978" s="235"/>
      <c r="G978" s="235"/>
      <c r="H978" s="235" t="s">
        <v>267</v>
      </c>
      <c r="I978" s="235">
        <v>2</v>
      </c>
      <c r="K978" s="235">
        <v>8</v>
      </c>
      <c r="L978" s="235">
        <f t="shared" si="525"/>
        <v>80</v>
      </c>
      <c r="M978" s="235">
        <v>11</v>
      </c>
      <c r="O978" s="248">
        <v>42048</v>
      </c>
      <c r="V978" s="219"/>
      <c r="X978">
        <v>15.55</v>
      </c>
      <c r="AB978" s="220"/>
      <c r="AD978" s="221"/>
      <c r="AF978" s="220"/>
      <c r="AH978" s="220"/>
      <c r="AJ978" s="286"/>
      <c r="AK978" s="285"/>
      <c r="AL978" s="260"/>
      <c r="AN978" s="235">
        <v>70</v>
      </c>
      <c r="AO978" s="242">
        <v>42074</v>
      </c>
      <c r="AP978" s="235">
        <v>106</v>
      </c>
      <c r="AQ978" s="242">
        <v>42110</v>
      </c>
      <c r="AS978" s="297"/>
      <c r="AT978" s="290"/>
      <c r="AU978" s="298"/>
      <c r="BF978" s="282"/>
      <c r="BG978" s="235"/>
      <c r="BL978" s="296"/>
      <c r="BM978" s="235"/>
      <c r="BP978" s="282"/>
      <c r="BQ978" s="235"/>
      <c r="BR978" s="282"/>
      <c r="BS978" s="235"/>
      <c r="BT978" s="282"/>
      <c r="BU978" s="235"/>
      <c r="BV978" s="282"/>
      <c r="BW978" s="235"/>
      <c r="BX978" s="282"/>
      <c r="BY978" s="235"/>
      <c r="CB978" s="267"/>
      <c r="CD978" s="282"/>
      <c r="CE978" s="291"/>
      <c r="CL978" s="136">
        <v>3</v>
      </c>
      <c r="CM978" s="259">
        <v>42161</v>
      </c>
    </row>
    <row r="979" spans="1:93">
      <c r="A979" s="258">
        <v>1616</v>
      </c>
      <c r="B979" s="235">
        <v>740</v>
      </c>
      <c r="C979" s="235" t="s">
        <v>7770</v>
      </c>
      <c r="D979" s="235" t="s">
        <v>7568</v>
      </c>
      <c r="E979" s="235" t="s">
        <v>7770</v>
      </c>
      <c r="F979" s="235" t="s">
        <v>8492</v>
      </c>
      <c r="G979" s="235" t="str">
        <f t="shared" ref="G979:G987" si="526">IF(MID(C979,1,3)="BGA","Complement","Rapsodyn")</f>
        <v>Rapsodyn</v>
      </c>
      <c r="H979" s="235" t="s">
        <v>267</v>
      </c>
      <c r="I979" s="235">
        <v>2</v>
      </c>
      <c r="J979" s="235">
        <v>9141</v>
      </c>
      <c r="K979" s="235">
        <v>10</v>
      </c>
      <c r="L979" s="235">
        <f t="shared" si="525"/>
        <v>82</v>
      </c>
      <c r="M979" s="235">
        <v>11</v>
      </c>
      <c r="N979" s="235">
        <v>7</v>
      </c>
      <c r="O979" s="248">
        <v>42048</v>
      </c>
      <c r="P979" s="136">
        <v>8.09</v>
      </c>
      <c r="Q979" s="264">
        <v>42204</v>
      </c>
      <c r="V979" s="219">
        <f t="shared" ref="V979:V987" si="527">+BR979*AF979/100</f>
        <v>24.8635585033322</v>
      </c>
      <c r="X979">
        <v>15.55</v>
      </c>
      <c r="AB979" s="220">
        <f t="shared" ref="AB979:AB987" si="528">+AF979*BT979/100</f>
        <v>8.4877408628268753</v>
      </c>
      <c r="AD979" s="221">
        <f t="shared" ref="AD979:AD987" si="529">+(AF979/AJ979)*10000</f>
        <v>96767.729491421473</v>
      </c>
      <c r="AF979" s="220">
        <f t="shared" ref="AF979:AF987" si="530">($P979/$X979)*(((100-$CD979)/100*(100-2)/100))*100</f>
        <v>49.061238852150687</v>
      </c>
      <c r="AH979" s="220">
        <f t="shared" ref="AH979:AH987" si="531">($P979/$X979)*(((100-$CD979)/(100-9)*(100-2)/(100-2))*100)</f>
        <v>55.013723763344579</v>
      </c>
      <c r="AJ979">
        <v>5.07</v>
      </c>
      <c r="AK979" s="285" t="s">
        <v>8401</v>
      </c>
      <c r="AL979" s="260">
        <v>170</v>
      </c>
      <c r="AN979" s="235">
        <v>72</v>
      </c>
      <c r="AO979" s="242">
        <v>42076</v>
      </c>
      <c r="AP979" s="235">
        <v>106</v>
      </c>
      <c r="AQ979" s="242">
        <v>42110</v>
      </c>
      <c r="AR979" s="136">
        <v>127</v>
      </c>
      <c r="AS979" s="297">
        <f t="shared" ref="AS979:AS987" si="532">IF(AR979=0,,AR979)</f>
        <v>127</v>
      </c>
      <c r="AT979" s="290">
        <v>42131</v>
      </c>
      <c r="AU979" s="298"/>
      <c r="BF979" s="282">
        <v>-4.6389350891113281</v>
      </c>
      <c r="BG979" s="283">
        <v>42234</v>
      </c>
      <c r="BL979" s="296">
        <v>66.468597412109375</v>
      </c>
      <c r="BM979" s="283">
        <v>42234</v>
      </c>
      <c r="BP979" s="282">
        <v>3.9703240394592285</v>
      </c>
      <c r="BQ979" s="283">
        <v>42234</v>
      </c>
      <c r="BR979" s="282">
        <v>50.678619384765625</v>
      </c>
      <c r="BS979" s="283">
        <v>42234</v>
      </c>
      <c r="BT979" s="282">
        <v>17.300298690795898</v>
      </c>
      <c r="BU979" s="283">
        <v>42234</v>
      </c>
      <c r="BV979" s="282">
        <v>11.102703094482422</v>
      </c>
      <c r="BW979" s="283">
        <v>42234</v>
      </c>
      <c r="BX979" s="282">
        <v>5.5230712890625</v>
      </c>
      <c r="BY979" s="283">
        <v>42234</v>
      </c>
      <c r="CB979" s="267">
        <v>7.36</v>
      </c>
      <c r="CD979" s="282">
        <v>3.7735849056603805</v>
      </c>
      <c r="CE979" s="291" t="s">
        <v>8401</v>
      </c>
      <c r="CH979" s="136">
        <v>2</v>
      </c>
      <c r="CI979" s="136">
        <v>3</v>
      </c>
      <c r="CL979" s="136">
        <v>3</v>
      </c>
      <c r="CM979" s="259">
        <v>42161</v>
      </c>
      <c r="CN979" s="137" t="s">
        <v>8406</v>
      </c>
    </row>
    <row r="980" spans="1:93">
      <c r="A980" s="258">
        <v>1617</v>
      </c>
      <c r="B980" s="235">
        <v>741</v>
      </c>
      <c r="C980" s="235" t="s">
        <v>7690</v>
      </c>
      <c r="D980" s="235" t="s">
        <v>7516</v>
      </c>
      <c r="E980" s="235" t="s">
        <v>7690</v>
      </c>
      <c r="F980" s="235" t="s">
        <v>8491</v>
      </c>
      <c r="G980" s="235" t="str">
        <f t="shared" si="526"/>
        <v>Rapsodyn</v>
      </c>
      <c r="H980" s="235" t="s">
        <v>267</v>
      </c>
      <c r="I980" s="235">
        <v>2</v>
      </c>
      <c r="J980" s="235">
        <v>9072</v>
      </c>
      <c r="K980" s="235">
        <v>11</v>
      </c>
      <c r="L980" s="235">
        <f t="shared" si="525"/>
        <v>83</v>
      </c>
      <c r="M980" s="235">
        <v>11</v>
      </c>
      <c r="N980" s="235">
        <v>7</v>
      </c>
      <c r="O980" s="248">
        <v>42048</v>
      </c>
      <c r="P980" s="136">
        <v>5.17</v>
      </c>
      <c r="Q980" s="264">
        <v>42204</v>
      </c>
      <c r="V980" s="219">
        <f t="shared" si="527"/>
        <v>14.682571524293166</v>
      </c>
      <c r="X980">
        <v>15.55</v>
      </c>
      <c r="AB980" s="220">
        <f t="shared" si="528"/>
        <v>6.1500929843326082</v>
      </c>
      <c r="AD980" s="221">
        <f t="shared" si="529"/>
        <v>82862.291223120745</v>
      </c>
      <c r="AF980" s="220">
        <f t="shared" si="530"/>
        <v>30.41046087888531</v>
      </c>
      <c r="AH980" s="220">
        <f t="shared" si="531"/>
        <v>34.100090691730557</v>
      </c>
      <c r="AJ980">
        <v>3.67</v>
      </c>
      <c r="AK980" s="285" t="s">
        <v>8398</v>
      </c>
      <c r="AL980" s="260">
        <v>150</v>
      </c>
      <c r="AN980" s="235">
        <v>75</v>
      </c>
      <c r="AO980" s="242">
        <v>42079</v>
      </c>
      <c r="AP980" s="235">
        <v>104</v>
      </c>
      <c r="AQ980" s="242">
        <v>42108</v>
      </c>
      <c r="AR980" s="136">
        <v>128</v>
      </c>
      <c r="AS980" s="297">
        <f t="shared" si="532"/>
        <v>128</v>
      </c>
      <c r="AT980" s="290">
        <v>42132</v>
      </c>
      <c r="AU980" s="298"/>
      <c r="BF980" s="282">
        <v>-6.1862702369689941</v>
      </c>
      <c r="BG980" s="283">
        <v>42235</v>
      </c>
      <c r="BL980" s="296">
        <v>63.848793029785156</v>
      </c>
      <c r="BM980" s="283">
        <v>42235</v>
      </c>
      <c r="BP980" s="282">
        <v>3.4932289123535156</v>
      </c>
      <c r="BQ980" s="283">
        <v>42235</v>
      </c>
      <c r="BR980" s="282">
        <v>48.281318664550781</v>
      </c>
      <c r="BS980" s="283">
        <v>42235</v>
      </c>
      <c r="BT980" s="282">
        <v>20.223609924316406</v>
      </c>
      <c r="BU980" s="283">
        <v>42235</v>
      </c>
      <c r="BV980" s="282">
        <v>13.99266242980957</v>
      </c>
      <c r="BW980" s="283">
        <v>42235</v>
      </c>
      <c r="BX980" s="282">
        <v>5.83465576171875</v>
      </c>
      <c r="BY980" s="283">
        <v>42235</v>
      </c>
      <c r="CB980" s="267">
        <v>7.09</v>
      </c>
      <c r="CD980" s="282">
        <v>6.6666666666666723</v>
      </c>
      <c r="CE980" s="291" t="s">
        <v>8398</v>
      </c>
      <c r="CH980" s="136">
        <v>1</v>
      </c>
      <c r="CI980" s="136">
        <v>2</v>
      </c>
      <c r="CL980" s="136">
        <v>1</v>
      </c>
      <c r="CM980" s="259">
        <v>42161</v>
      </c>
      <c r="CN980" s="137" t="s">
        <v>8406</v>
      </c>
    </row>
    <row r="981" spans="1:93">
      <c r="A981" s="258">
        <v>1618</v>
      </c>
      <c r="B981" s="235">
        <v>742</v>
      </c>
      <c r="C981" s="235" t="s">
        <v>7739</v>
      </c>
      <c r="D981" s="235" t="s">
        <v>8418</v>
      </c>
      <c r="E981" s="235" t="s">
        <v>7739</v>
      </c>
      <c r="F981" s="235" t="s">
        <v>8490</v>
      </c>
      <c r="G981" s="235" t="str">
        <f t="shared" si="526"/>
        <v>Rapsodyn</v>
      </c>
      <c r="H981" s="235" t="s">
        <v>267</v>
      </c>
      <c r="I981" s="235">
        <v>2</v>
      </c>
      <c r="J981" s="235">
        <v>9119</v>
      </c>
      <c r="K981" s="235">
        <v>12</v>
      </c>
      <c r="L981" s="235">
        <f t="shared" si="525"/>
        <v>84</v>
      </c>
      <c r="M981" s="235">
        <v>11</v>
      </c>
      <c r="N981" s="235">
        <v>7</v>
      </c>
      <c r="O981" s="248">
        <v>42048</v>
      </c>
      <c r="P981" s="136">
        <v>4.12</v>
      </c>
      <c r="Q981" s="264">
        <v>42204</v>
      </c>
      <c r="V981" s="219">
        <f t="shared" si="527"/>
        <v>11.385689297666886</v>
      </c>
      <c r="X981">
        <v>15.55</v>
      </c>
      <c r="AB981" s="220">
        <f t="shared" si="528"/>
        <v>5.3686137944310417</v>
      </c>
      <c r="AD981" s="221">
        <f t="shared" si="529"/>
        <v>58510.182207931393</v>
      </c>
      <c r="AF981" s="220">
        <f t="shared" si="530"/>
        <v>24.574276527331186</v>
      </c>
      <c r="AH981" s="220">
        <f t="shared" si="531"/>
        <v>27.555815796514</v>
      </c>
      <c r="AJ981">
        <v>4.2</v>
      </c>
      <c r="AK981" s="285" t="s">
        <v>8398</v>
      </c>
      <c r="AL981" s="260">
        <v>200</v>
      </c>
      <c r="AN981" s="235">
        <v>72</v>
      </c>
      <c r="AO981" s="242">
        <v>42076</v>
      </c>
      <c r="AP981" s="235">
        <v>113</v>
      </c>
      <c r="AQ981" s="242">
        <v>42117</v>
      </c>
      <c r="AR981" s="136">
        <v>141</v>
      </c>
      <c r="AS981" s="297">
        <f t="shared" si="532"/>
        <v>141</v>
      </c>
      <c r="AT981" s="290">
        <v>42145</v>
      </c>
      <c r="AU981" s="298"/>
      <c r="BF981" s="282">
        <v>43.4678955078125</v>
      </c>
      <c r="BG981" s="283">
        <v>42235</v>
      </c>
      <c r="BL981" s="296">
        <v>60.914817810058594</v>
      </c>
      <c r="BM981" s="283">
        <v>42235</v>
      </c>
      <c r="BP981" s="282">
        <v>3.1441550254821777</v>
      </c>
      <c r="BQ981" s="283">
        <v>42235</v>
      </c>
      <c r="BR981" s="282">
        <v>46.331737518310547</v>
      </c>
      <c r="BS981" s="283">
        <v>42235</v>
      </c>
      <c r="BT981" s="282">
        <v>21.846477508544922</v>
      </c>
      <c r="BU981" s="283">
        <v>42235</v>
      </c>
      <c r="BV981" s="282">
        <v>72.403579711914063</v>
      </c>
      <c r="BW981" s="283">
        <v>42235</v>
      </c>
      <c r="BX981" s="282">
        <v>5.9752426147460938</v>
      </c>
      <c r="BY981" s="283">
        <v>42235</v>
      </c>
      <c r="CB981" s="267">
        <v>9.75</v>
      </c>
      <c r="CD981" s="282">
        <v>5.3571428571428541</v>
      </c>
      <c r="CE981" s="291" t="s">
        <v>8398</v>
      </c>
      <c r="CH981" s="136">
        <v>2</v>
      </c>
      <c r="CI981" s="136">
        <v>3</v>
      </c>
      <c r="CL981" s="136">
        <v>5</v>
      </c>
      <c r="CM981" s="259">
        <v>42161</v>
      </c>
      <c r="CN981" s="137" t="s">
        <v>8406</v>
      </c>
    </row>
    <row r="982" spans="1:93">
      <c r="A982" s="258">
        <v>1619</v>
      </c>
      <c r="B982" s="235">
        <v>743</v>
      </c>
      <c r="C982" s="235" t="s">
        <v>7681</v>
      </c>
      <c r="D982" s="235" t="s">
        <v>7508</v>
      </c>
      <c r="E982" s="235" t="s">
        <v>7681</v>
      </c>
      <c r="F982" s="235" t="s">
        <v>8489</v>
      </c>
      <c r="G982" s="235" t="str">
        <f t="shared" si="526"/>
        <v>Rapsodyn</v>
      </c>
      <c r="H982" s="235" t="s">
        <v>267</v>
      </c>
      <c r="I982" s="235">
        <v>2</v>
      </c>
      <c r="J982" s="235">
        <v>9063</v>
      </c>
      <c r="K982" s="235">
        <v>13</v>
      </c>
      <c r="L982" s="235">
        <f t="shared" si="525"/>
        <v>85</v>
      </c>
      <c r="M982" s="235">
        <v>11</v>
      </c>
      <c r="N982" s="235">
        <v>7</v>
      </c>
      <c r="O982" s="248">
        <v>42048</v>
      </c>
      <c r="P982" s="136">
        <v>5.69</v>
      </c>
      <c r="Q982" s="264">
        <v>42204</v>
      </c>
      <c r="V982" s="219">
        <f t="shared" si="527"/>
        <v>16.650656078731132</v>
      </c>
      <c r="X982">
        <v>15.55</v>
      </c>
      <c r="AB982" s="220">
        <f t="shared" si="528"/>
        <v>6.4695889884973257</v>
      </c>
      <c r="AD982" s="221">
        <f t="shared" si="529"/>
        <v>69404.388508604083</v>
      </c>
      <c r="AF982" s="220">
        <f t="shared" si="530"/>
        <v>33.938745980707395</v>
      </c>
      <c r="AH982" s="220">
        <f t="shared" si="531"/>
        <v>38.056454340331236</v>
      </c>
      <c r="AJ982">
        <v>4.8899999999999997</v>
      </c>
      <c r="AK982" s="285" t="s">
        <v>8398</v>
      </c>
      <c r="AL982" s="260">
        <v>175</v>
      </c>
      <c r="AN982" s="235">
        <v>70</v>
      </c>
      <c r="AO982" s="242">
        <v>42074</v>
      </c>
      <c r="AP982" s="235">
        <v>106</v>
      </c>
      <c r="AQ982" s="242">
        <v>42110</v>
      </c>
      <c r="AR982" s="136">
        <v>127</v>
      </c>
      <c r="AS982" s="297">
        <f t="shared" si="532"/>
        <v>127</v>
      </c>
      <c r="AT982" s="290">
        <v>42131</v>
      </c>
      <c r="AU982" s="298"/>
      <c r="BF982" s="282">
        <v>-0.72455400228500366</v>
      </c>
      <c r="BG982" s="283">
        <v>42235</v>
      </c>
      <c r="BL982" s="296">
        <v>60.783290863037109</v>
      </c>
      <c r="BM982" s="283">
        <v>42235</v>
      </c>
      <c r="BP982" s="282">
        <v>2.2848920822143555</v>
      </c>
      <c r="BQ982" s="283">
        <v>42235</v>
      </c>
      <c r="BR982" s="282">
        <v>49.060905456542969</v>
      </c>
      <c r="BS982" s="283">
        <v>42235</v>
      </c>
      <c r="BT982" s="282">
        <v>19.062545776367188</v>
      </c>
      <c r="BU982" s="283">
        <v>42235</v>
      </c>
      <c r="BV982" s="282">
        <v>10.418213844299316</v>
      </c>
      <c r="BW982" s="283">
        <v>42235</v>
      </c>
      <c r="BX982" s="282">
        <v>5.4444046020507812</v>
      </c>
      <c r="BY982" s="283">
        <v>42235</v>
      </c>
      <c r="CB982" s="267">
        <v>5.66</v>
      </c>
      <c r="CD982" s="282">
        <v>5.3571428571428541</v>
      </c>
      <c r="CE982" s="291" t="s">
        <v>8398</v>
      </c>
      <c r="CH982" s="136">
        <v>1</v>
      </c>
      <c r="CI982" s="136">
        <v>7</v>
      </c>
      <c r="CL982" s="136">
        <v>5</v>
      </c>
      <c r="CM982" s="259">
        <v>42161</v>
      </c>
      <c r="CO982" s="137" t="s">
        <v>8405</v>
      </c>
    </row>
    <row r="983" spans="1:93">
      <c r="A983" s="258">
        <v>1622</v>
      </c>
      <c r="B983" s="235">
        <v>746</v>
      </c>
      <c r="C983" s="235" t="s">
        <v>7795</v>
      </c>
      <c r="D983" s="235" t="s">
        <v>7593</v>
      </c>
      <c r="E983" s="235" t="s">
        <v>7795</v>
      </c>
      <c r="F983" s="235" t="s">
        <v>8488</v>
      </c>
      <c r="G983" s="235" t="str">
        <f t="shared" si="526"/>
        <v>Rapsodyn</v>
      </c>
      <c r="H983" s="235" t="s">
        <v>267</v>
      </c>
      <c r="I983" s="235">
        <v>2</v>
      </c>
      <c r="J983" s="235">
        <v>9166</v>
      </c>
      <c r="K983" s="235">
        <v>16</v>
      </c>
      <c r="L983" s="235">
        <f t="shared" si="525"/>
        <v>88</v>
      </c>
      <c r="M983" s="235">
        <v>11</v>
      </c>
      <c r="N983" s="235">
        <v>7</v>
      </c>
      <c r="O983" s="248">
        <v>42048</v>
      </c>
      <c r="P983" s="136">
        <v>6.31</v>
      </c>
      <c r="Q983" s="264">
        <v>42204</v>
      </c>
      <c r="V983" s="219">
        <f t="shared" si="527"/>
        <v>17.998830211738017</v>
      </c>
      <c r="X983">
        <v>15.55</v>
      </c>
      <c r="AB983" s="220">
        <f t="shared" si="528"/>
        <v>7.0321266309962605</v>
      </c>
      <c r="AD983" s="221">
        <f t="shared" si="529"/>
        <v>77233.823177699218</v>
      </c>
      <c r="AF983" s="220">
        <f t="shared" si="530"/>
        <v>37.38117041800642</v>
      </c>
      <c r="AH983" s="220">
        <f t="shared" si="531"/>
        <v>41.916540051588285</v>
      </c>
      <c r="AJ983">
        <v>4.84</v>
      </c>
      <c r="AK983" s="285" t="s">
        <v>8398</v>
      </c>
      <c r="AL983" s="260">
        <v>155</v>
      </c>
      <c r="AN983" s="235">
        <v>72</v>
      </c>
      <c r="AO983" s="242">
        <v>42076</v>
      </c>
      <c r="AP983" s="235">
        <v>104</v>
      </c>
      <c r="AQ983" s="242">
        <v>42108</v>
      </c>
      <c r="AR983" s="136">
        <v>127</v>
      </c>
      <c r="AS983" s="297">
        <f t="shared" si="532"/>
        <v>127</v>
      </c>
      <c r="AT983" s="290">
        <v>42131</v>
      </c>
      <c r="AU983" s="298"/>
      <c r="BF983" s="282">
        <v>-4.3198909759521484</v>
      </c>
      <c r="BG983" s="283">
        <v>42234</v>
      </c>
      <c r="BL983" s="296">
        <v>64.952499389648437</v>
      </c>
      <c r="BM983" s="283">
        <v>42234</v>
      </c>
      <c r="BP983" s="282">
        <v>3.9848880767822266</v>
      </c>
      <c r="BQ983" s="283">
        <v>42234</v>
      </c>
      <c r="BR983" s="282">
        <v>48.149456024169922</v>
      </c>
      <c r="BS983" s="283">
        <v>42234</v>
      </c>
      <c r="BT983" s="282">
        <v>18.811948776245117</v>
      </c>
      <c r="BU983" s="283">
        <v>42234</v>
      </c>
      <c r="BV983" s="282">
        <v>9.1918182373046875</v>
      </c>
      <c r="BW983" s="283">
        <v>42234</v>
      </c>
      <c r="BX983" s="282">
        <v>5.7554855346679687</v>
      </c>
      <c r="BY983" s="283">
        <v>42234</v>
      </c>
      <c r="CB983" s="267">
        <v>6.66</v>
      </c>
      <c r="CD983" s="282">
        <v>5.9999999999999964</v>
      </c>
      <c r="CE983" s="291" t="s">
        <v>8398</v>
      </c>
      <c r="CH983" s="136">
        <v>2</v>
      </c>
      <c r="CI983" s="136">
        <v>4</v>
      </c>
      <c r="CL983" s="136">
        <v>4</v>
      </c>
      <c r="CM983" s="259">
        <v>42161</v>
      </c>
      <c r="CN983" s="137" t="s">
        <v>8406</v>
      </c>
    </row>
    <row r="984" spans="1:93">
      <c r="A984" s="258">
        <v>1625</v>
      </c>
      <c r="B984" s="235">
        <v>749</v>
      </c>
      <c r="C984" s="235" t="s">
        <v>7850</v>
      </c>
      <c r="D984" s="235" t="s">
        <v>8422</v>
      </c>
      <c r="E984" s="235" t="s">
        <v>8461</v>
      </c>
      <c r="F984" s="235" t="s">
        <v>8487</v>
      </c>
      <c r="G984" s="235" t="str">
        <f t="shared" si="526"/>
        <v>Rapsodyn</v>
      </c>
      <c r="H984" s="235" t="s">
        <v>267</v>
      </c>
      <c r="I984" s="235">
        <v>2</v>
      </c>
      <c r="J984" s="235">
        <v>9357</v>
      </c>
      <c r="K984" s="235">
        <v>19</v>
      </c>
      <c r="L984" s="235">
        <f t="shared" si="525"/>
        <v>91</v>
      </c>
      <c r="M984" s="235">
        <v>11</v>
      </c>
      <c r="N984" s="235">
        <v>7</v>
      </c>
      <c r="O984" s="248">
        <v>42048</v>
      </c>
      <c r="P984" s="136">
        <v>7.58</v>
      </c>
      <c r="Q984" s="264">
        <v>42204</v>
      </c>
      <c r="V984" s="219">
        <f t="shared" si="527"/>
        <v>21.835100750128031</v>
      </c>
      <c r="X984">
        <v>15.55</v>
      </c>
      <c r="AB984" s="220">
        <f t="shared" si="528"/>
        <v>7.6879005596510241</v>
      </c>
      <c r="AD984" s="221">
        <f t="shared" si="529"/>
        <v>94029.966802005772</v>
      </c>
      <c r="AF984" s="220">
        <f t="shared" si="530"/>
        <v>43.347814695724665</v>
      </c>
      <c r="AH984" s="220">
        <f t="shared" si="531"/>
        <v>48.607103269482685</v>
      </c>
      <c r="AJ984">
        <v>4.6100000000000003</v>
      </c>
      <c r="AK984" s="285" t="s">
        <v>8398</v>
      </c>
      <c r="AL984" s="260">
        <v>170</v>
      </c>
      <c r="AN984" s="235">
        <v>70</v>
      </c>
      <c r="AO984" s="242">
        <v>42074</v>
      </c>
      <c r="AP984" s="235">
        <v>104</v>
      </c>
      <c r="AQ984" s="242">
        <v>42108</v>
      </c>
      <c r="AR984" s="136">
        <v>127</v>
      </c>
      <c r="AS984" s="297">
        <f t="shared" si="532"/>
        <v>127</v>
      </c>
      <c r="AT984" s="290">
        <v>42131</v>
      </c>
      <c r="AU984" s="298"/>
      <c r="BF984" s="282">
        <v>-5.6628189086914062</v>
      </c>
      <c r="BG984" s="283">
        <v>42235</v>
      </c>
      <c r="BL984" s="296">
        <v>65.459983825683594</v>
      </c>
      <c r="BM984" s="283">
        <v>42235</v>
      </c>
      <c r="BP984" s="282">
        <v>3.1577689647674561</v>
      </c>
      <c r="BQ984" s="283">
        <v>42235</v>
      </c>
      <c r="BR984" s="282">
        <v>50.371860504150391</v>
      </c>
      <c r="BS984" s="283">
        <v>42235</v>
      </c>
      <c r="BT984" s="282">
        <v>17.735382080078125</v>
      </c>
      <c r="BU984" s="283">
        <v>42235</v>
      </c>
      <c r="BV984" s="282">
        <v>15.366434097290039</v>
      </c>
      <c r="BW984" s="283">
        <v>42235</v>
      </c>
      <c r="BX984" s="282">
        <v>5.4406051635742188</v>
      </c>
      <c r="BY984" s="283">
        <v>42235</v>
      </c>
      <c r="CB984" s="267">
        <v>5.7</v>
      </c>
      <c r="CD984" s="282">
        <v>9.2592592592592595</v>
      </c>
      <c r="CE984" s="291" t="s">
        <v>8398</v>
      </c>
      <c r="CH984" s="136">
        <v>2</v>
      </c>
      <c r="CI984" s="136">
        <v>3</v>
      </c>
      <c r="CL984" s="136">
        <v>4</v>
      </c>
      <c r="CM984" s="259">
        <v>42161</v>
      </c>
      <c r="CN984" s="137" t="s">
        <v>8406</v>
      </c>
    </row>
    <row r="985" spans="1:93">
      <c r="A985" s="258">
        <v>1630</v>
      </c>
      <c r="B985" s="235">
        <v>754</v>
      </c>
      <c r="C985" s="235" t="s">
        <v>7772</v>
      </c>
      <c r="D985" s="235" t="s">
        <v>7570</v>
      </c>
      <c r="E985" s="235" t="s">
        <v>7772</v>
      </c>
      <c r="F985" s="235" t="s">
        <v>8486</v>
      </c>
      <c r="G985" s="235" t="str">
        <f t="shared" si="526"/>
        <v>Rapsodyn</v>
      </c>
      <c r="H985" s="235" t="s">
        <v>267</v>
      </c>
      <c r="I985" s="235">
        <v>2</v>
      </c>
      <c r="J985" s="235">
        <v>9143</v>
      </c>
      <c r="K985" s="235">
        <v>24</v>
      </c>
      <c r="L985" s="235">
        <f t="shared" si="525"/>
        <v>96</v>
      </c>
      <c r="M985" s="235">
        <v>11</v>
      </c>
      <c r="N985" s="235">
        <v>7</v>
      </c>
      <c r="O985" s="248">
        <v>42048</v>
      </c>
      <c r="P985" s="136">
        <v>6.85</v>
      </c>
      <c r="Q985" s="264">
        <v>42204</v>
      </c>
      <c r="V985" s="219">
        <f t="shared" si="527"/>
        <v>20.480683722425823</v>
      </c>
      <c r="X985">
        <v>15.55</v>
      </c>
      <c r="AB985" s="220">
        <f t="shared" si="528"/>
        <v>7.0038588122091712</v>
      </c>
      <c r="AD985" s="221">
        <f t="shared" si="529"/>
        <v>96231.272336316499</v>
      </c>
      <c r="AF985" s="220">
        <f t="shared" si="530"/>
        <v>40.898290742934506</v>
      </c>
      <c r="AH985" s="220">
        <f t="shared" si="531"/>
        <v>45.860384327129971</v>
      </c>
      <c r="AJ985">
        <v>4.25</v>
      </c>
      <c r="AK985" s="285" t="s">
        <v>8398</v>
      </c>
      <c r="AL985" s="260">
        <v>175</v>
      </c>
      <c r="AN985" s="235">
        <v>65</v>
      </c>
      <c r="AO985" s="242">
        <v>42069</v>
      </c>
      <c r="AP985" s="235">
        <v>106</v>
      </c>
      <c r="AQ985" s="242">
        <v>42110</v>
      </c>
      <c r="AR985" s="136">
        <v>133</v>
      </c>
      <c r="AS985" s="297">
        <f t="shared" si="532"/>
        <v>133</v>
      </c>
      <c r="AT985" s="290">
        <v>42137</v>
      </c>
      <c r="AU985" s="298"/>
      <c r="BF985" s="282">
        <v>-1.7614099979400635</v>
      </c>
      <c r="BG985" s="283">
        <v>42235</v>
      </c>
      <c r="BL985" s="296">
        <v>63.778419494628906</v>
      </c>
      <c r="BM985" s="283">
        <v>42235</v>
      </c>
      <c r="BP985" s="282">
        <v>3.8011610507965088</v>
      </c>
      <c r="BQ985" s="283">
        <v>42235</v>
      </c>
      <c r="BR985" s="282">
        <v>50.077114105224609</v>
      </c>
      <c r="BS985" s="283">
        <v>42235</v>
      </c>
      <c r="BT985" s="282">
        <v>17.125064849853516</v>
      </c>
      <c r="BU985" s="283">
        <v>42235</v>
      </c>
      <c r="BV985" s="282">
        <v>11.537483215332031</v>
      </c>
      <c r="BW985" s="283">
        <v>42235</v>
      </c>
      <c r="BX985" s="282">
        <v>5.6242523193359375</v>
      </c>
      <c r="BY985" s="283">
        <v>42235</v>
      </c>
      <c r="CB985" s="267">
        <v>6.74</v>
      </c>
      <c r="CD985" s="282">
        <v>5.2631578947368389</v>
      </c>
      <c r="CE985" s="291" t="s">
        <v>8398</v>
      </c>
      <c r="CH985" s="136">
        <v>1</v>
      </c>
      <c r="CI985" s="136">
        <v>2</v>
      </c>
      <c r="CL985" s="136">
        <v>3</v>
      </c>
      <c r="CM985" s="259">
        <v>42161</v>
      </c>
      <c r="CN985" s="137" t="s">
        <v>8406</v>
      </c>
    </row>
    <row r="986" spans="1:93">
      <c r="A986" s="258">
        <v>1632</v>
      </c>
      <c r="B986" s="235">
        <v>756</v>
      </c>
      <c r="C986" s="235" t="s">
        <v>7752</v>
      </c>
      <c r="D986" s="235" t="s">
        <v>7560</v>
      </c>
      <c r="E986" s="235" t="s">
        <v>7752</v>
      </c>
      <c r="F986" s="235" t="s">
        <v>8485</v>
      </c>
      <c r="G986" s="235" t="str">
        <f t="shared" si="526"/>
        <v>Rapsodyn</v>
      </c>
      <c r="H986" s="235" t="s">
        <v>267</v>
      </c>
      <c r="I986" s="235">
        <v>2</v>
      </c>
      <c r="J986" s="235">
        <v>9124</v>
      </c>
      <c r="K986" s="235">
        <v>26</v>
      </c>
      <c r="L986" s="235">
        <f t="shared" si="525"/>
        <v>98</v>
      </c>
      <c r="M986" s="235">
        <v>11</v>
      </c>
      <c r="N986" s="235">
        <v>7</v>
      </c>
      <c r="O986" s="248">
        <v>42048</v>
      </c>
      <c r="P986" s="136">
        <v>5.98</v>
      </c>
      <c r="Q986" s="264">
        <v>42204</v>
      </c>
      <c r="V986" s="219">
        <f t="shared" si="527"/>
        <v>17.85875991259136</v>
      </c>
      <c r="X986">
        <v>15.55</v>
      </c>
      <c r="AB986" s="220">
        <f t="shared" si="528"/>
        <v>5.8463926520273004</v>
      </c>
      <c r="AD986" s="221">
        <f t="shared" si="529"/>
        <v>85688.726307939956</v>
      </c>
      <c r="AF986" s="220">
        <f t="shared" si="530"/>
        <v>35.132377786255375</v>
      </c>
      <c r="AH986" s="220">
        <f t="shared" si="531"/>
        <v>39.394906690127137</v>
      </c>
      <c r="AJ986">
        <v>4.0999999999999996</v>
      </c>
      <c r="AK986" s="285" t="s">
        <v>8403</v>
      </c>
      <c r="AL986" s="260">
        <v>160</v>
      </c>
      <c r="AN986" s="235">
        <v>70</v>
      </c>
      <c r="AO986" s="242">
        <v>42074</v>
      </c>
      <c r="AP986" s="235">
        <v>104</v>
      </c>
      <c r="AQ986" s="242">
        <v>42108</v>
      </c>
      <c r="AR986" s="136">
        <v>127</v>
      </c>
      <c r="AS986" s="297">
        <f t="shared" si="532"/>
        <v>127</v>
      </c>
      <c r="AT986" s="290">
        <v>42131</v>
      </c>
      <c r="AU986" s="298"/>
      <c r="BF986" s="282">
        <v>-3.5008161067962646</v>
      </c>
      <c r="BG986" s="283">
        <v>42235</v>
      </c>
      <c r="BL986" s="296">
        <v>63.611881256103516</v>
      </c>
      <c r="BM986" s="283">
        <v>42235</v>
      </c>
      <c r="BP986" s="282">
        <v>4.0777931213378906</v>
      </c>
      <c r="BQ986" s="283">
        <v>42235</v>
      </c>
      <c r="BR986" s="282">
        <v>50.832767486572266</v>
      </c>
      <c r="BS986" s="283">
        <v>42235</v>
      </c>
      <c r="BT986" s="282">
        <v>16.64103889465332</v>
      </c>
      <c r="BU986" s="283">
        <v>42235</v>
      </c>
      <c r="BV986" s="282">
        <v>11.91590404510498</v>
      </c>
      <c r="BW986" s="283">
        <v>42235</v>
      </c>
      <c r="BX986" s="282">
        <v>5.3751602172851562</v>
      </c>
      <c r="BY986" s="283">
        <v>42235</v>
      </c>
      <c r="CB986" s="267">
        <v>4.8</v>
      </c>
      <c r="CD986" s="282">
        <v>6.7796610169491585</v>
      </c>
      <c r="CE986" s="291" t="s">
        <v>8403</v>
      </c>
      <c r="CH986" s="136">
        <v>2</v>
      </c>
      <c r="CI986" s="136">
        <v>4</v>
      </c>
      <c r="CL986" s="136">
        <v>4</v>
      </c>
      <c r="CM986" s="259">
        <v>42161</v>
      </c>
      <c r="CN986" s="137" t="s">
        <v>8406</v>
      </c>
    </row>
    <row r="987" spans="1:93">
      <c r="A987" s="258">
        <v>1633</v>
      </c>
      <c r="B987" s="235">
        <v>757</v>
      </c>
      <c r="C987" s="235" t="s">
        <v>7626</v>
      </c>
      <c r="D987" s="235" t="s">
        <v>7460</v>
      </c>
      <c r="E987" s="235" t="s">
        <v>7626</v>
      </c>
      <c r="F987" s="235" t="s">
        <v>8484</v>
      </c>
      <c r="G987" s="235" t="str">
        <f t="shared" si="526"/>
        <v>Rapsodyn</v>
      </c>
      <c r="H987" s="235" t="s">
        <v>267</v>
      </c>
      <c r="I987" s="235">
        <v>2</v>
      </c>
      <c r="J987" s="235">
        <v>9018</v>
      </c>
      <c r="K987" s="235">
        <v>27</v>
      </c>
      <c r="L987" s="235">
        <f t="shared" si="525"/>
        <v>99</v>
      </c>
      <c r="M987" s="235">
        <v>11</v>
      </c>
      <c r="N987" s="235">
        <v>7</v>
      </c>
      <c r="O987" s="248">
        <v>42048</v>
      </c>
      <c r="P987" s="136">
        <v>5.03</v>
      </c>
      <c r="Q987" s="264">
        <v>42204</v>
      </c>
      <c r="V987" s="219">
        <f t="shared" si="527"/>
        <v>13.722544985095121</v>
      </c>
      <c r="X987">
        <v>15.55</v>
      </c>
      <c r="AB987" s="220">
        <f t="shared" si="528"/>
        <v>6.1339124940763838</v>
      </c>
      <c r="AD987" s="221">
        <f t="shared" si="529"/>
        <v>59411.579867164248</v>
      </c>
      <c r="AF987" s="220">
        <f t="shared" si="530"/>
        <v>29.586966773847799</v>
      </c>
      <c r="AH987" s="220">
        <f t="shared" si="531"/>
        <v>33.176683980542499</v>
      </c>
      <c r="AJ987">
        <v>4.9800000000000004</v>
      </c>
      <c r="AK987" s="285" t="s">
        <v>8402</v>
      </c>
      <c r="AL987" s="260">
        <v>165</v>
      </c>
      <c r="AN987" s="235">
        <v>72</v>
      </c>
      <c r="AO987" s="242">
        <v>42076</v>
      </c>
      <c r="AP987" s="235">
        <v>106</v>
      </c>
      <c r="AQ987" s="242">
        <v>42110</v>
      </c>
      <c r="AR987" s="136">
        <v>131</v>
      </c>
      <c r="AS987" s="297">
        <f t="shared" si="532"/>
        <v>131</v>
      </c>
      <c r="AT987" s="290">
        <v>42135</v>
      </c>
      <c r="AU987" s="298"/>
      <c r="BF987" s="282">
        <v>-3.7763690948486328</v>
      </c>
      <c r="BG987" s="283">
        <v>42235</v>
      </c>
      <c r="BL987" s="296">
        <v>63.967647552490234</v>
      </c>
      <c r="BM987" s="283">
        <v>42235</v>
      </c>
      <c r="BP987" s="282">
        <v>2.745297908782959</v>
      </c>
      <c r="BQ987" s="283">
        <v>42235</v>
      </c>
      <c r="BR987" s="282">
        <v>46.38037109375</v>
      </c>
      <c r="BS987" s="283">
        <v>42235</v>
      </c>
      <c r="BT987" s="282">
        <v>20.731805801391602</v>
      </c>
      <c r="BU987" s="283">
        <v>42235</v>
      </c>
      <c r="BV987" s="282">
        <v>46.017860412597656</v>
      </c>
      <c r="BW987" s="283">
        <v>42235</v>
      </c>
      <c r="BX987" s="282">
        <v>5.6740493774414062</v>
      </c>
      <c r="BY987" s="283">
        <v>42235</v>
      </c>
      <c r="CB987" s="267">
        <v>4.72</v>
      </c>
      <c r="CD987" s="282">
        <v>6.6666666666666723</v>
      </c>
      <c r="CE987" s="291" t="s">
        <v>8402</v>
      </c>
      <c r="CH987" s="136">
        <v>3</v>
      </c>
      <c r="CI987" s="136">
        <v>2</v>
      </c>
      <c r="CL987" s="136">
        <v>4</v>
      </c>
      <c r="CM987" s="259">
        <v>42161</v>
      </c>
      <c r="CN987" s="137" t="s">
        <v>8406</v>
      </c>
    </row>
    <row r="988" spans="1:93">
      <c r="A988" s="258">
        <v>1635</v>
      </c>
      <c r="B988" s="235">
        <v>759</v>
      </c>
      <c r="C988" s="235" t="s">
        <v>7576</v>
      </c>
      <c r="D988" s="235"/>
      <c r="E988" s="235"/>
      <c r="F988" s="235"/>
      <c r="G988" s="235"/>
      <c r="H988" s="235" t="s">
        <v>267</v>
      </c>
      <c r="I988" s="235">
        <v>2</v>
      </c>
      <c r="K988" s="235">
        <v>29</v>
      </c>
      <c r="L988" s="235">
        <f t="shared" si="525"/>
        <v>101</v>
      </c>
      <c r="M988" s="235">
        <v>11</v>
      </c>
      <c r="O988" s="248">
        <v>42048</v>
      </c>
      <c r="V988" s="219"/>
      <c r="X988">
        <v>15.55</v>
      </c>
      <c r="AB988" s="220"/>
      <c r="AD988" s="221"/>
      <c r="AF988" s="220"/>
      <c r="AH988" s="220"/>
      <c r="AJ988" s="286"/>
      <c r="AK988" s="285"/>
      <c r="AL988" s="260"/>
      <c r="AN988" s="235">
        <v>70</v>
      </c>
      <c r="AO988" s="242">
        <v>42074</v>
      </c>
      <c r="AP988" s="235">
        <v>106</v>
      </c>
      <c r="AQ988" s="242">
        <v>42110</v>
      </c>
      <c r="AS988" s="297"/>
      <c r="AT988" s="290"/>
      <c r="AU988" s="298"/>
      <c r="BF988" s="282"/>
      <c r="BG988" s="235"/>
      <c r="BL988" s="296"/>
      <c r="BM988" s="235"/>
      <c r="BP988" s="282"/>
      <c r="BQ988" s="235"/>
      <c r="BR988" s="282"/>
      <c r="BS988" s="235"/>
      <c r="BT988" s="282"/>
      <c r="BU988" s="235"/>
      <c r="BV988" s="282"/>
      <c r="BW988" s="235"/>
      <c r="BX988" s="282"/>
      <c r="BY988" s="235"/>
      <c r="CB988" s="267"/>
      <c r="CD988" s="282"/>
      <c r="CE988" s="291"/>
      <c r="CL988" s="136">
        <v>3</v>
      </c>
      <c r="CM988" s="259">
        <v>42161</v>
      </c>
    </row>
    <row r="989" spans="1:93">
      <c r="A989" s="258">
        <v>1636</v>
      </c>
      <c r="B989" s="235">
        <v>760</v>
      </c>
      <c r="C989" s="235" t="s">
        <v>7576</v>
      </c>
      <c r="D989" s="235"/>
      <c r="E989" s="235"/>
      <c r="F989" s="235"/>
      <c r="G989" s="235"/>
      <c r="H989" s="235" t="s">
        <v>267</v>
      </c>
      <c r="I989" s="235">
        <v>2</v>
      </c>
      <c r="K989" s="235">
        <v>30</v>
      </c>
      <c r="L989" s="235">
        <f t="shared" si="525"/>
        <v>102</v>
      </c>
      <c r="M989" s="235">
        <v>11</v>
      </c>
      <c r="O989" s="248">
        <v>42048</v>
      </c>
      <c r="V989" s="219"/>
      <c r="X989">
        <v>15.55</v>
      </c>
      <c r="AB989" s="220"/>
      <c r="AD989" s="221"/>
      <c r="AF989" s="220"/>
      <c r="AH989" s="220"/>
      <c r="AJ989" s="286"/>
      <c r="AK989" s="285"/>
      <c r="AL989" s="260"/>
      <c r="AN989" s="235">
        <v>70</v>
      </c>
      <c r="AO989" s="242">
        <v>42074</v>
      </c>
      <c r="AP989" s="235">
        <v>106</v>
      </c>
      <c r="AQ989" s="242">
        <v>42110</v>
      </c>
      <c r="AS989" s="297"/>
      <c r="AT989" s="290"/>
      <c r="AU989" s="298"/>
      <c r="BF989" s="282"/>
      <c r="BG989" s="235"/>
      <c r="BL989" s="296"/>
      <c r="BM989" s="235"/>
      <c r="BP989" s="282"/>
      <c r="BQ989" s="235"/>
      <c r="BR989" s="282"/>
      <c r="BS989" s="235"/>
      <c r="BT989" s="282"/>
      <c r="BU989" s="235"/>
      <c r="BV989" s="282"/>
      <c r="BW989" s="235"/>
      <c r="BX989" s="282"/>
      <c r="BY989" s="235"/>
      <c r="CB989" s="267"/>
      <c r="CD989" s="282"/>
      <c r="CE989" s="291"/>
      <c r="CL989" s="136">
        <v>4</v>
      </c>
      <c r="CM989" s="259">
        <v>42161</v>
      </c>
    </row>
    <row r="990" spans="1:93">
      <c r="A990" s="258">
        <v>1637</v>
      </c>
      <c r="B990" s="235">
        <v>761</v>
      </c>
      <c r="C990" s="235" t="s">
        <v>7608</v>
      </c>
      <c r="D990" s="235" t="s">
        <v>7447</v>
      </c>
      <c r="E990" s="235" t="s">
        <v>7608</v>
      </c>
      <c r="F990" s="235" t="s">
        <v>8483</v>
      </c>
      <c r="G990" s="235" t="str">
        <f t="shared" ref="G990:G1003" si="533">IF(MID(C990,1,3)="BGA","Complement","Rapsodyn")</f>
        <v>Rapsodyn</v>
      </c>
      <c r="H990" s="235" t="s">
        <v>267</v>
      </c>
      <c r="I990" s="235">
        <v>2</v>
      </c>
      <c r="J990" s="235">
        <v>9003</v>
      </c>
      <c r="K990" s="235">
        <v>31</v>
      </c>
      <c r="L990" s="235">
        <f t="shared" si="525"/>
        <v>103</v>
      </c>
      <c r="M990" s="235">
        <v>11</v>
      </c>
      <c r="N990" s="235">
        <v>9</v>
      </c>
      <c r="O990" s="248">
        <v>42048</v>
      </c>
      <c r="P990" s="136">
        <v>4.7300000000000004</v>
      </c>
      <c r="Q990" s="264">
        <v>42204</v>
      </c>
      <c r="V990" s="219">
        <f t="shared" ref="V990:V1000" si="534">+BR990*AF990/100</f>
        <v>13.843357537872869</v>
      </c>
      <c r="X990">
        <v>15.55</v>
      </c>
      <c r="AB990" s="220">
        <f t="shared" ref="AB990:AB1000" si="535">+AF990*BT990/100</f>
        <v>5.5035901042942319</v>
      </c>
      <c r="AD990" s="221">
        <f t="shared" ref="AD990:AD1000" si="536">+(AF990/AJ990)*10000</f>
        <v>60793.230855504444</v>
      </c>
      <c r="AF990" s="220">
        <f t="shared" ref="AF990:AF1000" si="537">($P990/$X990)*(((100-$CD990)/100*(100-2)/100))*100</f>
        <v>28.815991425509107</v>
      </c>
      <c r="AH990" s="220">
        <f t="shared" ref="AH990:AH1000" si="538">($P990/$X990)*(((100-$CD990)/(100-9)*(100-2)/(100-2))*100)</f>
        <v>32.312168003486335</v>
      </c>
      <c r="AJ990">
        <v>4.74</v>
      </c>
      <c r="AK990" s="285" t="s">
        <v>8401</v>
      </c>
      <c r="AL990" s="260">
        <v>165</v>
      </c>
      <c r="AN990" s="235">
        <v>82</v>
      </c>
      <c r="AO990" s="242">
        <v>42086</v>
      </c>
      <c r="AP990" s="235">
        <v>110</v>
      </c>
      <c r="AQ990" s="242">
        <v>42114</v>
      </c>
      <c r="AR990" s="136">
        <v>133</v>
      </c>
      <c r="AS990" s="297">
        <f t="shared" ref="AS990:AS1003" si="539">IF(AR990=0,,AR990)</f>
        <v>133</v>
      </c>
      <c r="AT990" s="290">
        <v>42137</v>
      </c>
      <c r="AU990" s="298"/>
      <c r="BF990" s="282">
        <v>37.561626434326172</v>
      </c>
      <c r="BG990" s="283">
        <v>42234</v>
      </c>
      <c r="BL990" s="296">
        <v>59.357994079589844</v>
      </c>
      <c r="BM990" s="283">
        <v>42234</v>
      </c>
      <c r="BP990" s="282">
        <v>3.6216220855712891</v>
      </c>
      <c r="BQ990" s="283">
        <v>42234</v>
      </c>
      <c r="BR990" s="282">
        <v>48.040538787841797</v>
      </c>
      <c r="BS990" s="283">
        <v>42234</v>
      </c>
      <c r="BT990" s="282">
        <v>19.099082946777344</v>
      </c>
      <c r="BU990" s="283">
        <v>42234</v>
      </c>
      <c r="BV990" s="282">
        <v>79.838783264160156</v>
      </c>
      <c r="BW990" s="283">
        <v>42234</v>
      </c>
      <c r="BX990" s="282">
        <v>5.6717376708984375</v>
      </c>
      <c r="BY990" s="283">
        <v>42234</v>
      </c>
      <c r="CB990" s="267">
        <v>4.6100000000000003</v>
      </c>
      <c r="CD990" s="282">
        <v>3.3333333333333361</v>
      </c>
      <c r="CE990" s="291" t="s">
        <v>8401</v>
      </c>
      <c r="CH990" s="136">
        <v>2</v>
      </c>
      <c r="CI990" s="136">
        <v>2</v>
      </c>
      <c r="CL990" s="136">
        <v>5</v>
      </c>
      <c r="CM990" s="259">
        <v>42161</v>
      </c>
      <c r="CN990" s="137" t="s">
        <v>8406</v>
      </c>
    </row>
    <row r="991" spans="1:93">
      <c r="A991" s="258">
        <v>1639</v>
      </c>
      <c r="B991" s="235">
        <v>763</v>
      </c>
      <c r="C991" s="235" t="s">
        <v>7683</v>
      </c>
      <c r="D991" s="235" t="s">
        <v>7510</v>
      </c>
      <c r="E991" s="235" t="s">
        <v>7683</v>
      </c>
      <c r="F991" s="235" t="s">
        <v>8482</v>
      </c>
      <c r="G991" s="235" t="str">
        <f t="shared" si="533"/>
        <v>Rapsodyn</v>
      </c>
      <c r="H991" s="235" t="s">
        <v>267</v>
      </c>
      <c r="I991" s="235">
        <v>2</v>
      </c>
      <c r="J991" s="235">
        <v>9065</v>
      </c>
      <c r="K991" s="235">
        <v>33</v>
      </c>
      <c r="L991" s="235">
        <f t="shared" si="525"/>
        <v>105</v>
      </c>
      <c r="M991" s="235">
        <v>11</v>
      </c>
      <c r="N991" s="235">
        <v>5</v>
      </c>
      <c r="O991" s="248">
        <v>42048</v>
      </c>
      <c r="P991" s="136">
        <v>5.61</v>
      </c>
      <c r="Q991" s="264">
        <v>42204</v>
      </c>
      <c r="V991" s="219">
        <f t="shared" si="534"/>
        <v>16.460887334073345</v>
      </c>
      <c r="X991">
        <v>15.55</v>
      </c>
      <c r="AB991" s="220">
        <f t="shared" si="535"/>
        <v>5.8516455484399117</v>
      </c>
      <c r="AD991" s="221">
        <f t="shared" si="536"/>
        <v>71790.990516663223</v>
      </c>
      <c r="AF991" s="220">
        <f t="shared" si="537"/>
        <v>32.736691675598429</v>
      </c>
      <c r="AH991" s="220">
        <f t="shared" si="538"/>
        <v>36.708557608879147</v>
      </c>
      <c r="AJ991">
        <v>4.5599999999999996</v>
      </c>
      <c r="AK991" s="285" t="s">
        <v>8402</v>
      </c>
      <c r="AL991" s="260">
        <v>175</v>
      </c>
      <c r="AN991" s="235">
        <v>72</v>
      </c>
      <c r="AO991" s="242">
        <v>42076</v>
      </c>
      <c r="AP991" s="235">
        <v>106</v>
      </c>
      <c r="AQ991" s="242">
        <v>42110</v>
      </c>
      <c r="AR991" s="136">
        <v>143</v>
      </c>
      <c r="AS991" s="297">
        <f t="shared" si="539"/>
        <v>143</v>
      </c>
      <c r="AT991" s="290">
        <v>42147</v>
      </c>
      <c r="AU991" s="298"/>
      <c r="BF991" s="282">
        <v>-3.9959030151367187</v>
      </c>
      <c r="BG991" s="283">
        <v>42234</v>
      </c>
      <c r="BL991" s="296">
        <v>63.902442932128906</v>
      </c>
      <c r="BM991" s="283">
        <v>42234</v>
      </c>
      <c r="BP991" s="282">
        <v>3.3592100143432617</v>
      </c>
      <c r="BQ991" s="283">
        <v>42234</v>
      </c>
      <c r="BR991" s="282">
        <v>50.282684326171875</v>
      </c>
      <c r="BS991" s="283">
        <v>42234</v>
      </c>
      <c r="BT991" s="282">
        <v>17.874883651733398</v>
      </c>
      <c r="BU991" s="283">
        <v>42234</v>
      </c>
      <c r="BV991" s="282">
        <v>11.233060836791992</v>
      </c>
      <c r="BW991" s="283">
        <v>42234</v>
      </c>
      <c r="BX991" s="282">
        <v>5.4585723876953125</v>
      </c>
      <c r="BY991" s="283">
        <v>42234</v>
      </c>
      <c r="CB991" s="267">
        <v>4.41</v>
      </c>
      <c r="CD991" s="282">
        <v>7.4074074074074137</v>
      </c>
      <c r="CE991" s="291" t="s">
        <v>8402</v>
      </c>
      <c r="CH991" s="136">
        <v>2</v>
      </c>
      <c r="CI991" s="136">
        <v>3</v>
      </c>
      <c r="CL991" s="136">
        <v>3</v>
      </c>
      <c r="CM991" s="259">
        <v>42161</v>
      </c>
      <c r="CN991" s="137" t="s">
        <v>8406</v>
      </c>
    </row>
    <row r="992" spans="1:93">
      <c r="A992" s="258">
        <v>1642</v>
      </c>
      <c r="B992" s="235">
        <v>766</v>
      </c>
      <c r="C992" s="235" t="s">
        <v>7768</v>
      </c>
      <c r="D992" s="235" t="s">
        <v>7844</v>
      </c>
      <c r="E992" s="235" t="s">
        <v>7768</v>
      </c>
      <c r="F992" s="235" t="s">
        <v>8481</v>
      </c>
      <c r="G992" s="235" t="str">
        <f t="shared" si="533"/>
        <v>Rapsodyn</v>
      </c>
      <c r="H992" s="235" t="s">
        <v>267</v>
      </c>
      <c r="I992" s="235">
        <v>2</v>
      </c>
      <c r="J992" s="235">
        <v>9139</v>
      </c>
      <c r="K992" s="235">
        <v>36</v>
      </c>
      <c r="L992" s="235">
        <f t="shared" si="525"/>
        <v>108</v>
      </c>
      <c r="M992" s="235">
        <v>11</v>
      </c>
      <c r="N992" s="235">
        <v>5</v>
      </c>
      <c r="O992" s="248">
        <v>42048</v>
      </c>
      <c r="P992" s="136">
        <v>5.08</v>
      </c>
      <c r="Q992" s="264">
        <v>42204</v>
      </c>
      <c r="V992" s="219">
        <f t="shared" si="534"/>
        <v>15.88903945425365</v>
      </c>
      <c r="X992">
        <v>15.55</v>
      </c>
      <c r="AB992" s="220">
        <f t="shared" si="535"/>
        <v>5.2872499801597792</v>
      </c>
      <c r="AD992" s="221">
        <f t="shared" si="536"/>
        <v>69035.976460595775</v>
      </c>
      <c r="AF992" s="220">
        <f t="shared" si="537"/>
        <v>31.411369289571077</v>
      </c>
      <c r="AH992" s="220">
        <f t="shared" si="538"/>
        <v>35.222436969691721</v>
      </c>
      <c r="AJ992">
        <v>4.55</v>
      </c>
      <c r="AK992" s="285" t="s">
        <v>8400</v>
      </c>
      <c r="AL992" s="260">
        <v>175</v>
      </c>
      <c r="AN992" s="235">
        <v>75</v>
      </c>
      <c r="AO992" s="242">
        <v>42079</v>
      </c>
      <c r="AP992" s="235">
        <v>110</v>
      </c>
      <c r="AQ992" s="242">
        <v>42114</v>
      </c>
      <c r="AR992" s="136">
        <v>133</v>
      </c>
      <c r="AS992" s="297">
        <f t="shared" si="539"/>
        <v>133</v>
      </c>
      <c r="AT992" s="290">
        <v>42137</v>
      </c>
      <c r="AU992" s="298"/>
      <c r="BF992" s="282">
        <v>-1.6519680023193359</v>
      </c>
      <c r="BG992" s="283">
        <v>42235</v>
      </c>
      <c r="BL992" s="296">
        <v>65.411918640136719</v>
      </c>
      <c r="BM992" s="283">
        <v>42235</v>
      </c>
      <c r="BP992" s="282">
        <v>2.8160519599914551</v>
      </c>
      <c r="BQ992" s="283">
        <v>42235</v>
      </c>
      <c r="BR992" s="282">
        <v>50.583721160888672</v>
      </c>
      <c r="BS992" s="283">
        <v>42235</v>
      </c>
      <c r="BT992" s="282">
        <v>16.832281112670898</v>
      </c>
      <c r="BU992" s="283">
        <v>42235</v>
      </c>
      <c r="BV992" s="282">
        <v>11.500164985656738</v>
      </c>
      <c r="BW992" s="283">
        <v>42235</v>
      </c>
      <c r="BX992" s="282">
        <v>5.3425750732421875</v>
      </c>
      <c r="BY992" s="283">
        <v>42235</v>
      </c>
      <c r="CB992" s="267">
        <v>4.0199999999999996</v>
      </c>
      <c r="CD992" s="282">
        <v>1.886792452830182</v>
      </c>
      <c r="CE992" s="291" t="s">
        <v>8400</v>
      </c>
      <c r="CH992" s="136">
        <v>1</v>
      </c>
      <c r="CI992" s="136">
        <v>2</v>
      </c>
      <c r="CL992" s="136">
        <v>5</v>
      </c>
      <c r="CM992" s="259">
        <v>42161</v>
      </c>
      <c r="CN992" s="137" t="s">
        <v>8406</v>
      </c>
    </row>
    <row r="993" spans="1:94">
      <c r="A993" s="258">
        <v>1643</v>
      </c>
      <c r="B993" s="235">
        <v>767</v>
      </c>
      <c r="C993" s="235" t="s">
        <v>7792</v>
      </c>
      <c r="D993" s="235" t="s">
        <v>7590</v>
      </c>
      <c r="E993" s="235" t="s">
        <v>7792</v>
      </c>
      <c r="F993" s="235" t="s">
        <v>8480</v>
      </c>
      <c r="G993" s="235" t="str">
        <f t="shared" si="533"/>
        <v>Rapsodyn</v>
      </c>
      <c r="H993" s="235" t="s">
        <v>267</v>
      </c>
      <c r="I993" s="235">
        <v>2</v>
      </c>
      <c r="J993" s="235">
        <v>9163</v>
      </c>
      <c r="K993" s="235">
        <v>37</v>
      </c>
      <c r="L993" s="235">
        <f t="shared" si="525"/>
        <v>109</v>
      </c>
      <c r="M993" s="235">
        <v>11</v>
      </c>
      <c r="N993" s="235">
        <v>7</v>
      </c>
      <c r="O993" s="248">
        <v>42048</v>
      </c>
      <c r="P993" s="136">
        <v>6.97</v>
      </c>
      <c r="Q993" s="264">
        <v>42204</v>
      </c>
      <c r="V993" s="219">
        <f t="shared" si="534"/>
        <v>21.362616175832478</v>
      </c>
      <c r="X993">
        <v>15.55</v>
      </c>
      <c r="AB993" s="220">
        <f t="shared" si="535"/>
        <v>7.2170015159251228</v>
      </c>
      <c r="AD993" s="221">
        <f t="shared" si="536"/>
        <v>101821.82166707891</v>
      </c>
      <c r="AF993" s="220">
        <f t="shared" si="537"/>
        <v>42.357877813504828</v>
      </c>
      <c r="AH993" s="220">
        <f t="shared" si="538"/>
        <v>47.497059669774416</v>
      </c>
      <c r="AJ993">
        <v>4.16</v>
      </c>
      <c r="AK993" s="285" t="s">
        <v>8400</v>
      </c>
      <c r="AL993" s="260">
        <v>175</v>
      </c>
      <c r="AN993" s="235">
        <v>70</v>
      </c>
      <c r="AO993" s="242">
        <v>42074</v>
      </c>
      <c r="AP993" s="235">
        <v>104</v>
      </c>
      <c r="AQ993" s="242">
        <v>42108</v>
      </c>
      <c r="AR993" s="136">
        <v>131</v>
      </c>
      <c r="AS993" s="297">
        <f t="shared" si="539"/>
        <v>131</v>
      </c>
      <c r="AT993" s="290">
        <v>42135</v>
      </c>
      <c r="AU993" s="298"/>
      <c r="BF993" s="282">
        <v>-5.0412502288818359</v>
      </c>
      <c r="BG993" s="283">
        <v>42235</v>
      </c>
      <c r="BL993" s="296">
        <v>63.577274322509766</v>
      </c>
      <c r="BM993" s="283">
        <v>42235</v>
      </c>
      <c r="BP993" s="282">
        <v>3.4968090057373047</v>
      </c>
      <c r="BQ993" s="283">
        <v>42235</v>
      </c>
      <c r="BR993" s="282">
        <v>50.433631896972656</v>
      </c>
      <c r="BS993" s="283">
        <v>42235</v>
      </c>
      <c r="BT993" s="282">
        <v>17.038156509399414</v>
      </c>
      <c r="BU993" s="283">
        <v>42235</v>
      </c>
      <c r="BV993" s="282">
        <v>12.412884712219238</v>
      </c>
      <c r="BW993" s="283">
        <v>42235</v>
      </c>
      <c r="BX993" s="282">
        <v>5.45562744140625</v>
      </c>
      <c r="BY993" s="283">
        <v>42235</v>
      </c>
      <c r="CB993" s="267">
        <v>4.16</v>
      </c>
      <c r="CD993" s="282">
        <v>3.5714285714285587</v>
      </c>
      <c r="CE993" s="291" t="s">
        <v>8400</v>
      </c>
      <c r="CH993" s="136">
        <v>2</v>
      </c>
      <c r="CI993" s="136">
        <v>2</v>
      </c>
      <c r="CL993" s="136">
        <v>3</v>
      </c>
      <c r="CM993" s="259">
        <v>42161</v>
      </c>
      <c r="CN993" s="137" t="s">
        <v>8406</v>
      </c>
    </row>
    <row r="994" spans="1:94">
      <c r="A994" s="258">
        <v>1646</v>
      </c>
      <c r="B994" s="235">
        <v>770</v>
      </c>
      <c r="C994" s="235" t="s">
        <v>7666</v>
      </c>
      <c r="D994" s="235" t="s">
        <v>7495</v>
      </c>
      <c r="E994" s="235" t="s">
        <v>7666</v>
      </c>
      <c r="F994" s="235" t="s">
        <v>8479</v>
      </c>
      <c r="G994" s="235" t="str">
        <f t="shared" si="533"/>
        <v>Rapsodyn</v>
      </c>
      <c r="H994" s="235" t="s">
        <v>267</v>
      </c>
      <c r="I994" s="235">
        <v>2</v>
      </c>
      <c r="J994" s="235">
        <v>9049</v>
      </c>
      <c r="K994" s="235">
        <v>40</v>
      </c>
      <c r="L994" s="235">
        <f t="shared" ref="L994:L1032" si="540">72+K994</f>
        <v>112</v>
      </c>
      <c r="M994" s="235">
        <v>11</v>
      </c>
      <c r="N994" s="235">
        <v>7</v>
      </c>
      <c r="O994" s="248">
        <v>42048</v>
      </c>
      <c r="P994" s="136">
        <v>5.49</v>
      </c>
      <c r="Q994" s="264">
        <v>42204</v>
      </c>
      <c r="V994" s="219">
        <f t="shared" si="534"/>
        <v>15.620850374424192</v>
      </c>
      <c r="X994">
        <v>15.55</v>
      </c>
      <c r="AB994" s="220">
        <f t="shared" si="535"/>
        <v>5.8979346272079134</v>
      </c>
      <c r="AD994" s="221">
        <f t="shared" si="536"/>
        <v>68501.246588375841</v>
      </c>
      <c r="AF994" s="220">
        <f t="shared" si="537"/>
        <v>31.716077170418011</v>
      </c>
      <c r="AH994" s="220">
        <f t="shared" si="538"/>
        <v>35.56411434224939</v>
      </c>
      <c r="AJ994">
        <v>4.63</v>
      </c>
      <c r="AK994" s="285" t="s">
        <v>8400</v>
      </c>
      <c r="AL994" s="260">
        <v>180</v>
      </c>
      <c r="AN994" s="235">
        <v>75</v>
      </c>
      <c r="AO994" s="242">
        <v>42079</v>
      </c>
      <c r="AP994" s="235">
        <v>106</v>
      </c>
      <c r="AQ994" s="242">
        <v>42110</v>
      </c>
      <c r="AR994" s="136">
        <v>131</v>
      </c>
      <c r="AS994" s="297">
        <f t="shared" si="539"/>
        <v>131</v>
      </c>
      <c r="AT994" s="290">
        <v>42135</v>
      </c>
      <c r="AU994" s="298"/>
      <c r="BF994" s="282">
        <v>0.58139801025390625</v>
      </c>
      <c r="BG994" s="283">
        <v>42235</v>
      </c>
      <c r="BL994" s="296">
        <v>64.970176696777344</v>
      </c>
      <c r="BM994" s="283">
        <v>42235</v>
      </c>
      <c r="BP994" s="282">
        <v>3.1127068996429443</v>
      </c>
      <c r="BQ994" s="283">
        <v>42235</v>
      </c>
      <c r="BR994" s="282">
        <v>49.252151489257813</v>
      </c>
      <c r="BS994" s="283">
        <v>42235</v>
      </c>
      <c r="BT994" s="282">
        <v>18.596040725708008</v>
      </c>
      <c r="BU994" s="283">
        <v>42235</v>
      </c>
      <c r="BV994" s="282">
        <v>16.150758743286133</v>
      </c>
      <c r="BW994" s="283">
        <v>42235</v>
      </c>
      <c r="BX994" s="282">
        <v>5.4465484619140625</v>
      </c>
      <c r="BY994" s="283">
        <v>42235</v>
      </c>
      <c r="CB994" s="267">
        <v>3.27</v>
      </c>
      <c r="CD994" s="282">
        <v>8.3333333333333321</v>
      </c>
      <c r="CE994" s="291" t="s">
        <v>8400</v>
      </c>
      <c r="CH994" s="136">
        <v>2</v>
      </c>
      <c r="CI994" s="136">
        <v>5</v>
      </c>
      <c r="CL994" s="136">
        <v>4</v>
      </c>
      <c r="CM994" s="259">
        <v>42161</v>
      </c>
      <c r="CN994" s="137" t="s">
        <v>8406</v>
      </c>
    </row>
    <row r="995" spans="1:94">
      <c r="A995" s="258">
        <v>1647</v>
      </c>
      <c r="B995" s="235">
        <v>771</v>
      </c>
      <c r="C995" s="235" t="s">
        <v>7621</v>
      </c>
      <c r="D995" s="235" t="s">
        <v>7456</v>
      </c>
      <c r="E995" s="235" t="s">
        <v>7621</v>
      </c>
      <c r="F995" s="235" t="s">
        <v>8478</v>
      </c>
      <c r="G995" s="235" t="str">
        <f t="shared" si="533"/>
        <v>Rapsodyn</v>
      </c>
      <c r="H995" s="235" t="s">
        <v>267</v>
      </c>
      <c r="I995" s="235">
        <v>2</v>
      </c>
      <c r="J995" s="235">
        <v>9014</v>
      </c>
      <c r="K995" s="235">
        <v>41</v>
      </c>
      <c r="L995" s="235">
        <f t="shared" si="540"/>
        <v>113</v>
      </c>
      <c r="M995" s="235">
        <v>11</v>
      </c>
      <c r="N995" s="235">
        <v>7</v>
      </c>
      <c r="O995" s="248">
        <v>42048</v>
      </c>
      <c r="P995" s="136">
        <v>3.78</v>
      </c>
      <c r="Q995" s="264">
        <v>42204</v>
      </c>
      <c r="V995" s="219">
        <f t="shared" si="534"/>
        <v>11.137888452069934</v>
      </c>
      <c r="X995">
        <v>15.55</v>
      </c>
      <c r="AB995" s="220">
        <f t="shared" si="535"/>
        <v>4.3901289919641613</v>
      </c>
      <c r="AD995" s="221">
        <f t="shared" si="536"/>
        <v>53942.4879230734</v>
      </c>
      <c r="AF995" s="220">
        <f t="shared" si="537"/>
        <v>22.763729903536973</v>
      </c>
      <c r="AH995" s="220">
        <f t="shared" si="538"/>
        <v>25.525599802127132</v>
      </c>
      <c r="AJ995">
        <v>4.22</v>
      </c>
      <c r="AK995" s="285" t="s">
        <v>8400</v>
      </c>
      <c r="AL995" s="260">
        <v>170</v>
      </c>
      <c r="AN995" s="235">
        <v>72</v>
      </c>
      <c r="AO995" s="242">
        <v>42076</v>
      </c>
      <c r="AP995" s="235">
        <v>106</v>
      </c>
      <c r="AQ995" s="242">
        <v>42110</v>
      </c>
      <c r="AR995" s="136">
        <v>133</v>
      </c>
      <c r="AS995" s="297">
        <f t="shared" si="539"/>
        <v>133</v>
      </c>
      <c r="AT995" s="290">
        <v>42137</v>
      </c>
      <c r="AU995" s="298"/>
      <c r="BF995" s="282">
        <v>34.754093170166016</v>
      </c>
      <c r="BG995" s="283">
        <v>42234</v>
      </c>
      <c r="BL995" s="296">
        <v>59.901142120361328</v>
      </c>
      <c r="BM995" s="283">
        <v>42234</v>
      </c>
      <c r="BP995" s="282">
        <v>3.5307340621948242</v>
      </c>
      <c r="BQ995" s="283">
        <v>42234</v>
      </c>
      <c r="BR995" s="282">
        <v>48.92822265625</v>
      </c>
      <c r="BS995" s="283">
        <v>42234</v>
      </c>
      <c r="BT995" s="282">
        <v>19.28563117980957</v>
      </c>
      <c r="BU995" s="283">
        <v>42234</v>
      </c>
      <c r="BV995" s="282">
        <v>55.419654846191406</v>
      </c>
      <c r="BW995" s="283">
        <v>42234</v>
      </c>
      <c r="BX995" s="282">
        <v>5.641143798828125</v>
      </c>
      <c r="BY995" s="283">
        <v>42234</v>
      </c>
      <c r="CB995" s="267">
        <v>3.57</v>
      </c>
      <c r="CD995" s="282">
        <v>4.4444444444444482</v>
      </c>
      <c r="CE995" s="291" t="s">
        <v>8400</v>
      </c>
      <c r="CH995" s="136">
        <v>4</v>
      </c>
      <c r="CI995" s="136">
        <v>8</v>
      </c>
      <c r="CL995" s="136">
        <v>5</v>
      </c>
      <c r="CM995" s="259">
        <v>42161</v>
      </c>
      <c r="CO995" s="137" t="s">
        <v>8405</v>
      </c>
    </row>
    <row r="996" spans="1:94">
      <c r="A996" s="258">
        <v>1648</v>
      </c>
      <c r="B996" s="236">
        <v>772</v>
      </c>
      <c r="C996" s="236" t="s">
        <v>7682</v>
      </c>
      <c r="D996" s="236" t="s">
        <v>7509</v>
      </c>
      <c r="E996" s="236" t="s">
        <v>7682</v>
      </c>
      <c r="F996" s="236" t="s">
        <v>8477</v>
      </c>
      <c r="G996" s="235" t="str">
        <f t="shared" si="533"/>
        <v>Rapsodyn</v>
      </c>
      <c r="H996" s="235" t="s">
        <v>267</v>
      </c>
      <c r="I996" s="235">
        <v>2</v>
      </c>
      <c r="J996" s="236">
        <v>9064</v>
      </c>
      <c r="K996" s="236">
        <v>42</v>
      </c>
      <c r="L996" s="235">
        <f t="shared" si="540"/>
        <v>114</v>
      </c>
      <c r="M996" s="236">
        <v>11</v>
      </c>
      <c r="N996" s="235">
        <v>5</v>
      </c>
      <c r="O996" s="248">
        <v>42048</v>
      </c>
      <c r="P996" s="136">
        <v>6.76</v>
      </c>
      <c r="Q996" s="264">
        <v>42204</v>
      </c>
      <c r="V996" s="219">
        <f t="shared" si="534"/>
        <v>20.795946437234662</v>
      </c>
      <c r="X996">
        <v>15.55</v>
      </c>
      <c r="AB996" s="220">
        <f t="shared" si="535"/>
        <v>7.0057428084812532</v>
      </c>
      <c r="AD996" s="221">
        <f t="shared" si="536"/>
        <v>90471.4265705406</v>
      </c>
      <c r="AF996" s="220">
        <f t="shared" si="537"/>
        <v>40.621670530172729</v>
      </c>
      <c r="AH996" s="220">
        <f t="shared" si="538"/>
        <v>45.550202433474695</v>
      </c>
      <c r="AJ996">
        <v>4.49</v>
      </c>
      <c r="AK996" s="285" t="s">
        <v>8400</v>
      </c>
      <c r="AL996" s="260">
        <v>170</v>
      </c>
      <c r="AN996" s="235">
        <v>63</v>
      </c>
      <c r="AO996" s="243">
        <v>42067</v>
      </c>
      <c r="AP996" s="235">
        <v>100</v>
      </c>
      <c r="AQ996" s="242">
        <v>42104</v>
      </c>
      <c r="AR996" s="136">
        <v>125</v>
      </c>
      <c r="AS996" s="297">
        <f t="shared" si="539"/>
        <v>125</v>
      </c>
      <c r="AT996" s="290">
        <v>42129</v>
      </c>
      <c r="AU996" s="298"/>
      <c r="BF996" s="282">
        <v>-1.8155479431152344</v>
      </c>
      <c r="BG996" s="283">
        <v>42234</v>
      </c>
      <c r="BL996" s="296">
        <v>64.830978393554687</v>
      </c>
      <c r="BM996" s="283">
        <v>42234</v>
      </c>
      <c r="BP996" s="282">
        <v>2.6137299537658691</v>
      </c>
      <c r="BQ996" s="283">
        <v>42234</v>
      </c>
      <c r="BR996" s="282">
        <v>51.194217681884766</v>
      </c>
      <c r="BS996" s="283">
        <v>42234</v>
      </c>
      <c r="BT996" s="282">
        <v>17.246318817138672</v>
      </c>
      <c r="BU996" s="283">
        <v>42234</v>
      </c>
      <c r="BV996" s="282">
        <v>14.524832725524902</v>
      </c>
      <c r="BW996" s="283">
        <v>42234</v>
      </c>
      <c r="BX996" s="282">
        <v>5.320526123046875</v>
      </c>
      <c r="BY996" s="283">
        <v>42234</v>
      </c>
      <c r="CB996" s="267">
        <v>3.75</v>
      </c>
      <c r="CD996" s="282">
        <v>4.6511627906976782</v>
      </c>
      <c r="CE996" s="291" t="s">
        <v>8400</v>
      </c>
      <c r="CH996" s="136">
        <v>2</v>
      </c>
      <c r="CI996" s="136">
        <v>3</v>
      </c>
      <c r="CL996" s="136">
        <v>3</v>
      </c>
      <c r="CM996" s="259">
        <v>42161</v>
      </c>
      <c r="CN996" s="137" t="s">
        <v>8406</v>
      </c>
    </row>
    <row r="997" spans="1:94">
      <c r="A997" s="258">
        <v>1650</v>
      </c>
      <c r="B997" s="235">
        <v>774</v>
      </c>
      <c r="C997" s="235" t="s">
        <v>7642</v>
      </c>
      <c r="D997" s="235" t="s">
        <v>7474</v>
      </c>
      <c r="E997" s="235" t="s">
        <v>7642</v>
      </c>
      <c r="F997" s="235" t="s">
        <v>8476</v>
      </c>
      <c r="G997" s="235" t="str">
        <f t="shared" si="533"/>
        <v>Rapsodyn</v>
      </c>
      <c r="H997" s="235" t="s">
        <v>267</v>
      </c>
      <c r="I997" s="235">
        <v>2</v>
      </c>
      <c r="J997" s="235">
        <v>9030</v>
      </c>
      <c r="K997" s="235">
        <v>44</v>
      </c>
      <c r="L997" s="235">
        <f t="shared" si="540"/>
        <v>116</v>
      </c>
      <c r="M997" s="235">
        <v>11</v>
      </c>
      <c r="N997" s="235">
        <v>7</v>
      </c>
      <c r="O997" s="248">
        <v>42048</v>
      </c>
      <c r="P997" s="136">
        <v>4.82</v>
      </c>
      <c r="Q997" s="264">
        <v>42204</v>
      </c>
      <c r="V997" s="219">
        <f t="shared" si="534"/>
        <v>12.738097924345944</v>
      </c>
      <c r="X997">
        <v>15.55</v>
      </c>
      <c r="AB997" s="220">
        <f t="shared" si="535"/>
        <v>6.1377918269105285</v>
      </c>
      <c r="AD997" s="221">
        <f t="shared" si="536"/>
        <v>65638.168230336669</v>
      </c>
      <c r="AF997" s="220">
        <f t="shared" si="537"/>
        <v>28.749517684887461</v>
      </c>
      <c r="AH997" s="220">
        <f t="shared" si="538"/>
        <v>32.237629159999393</v>
      </c>
      <c r="AJ997">
        <v>4.38</v>
      </c>
      <c r="AK997" s="285" t="s">
        <v>8399</v>
      </c>
      <c r="AL997" s="260">
        <v>180</v>
      </c>
      <c r="AN997" s="235">
        <v>72</v>
      </c>
      <c r="AO997" s="242">
        <v>42076</v>
      </c>
      <c r="AP997" s="235">
        <v>110</v>
      </c>
      <c r="AQ997" s="242">
        <v>42114</v>
      </c>
      <c r="AR997" s="136">
        <v>145</v>
      </c>
      <c r="AS997" s="297">
        <f t="shared" si="539"/>
        <v>145</v>
      </c>
      <c r="AT997" s="290">
        <v>42149</v>
      </c>
      <c r="AU997" s="298"/>
      <c r="BF997" s="282">
        <v>-3.1589179039001465</v>
      </c>
      <c r="BG997" s="283">
        <v>42235</v>
      </c>
      <c r="BL997" s="296">
        <v>61.719718933105469</v>
      </c>
      <c r="BM997" s="283">
        <v>42235</v>
      </c>
      <c r="BP997" s="282">
        <v>3.4190599918365479</v>
      </c>
      <c r="BQ997" s="283">
        <v>42235</v>
      </c>
      <c r="BR997" s="282">
        <v>44.307170867919922</v>
      </c>
      <c r="BS997" s="283">
        <v>42235</v>
      </c>
      <c r="BT997" s="282">
        <v>21.349199295043945</v>
      </c>
      <c r="BU997" s="283">
        <v>42235</v>
      </c>
      <c r="BV997" s="282">
        <v>60.37261962890625</v>
      </c>
      <c r="BW997" s="283">
        <v>42235</v>
      </c>
      <c r="BX997" s="282">
        <v>5.7799148559570313</v>
      </c>
      <c r="BY997" s="283">
        <v>42235</v>
      </c>
      <c r="CB997" s="267">
        <v>5.63</v>
      </c>
      <c r="CD997" s="282">
        <v>5.3571428571428541</v>
      </c>
      <c r="CE997" s="291" t="s">
        <v>8399</v>
      </c>
      <c r="CH997" s="136">
        <v>3</v>
      </c>
      <c r="CI997" s="136">
        <v>3</v>
      </c>
      <c r="CL997" s="136">
        <v>4</v>
      </c>
      <c r="CM997" s="259">
        <v>42161</v>
      </c>
      <c r="CN997" s="137" t="s">
        <v>8406</v>
      </c>
    </row>
    <row r="998" spans="1:94">
      <c r="A998" s="258">
        <v>1651</v>
      </c>
      <c r="B998" s="235">
        <v>775</v>
      </c>
      <c r="C998" s="235" t="s">
        <v>7721</v>
      </c>
      <c r="D998" s="235" t="s">
        <v>7545</v>
      </c>
      <c r="E998" s="235" t="s">
        <v>7721</v>
      </c>
      <c r="F998" s="235" t="s">
        <v>8475</v>
      </c>
      <c r="G998" s="235" t="str">
        <f t="shared" si="533"/>
        <v>Rapsodyn</v>
      </c>
      <c r="H998" s="235" t="s">
        <v>267</v>
      </c>
      <c r="I998" s="235">
        <v>2</v>
      </c>
      <c r="J998" s="235">
        <v>9103</v>
      </c>
      <c r="K998" s="235">
        <v>45</v>
      </c>
      <c r="L998" s="235">
        <f t="shared" si="540"/>
        <v>117</v>
      </c>
      <c r="M998" s="235">
        <v>11</v>
      </c>
      <c r="N998" s="235">
        <v>5</v>
      </c>
      <c r="O998" s="248">
        <v>42048</v>
      </c>
      <c r="P998" s="136">
        <v>6.15</v>
      </c>
      <c r="Q998" s="264">
        <v>42204</v>
      </c>
      <c r="V998" s="219">
        <f t="shared" si="534"/>
        <v>17.968621421994609</v>
      </c>
      <c r="X998">
        <v>15.55</v>
      </c>
      <c r="AB998" s="220">
        <f t="shared" si="535"/>
        <v>6.2408427366040948</v>
      </c>
      <c r="AD998" s="221">
        <f t="shared" si="536"/>
        <v>80537.854428529681</v>
      </c>
      <c r="AF998" s="220">
        <f t="shared" si="537"/>
        <v>36.644723764981002</v>
      </c>
      <c r="AH998" s="220">
        <f t="shared" si="538"/>
        <v>41.090742055372282</v>
      </c>
      <c r="AJ998">
        <v>4.55</v>
      </c>
      <c r="AK998" s="285" t="s">
        <v>8399</v>
      </c>
      <c r="AL998" s="260">
        <v>180</v>
      </c>
      <c r="AN998" s="235">
        <v>72</v>
      </c>
      <c r="AO998" s="242">
        <v>42076</v>
      </c>
      <c r="AP998" s="235">
        <v>104</v>
      </c>
      <c r="AQ998" s="242">
        <v>42108</v>
      </c>
      <c r="AR998" s="136">
        <v>141</v>
      </c>
      <c r="AS998" s="297">
        <f t="shared" si="539"/>
        <v>141</v>
      </c>
      <c r="AT998" s="290">
        <v>42145</v>
      </c>
      <c r="AU998" s="298"/>
      <c r="BF998" s="282">
        <v>0.8797760009765625</v>
      </c>
      <c r="BG998" s="283">
        <v>42234</v>
      </c>
      <c r="BL998" s="296">
        <v>62.040702819824219</v>
      </c>
      <c r="BM998" s="283">
        <v>42234</v>
      </c>
      <c r="BP998" s="282">
        <v>4.1639328002929687</v>
      </c>
      <c r="BQ998" s="283">
        <v>42234</v>
      </c>
      <c r="BR998" s="282">
        <v>49.034675598144531</v>
      </c>
      <c r="BS998" s="283">
        <v>42234</v>
      </c>
      <c r="BT998" s="282">
        <v>17.030672073364258</v>
      </c>
      <c r="BU998" s="283">
        <v>42234</v>
      </c>
      <c r="BV998" s="282">
        <v>12.074337005615234</v>
      </c>
      <c r="BW998" s="283">
        <v>42234</v>
      </c>
      <c r="BX998" s="282">
        <v>5.4551162719726562</v>
      </c>
      <c r="BY998" s="283">
        <v>42234</v>
      </c>
      <c r="CB998" s="267">
        <v>3.35</v>
      </c>
      <c r="CD998" s="282">
        <v>5.4545454545454515</v>
      </c>
      <c r="CE998" s="291" t="s">
        <v>8399</v>
      </c>
      <c r="CH998" s="136">
        <v>2</v>
      </c>
      <c r="CI998" s="136">
        <v>6</v>
      </c>
      <c r="CL998" s="136">
        <v>3</v>
      </c>
      <c r="CM998" s="259">
        <v>42161</v>
      </c>
      <c r="CN998" s="137" t="s">
        <v>8406</v>
      </c>
    </row>
    <row r="999" spans="1:94">
      <c r="A999" s="258">
        <v>1652</v>
      </c>
      <c r="B999" s="235">
        <v>776</v>
      </c>
      <c r="C999" s="235" t="s">
        <v>7614</v>
      </c>
      <c r="D999" s="235" t="s">
        <v>7451</v>
      </c>
      <c r="E999" s="235" t="s">
        <v>7614</v>
      </c>
      <c r="F999" s="235" t="s">
        <v>8474</v>
      </c>
      <c r="G999" s="235" t="str">
        <f t="shared" si="533"/>
        <v>Rapsodyn</v>
      </c>
      <c r="H999" s="235" t="s">
        <v>267</v>
      </c>
      <c r="I999" s="235">
        <v>2</v>
      </c>
      <c r="J999" s="235">
        <v>9007</v>
      </c>
      <c r="K999" s="235">
        <v>46</v>
      </c>
      <c r="L999" s="235">
        <f t="shared" si="540"/>
        <v>118</v>
      </c>
      <c r="M999" s="235">
        <v>11</v>
      </c>
      <c r="N999" s="235">
        <v>9</v>
      </c>
      <c r="O999" s="248">
        <v>42048</v>
      </c>
      <c r="P999" s="136">
        <v>4.95</v>
      </c>
      <c r="Q999" s="264">
        <v>42204</v>
      </c>
      <c r="V999" s="219">
        <f t="shared" si="534"/>
        <v>14.480684373953718</v>
      </c>
      <c r="X999">
        <v>15.55</v>
      </c>
      <c r="AB999" s="220">
        <f t="shared" si="535"/>
        <v>5.717257337861505</v>
      </c>
      <c r="AD999" s="221">
        <f t="shared" si="536"/>
        <v>68344.721329046079</v>
      </c>
      <c r="AF999" s="220">
        <f t="shared" si="537"/>
        <v>29.524919614147908</v>
      </c>
      <c r="AH999" s="220">
        <f t="shared" si="538"/>
        <v>33.107108784646677</v>
      </c>
      <c r="AJ999">
        <v>4.32</v>
      </c>
      <c r="AK999" s="285" t="s">
        <v>8399</v>
      </c>
      <c r="AL999" s="260">
        <v>175</v>
      </c>
      <c r="AN999" s="235">
        <v>72</v>
      </c>
      <c r="AO999" s="242">
        <v>42076</v>
      </c>
      <c r="AP999" s="235">
        <v>106</v>
      </c>
      <c r="AQ999" s="242">
        <v>42110</v>
      </c>
      <c r="AR999" s="136">
        <v>131</v>
      </c>
      <c r="AS999" s="297">
        <f t="shared" si="539"/>
        <v>131</v>
      </c>
      <c r="AT999" s="290">
        <v>42135</v>
      </c>
      <c r="AU999" s="298"/>
      <c r="BF999" s="282">
        <v>35.443702697753906</v>
      </c>
      <c r="BG999" s="283">
        <v>42234</v>
      </c>
      <c r="BL999" s="296">
        <v>62.513416290283203</v>
      </c>
      <c r="BM999" s="283">
        <v>42234</v>
      </c>
      <c r="BP999" s="282">
        <v>3.4683220386505127</v>
      </c>
      <c r="BQ999" s="283">
        <v>42234</v>
      </c>
      <c r="BR999" s="282">
        <v>49.045635223388672</v>
      </c>
      <c r="BS999" s="283">
        <v>42234</v>
      </c>
      <c r="BT999" s="282">
        <v>19.364175796508789</v>
      </c>
      <c r="BU999" s="283">
        <v>42234</v>
      </c>
      <c r="BV999" s="282">
        <v>71.248092651367188</v>
      </c>
      <c r="BW999" s="283">
        <v>42234</v>
      </c>
      <c r="BX999" s="282">
        <v>5.5008697509765625</v>
      </c>
      <c r="BY999" s="283">
        <v>42234</v>
      </c>
      <c r="CB999" s="267">
        <v>3.35</v>
      </c>
      <c r="CD999" s="282">
        <v>5.3571428571428541</v>
      </c>
      <c r="CE999" s="291" t="s">
        <v>8399</v>
      </c>
      <c r="CH999" s="136">
        <v>3</v>
      </c>
      <c r="CI999" s="136">
        <v>7</v>
      </c>
      <c r="CL999" s="136">
        <v>5</v>
      </c>
      <c r="CM999" s="259">
        <v>42161</v>
      </c>
      <c r="CO999" s="137" t="s">
        <v>8405</v>
      </c>
    </row>
    <row r="1000" spans="1:94">
      <c r="A1000" s="258">
        <v>1653</v>
      </c>
      <c r="B1000" s="235">
        <v>777</v>
      </c>
      <c r="C1000" s="235" t="s">
        <v>7748</v>
      </c>
      <c r="D1000" s="235" t="s">
        <v>7873</v>
      </c>
      <c r="E1000" s="235" t="s">
        <v>7748</v>
      </c>
      <c r="F1000" s="235" t="s">
        <v>8473</v>
      </c>
      <c r="G1000" s="235" t="str">
        <f t="shared" si="533"/>
        <v>Rapsodyn</v>
      </c>
      <c r="H1000" s="235" t="s">
        <v>267</v>
      </c>
      <c r="I1000" s="235">
        <v>2</v>
      </c>
      <c r="J1000" s="235">
        <v>9122</v>
      </c>
      <c r="K1000" s="235">
        <v>47</v>
      </c>
      <c r="L1000" s="235">
        <f t="shared" si="540"/>
        <v>119</v>
      </c>
      <c r="M1000" s="235">
        <v>11</v>
      </c>
      <c r="N1000" s="235">
        <v>7</v>
      </c>
      <c r="O1000" s="248">
        <v>42048</v>
      </c>
      <c r="P1000" s="136">
        <v>4.21</v>
      </c>
      <c r="Q1000" s="264">
        <v>42204</v>
      </c>
      <c r="V1000" s="219">
        <f t="shared" si="534"/>
        <v>11.437663445792808</v>
      </c>
      <c r="X1000">
        <v>15.55</v>
      </c>
      <c r="AB1000" s="220">
        <f t="shared" si="535"/>
        <v>4.9013088099168067</v>
      </c>
      <c r="AD1000" s="221">
        <f t="shared" si="536"/>
        <v>78247.655593741074</v>
      </c>
      <c r="AF1000" s="220">
        <f t="shared" si="537"/>
        <v>24.491516200840955</v>
      </c>
      <c r="AH1000" s="220">
        <f t="shared" si="538"/>
        <v>27.463014353936931</v>
      </c>
      <c r="AJ1000">
        <v>3.13</v>
      </c>
      <c r="AK1000" s="285" t="s">
        <v>8399</v>
      </c>
      <c r="AL1000" s="260">
        <v>190</v>
      </c>
      <c r="AN1000" s="235">
        <v>65</v>
      </c>
      <c r="AO1000" s="242">
        <v>42069</v>
      </c>
      <c r="AP1000" s="235">
        <v>113</v>
      </c>
      <c r="AQ1000" s="242">
        <v>42117</v>
      </c>
      <c r="AR1000" s="136">
        <v>138</v>
      </c>
      <c r="AS1000" s="297">
        <f t="shared" si="539"/>
        <v>138</v>
      </c>
      <c r="AT1000" s="290">
        <v>42142</v>
      </c>
      <c r="AU1000" s="298"/>
      <c r="BF1000" s="282">
        <v>40.015960693359375</v>
      </c>
      <c r="BG1000" s="283">
        <v>42234</v>
      </c>
      <c r="BL1000" s="296">
        <v>59.055755615234375</v>
      </c>
      <c r="BM1000" s="283">
        <v>42234</v>
      </c>
      <c r="BP1000" s="282">
        <v>2.5450780391693115</v>
      </c>
      <c r="BQ1000" s="283">
        <v>42234</v>
      </c>
      <c r="BR1000" s="282">
        <v>46.700511932373047</v>
      </c>
      <c r="BS1000" s="283">
        <v>42234</v>
      </c>
      <c r="BT1000" s="282">
        <v>20.012271881103516</v>
      </c>
      <c r="BU1000" s="283">
        <v>42234</v>
      </c>
      <c r="BV1000" s="282">
        <v>69.925773620605469</v>
      </c>
      <c r="BW1000" s="283">
        <v>42234</v>
      </c>
      <c r="BX1000" s="282">
        <v>5.635833740234375</v>
      </c>
      <c r="BY1000" s="283">
        <v>42234</v>
      </c>
      <c r="CB1000" s="267">
        <v>3.1</v>
      </c>
      <c r="CD1000" s="282">
        <v>7.6923076923076987</v>
      </c>
      <c r="CE1000" s="291" t="s">
        <v>8399</v>
      </c>
      <c r="CH1000" s="136">
        <v>2</v>
      </c>
      <c r="CI1000" s="136">
        <v>7</v>
      </c>
      <c r="CL1000" s="136">
        <v>5</v>
      </c>
      <c r="CM1000" s="259">
        <v>42161</v>
      </c>
      <c r="CO1000" s="137" t="s">
        <v>8405</v>
      </c>
    </row>
    <row r="1001" spans="1:94">
      <c r="A1001" s="258">
        <v>1654</v>
      </c>
      <c r="B1001" s="235">
        <v>778</v>
      </c>
      <c r="C1001" s="235" t="s">
        <v>7694</v>
      </c>
      <c r="D1001" s="235" t="s">
        <v>7520</v>
      </c>
      <c r="E1001" s="235" t="s">
        <v>7694</v>
      </c>
      <c r="F1001" s="235" t="s">
        <v>8472</v>
      </c>
      <c r="G1001" s="235" t="str">
        <f t="shared" si="533"/>
        <v>Rapsodyn</v>
      </c>
      <c r="H1001" s="235" t="s">
        <v>267</v>
      </c>
      <c r="I1001" s="235">
        <v>2</v>
      </c>
      <c r="J1001" s="235">
        <v>9076</v>
      </c>
      <c r="K1001" s="235">
        <v>48</v>
      </c>
      <c r="L1001" s="235">
        <f t="shared" si="540"/>
        <v>120</v>
      </c>
      <c r="M1001" s="235">
        <v>11</v>
      </c>
      <c r="N1001" s="235">
        <v>5</v>
      </c>
      <c r="O1001" s="248">
        <v>42048</v>
      </c>
      <c r="P1001" s="136">
        <v>6.92</v>
      </c>
      <c r="Q1001" s="264">
        <v>42204</v>
      </c>
      <c r="V1001" s="219" t="s">
        <v>8379</v>
      </c>
      <c r="X1001">
        <v>15.55</v>
      </c>
      <c r="AB1001" s="219" t="s">
        <v>8379</v>
      </c>
      <c r="AC1001" s="219" t="s">
        <v>8379</v>
      </c>
      <c r="AD1001" s="219" t="s">
        <v>8379</v>
      </c>
      <c r="AE1001" s="219" t="s">
        <v>8379</v>
      </c>
      <c r="AF1001" s="219" t="s">
        <v>8379</v>
      </c>
      <c r="AG1001" s="219" t="s">
        <v>8379</v>
      </c>
      <c r="AH1001" s="219" t="s">
        <v>8379</v>
      </c>
      <c r="AI1001" s="219" t="s">
        <v>8379</v>
      </c>
      <c r="AJ1001" t="s">
        <v>8379</v>
      </c>
      <c r="AK1001" t="s">
        <v>8379</v>
      </c>
      <c r="AL1001" s="260">
        <v>160</v>
      </c>
      <c r="AN1001" s="235">
        <v>75</v>
      </c>
      <c r="AO1001" s="242">
        <v>42079</v>
      </c>
      <c r="AP1001" s="235">
        <v>106</v>
      </c>
      <c r="AQ1001" s="242">
        <v>42110</v>
      </c>
      <c r="AR1001" s="136">
        <v>133</v>
      </c>
      <c r="AS1001" s="297">
        <f t="shared" si="539"/>
        <v>133</v>
      </c>
      <c r="AT1001" s="290">
        <v>42137</v>
      </c>
      <c r="AU1001" s="298"/>
      <c r="BF1001" s="219" t="s">
        <v>8379</v>
      </c>
      <c r="BG1001" s="219" t="s">
        <v>8379</v>
      </c>
      <c r="BH1001" s="219" t="s">
        <v>8379</v>
      </c>
      <c r="BI1001" s="219" t="s">
        <v>8379</v>
      </c>
      <c r="BJ1001" s="219" t="s">
        <v>8379</v>
      </c>
      <c r="BK1001" s="219" t="s">
        <v>8379</v>
      </c>
      <c r="BL1001" s="219" t="s">
        <v>8379</v>
      </c>
      <c r="BM1001" s="219" t="s">
        <v>8379</v>
      </c>
      <c r="BP1001" s="219" t="s">
        <v>8379</v>
      </c>
      <c r="BQ1001" s="219" t="s">
        <v>8379</v>
      </c>
      <c r="BR1001" s="219" t="s">
        <v>8379</v>
      </c>
      <c r="BS1001" s="219" t="s">
        <v>8379</v>
      </c>
      <c r="BT1001" s="219" t="s">
        <v>8379</v>
      </c>
      <c r="BU1001" s="219" t="s">
        <v>8379</v>
      </c>
      <c r="BV1001" s="219" t="s">
        <v>8379</v>
      </c>
      <c r="BW1001" s="219" t="s">
        <v>8379</v>
      </c>
      <c r="BX1001" s="219" t="s">
        <v>8379</v>
      </c>
      <c r="BY1001" s="219" t="s">
        <v>8379</v>
      </c>
      <c r="CB1001" s="267">
        <v>3.83</v>
      </c>
      <c r="CD1001" s="277" t="s">
        <v>8379</v>
      </c>
      <c r="CE1001" t="s">
        <v>8379</v>
      </c>
      <c r="CF1001" s="219" t="s">
        <v>8379</v>
      </c>
      <c r="CG1001" s="219" t="s">
        <v>8379</v>
      </c>
      <c r="CH1001" s="136">
        <v>2</v>
      </c>
      <c r="CI1001" s="136">
        <v>2</v>
      </c>
      <c r="CL1001" s="136">
        <v>2</v>
      </c>
      <c r="CM1001" s="259">
        <v>42161</v>
      </c>
      <c r="CN1001" s="137" t="s">
        <v>8406</v>
      </c>
    </row>
    <row r="1002" spans="1:94">
      <c r="A1002" s="258">
        <v>1655</v>
      </c>
      <c r="B1002" s="235">
        <v>779</v>
      </c>
      <c r="C1002" s="235" t="s">
        <v>7705</v>
      </c>
      <c r="D1002" s="235" t="s">
        <v>7531</v>
      </c>
      <c r="E1002" s="235" t="s">
        <v>7705</v>
      </c>
      <c r="F1002" s="235" t="s">
        <v>8471</v>
      </c>
      <c r="G1002" s="235" t="str">
        <f t="shared" si="533"/>
        <v>Rapsodyn</v>
      </c>
      <c r="H1002" s="235" t="s">
        <v>267</v>
      </c>
      <c r="I1002" s="235">
        <v>2</v>
      </c>
      <c r="J1002" s="235">
        <v>9087</v>
      </c>
      <c r="K1002" s="235">
        <v>49</v>
      </c>
      <c r="L1002" s="235">
        <f t="shared" si="540"/>
        <v>121</v>
      </c>
      <c r="M1002" s="235">
        <v>11</v>
      </c>
      <c r="N1002" s="235">
        <v>5</v>
      </c>
      <c r="O1002" s="248">
        <v>42048</v>
      </c>
      <c r="P1002" s="136">
        <v>4.7699999999999996</v>
      </c>
      <c r="Q1002" s="264">
        <v>42204</v>
      </c>
      <c r="V1002" s="219">
        <f>+BR1002*AF1002/100</f>
        <v>13.71361564135781</v>
      </c>
      <c r="X1002">
        <v>15.55</v>
      </c>
      <c r="AB1002" s="220">
        <f>+AF1002*BT1002/100</f>
        <v>5.5794504580237083</v>
      </c>
      <c r="AD1002" s="221">
        <f>+(AF1002/AJ1002)*10000</f>
        <v>63515.972866627817</v>
      </c>
      <c r="AF1002" s="220">
        <f>($P1002/$X1002)*(((100-$CD1002)/100*(100-2)/100))*100</f>
        <v>28.39163987138263</v>
      </c>
      <c r="AH1002" s="220">
        <f>($P1002/$X1002)*(((100-$CD1002)/(100-9)*(100-2)/(100-2))*100)</f>
        <v>31.836330871700639</v>
      </c>
      <c r="AJ1002">
        <v>4.47</v>
      </c>
      <c r="AK1002" s="285" t="s">
        <v>8399</v>
      </c>
      <c r="AL1002" s="260">
        <v>165</v>
      </c>
      <c r="AN1002" s="235">
        <v>79</v>
      </c>
      <c r="AO1002" s="242">
        <v>42083</v>
      </c>
      <c r="AP1002" s="235">
        <v>106</v>
      </c>
      <c r="AQ1002" s="242">
        <v>42110</v>
      </c>
      <c r="AR1002" s="136">
        <v>134</v>
      </c>
      <c r="AS1002" s="297">
        <f t="shared" si="539"/>
        <v>134</v>
      </c>
      <c r="AT1002" s="290">
        <v>42138</v>
      </c>
      <c r="AU1002" s="298"/>
      <c r="BF1002" s="282">
        <v>-1.658221960067749</v>
      </c>
      <c r="BG1002" s="283">
        <v>42234</v>
      </c>
      <c r="BL1002" s="296">
        <v>63.551315307617188</v>
      </c>
      <c r="BM1002" s="283">
        <v>42234</v>
      </c>
      <c r="BP1002" s="282">
        <v>3.5273399353027344</v>
      </c>
      <c r="BQ1002" s="283">
        <v>42234</v>
      </c>
      <c r="BR1002" s="282">
        <v>48.301597595214844</v>
      </c>
      <c r="BS1002" s="283">
        <v>42234</v>
      </c>
      <c r="BT1002" s="282">
        <v>19.651737213134766</v>
      </c>
      <c r="BU1002" s="283">
        <v>42234</v>
      </c>
      <c r="BV1002" s="282">
        <v>19.828895568847656</v>
      </c>
      <c r="BW1002" s="283">
        <v>42234</v>
      </c>
      <c r="BX1002" s="282">
        <v>5.5367660522460938</v>
      </c>
      <c r="BY1002" s="283">
        <v>42234</v>
      </c>
      <c r="CB1002" s="267">
        <v>4.13</v>
      </c>
      <c r="CD1002" s="282">
        <v>5.5555555555555687</v>
      </c>
      <c r="CE1002" s="291" t="s">
        <v>8399</v>
      </c>
      <c r="CH1002" s="136">
        <v>3</v>
      </c>
      <c r="CI1002" s="136">
        <v>3</v>
      </c>
      <c r="CL1002" s="136">
        <v>3</v>
      </c>
      <c r="CM1002" s="259">
        <v>42161</v>
      </c>
      <c r="CN1002" s="137" t="s">
        <v>8406</v>
      </c>
    </row>
    <row r="1003" spans="1:94">
      <c r="A1003" s="258">
        <v>1656</v>
      </c>
      <c r="B1003" s="235">
        <v>780</v>
      </c>
      <c r="C1003" s="235" t="s">
        <v>7654</v>
      </c>
      <c r="D1003" s="235" t="s">
        <v>7485</v>
      </c>
      <c r="E1003" s="235" t="s">
        <v>7654</v>
      </c>
      <c r="F1003" s="235" t="s">
        <v>8470</v>
      </c>
      <c r="G1003" s="235" t="str">
        <f t="shared" si="533"/>
        <v>Rapsodyn</v>
      </c>
      <c r="H1003" s="235" t="s">
        <v>267</v>
      </c>
      <c r="I1003" s="235">
        <v>2</v>
      </c>
      <c r="J1003" s="235">
        <v>9038</v>
      </c>
      <c r="K1003" s="235">
        <v>50</v>
      </c>
      <c r="L1003" s="235">
        <f t="shared" si="540"/>
        <v>122</v>
      </c>
      <c r="M1003" s="235">
        <v>11</v>
      </c>
      <c r="N1003" s="235">
        <v>7</v>
      </c>
      <c r="O1003" s="248">
        <v>42048</v>
      </c>
      <c r="P1003" s="136">
        <v>6.22</v>
      </c>
      <c r="Q1003" s="264">
        <v>42204</v>
      </c>
      <c r="V1003" s="219">
        <f>+BR1003*AF1003/100</f>
        <v>18.08789772116921</v>
      </c>
      <c r="X1003">
        <v>15.55</v>
      </c>
      <c r="AB1003" s="220">
        <f>+AF1003*BT1003/100</f>
        <v>6.1600646734064268</v>
      </c>
      <c r="AD1003" s="221">
        <f>+(AF1003/AJ1003)*10000</f>
        <v>82799.751501346036</v>
      </c>
      <c r="AF1003" s="220">
        <f>($P1003/$X1003)*(((100-$CD1003)/100*(100-2)/100))*100</f>
        <v>36.349090909090904</v>
      </c>
      <c r="AH1003" s="220">
        <f>($P1003/$X1003)*(((100-$CD1003)/(100-9)*(100-2)/(100-2))*100)</f>
        <v>40.759240759240754</v>
      </c>
      <c r="AJ1003">
        <v>4.3899999999999997</v>
      </c>
      <c r="AK1003" s="285" t="s">
        <v>8399</v>
      </c>
      <c r="AL1003" s="260">
        <v>175</v>
      </c>
      <c r="AN1003" s="235">
        <v>72</v>
      </c>
      <c r="AO1003" s="242">
        <v>42076</v>
      </c>
      <c r="AP1003" s="235">
        <v>106</v>
      </c>
      <c r="AQ1003" s="242">
        <v>42110</v>
      </c>
      <c r="AR1003" s="136">
        <v>131</v>
      </c>
      <c r="AS1003" s="297">
        <f t="shared" si="539"/>
        <v>131</v>
      </c>
      <c r="AT1003" s="290">
        <v>42135</v>
      </c>
      <c r="AU1003" s="298"/>
      <c r="BF1003" s="282">
        <v>-3.060931921005249</v>
      </c>
      <c r="BG1003" s="283">
        <v>42234</v>
      </c>
      <c r="BL1003" s="296">
        <v>63.449962615966797</v>
      </c>
      <c r="BM1003" s="283">
        <v>42234</v>
      </c>
      <c r="BP1003" s="282">
        <v>3.7215991020202637</v>
      </c>
      <c r="BQ1003" s="283">
        <v>42234</v>
      </c>
      <c r="BR1003" s="282">
        <v>49.761623382568359</v>
      </c>
      <c r="BS1003" s="283">
        <v>42234</v>
      </c>
      <c r="BT1003" s="282">
        <v>16.946956634521484</v>
      </c>
      <c r="BU1003" s="283">
        <v>42234</v>
      </c>
      <c r="BV1003" s="282">
        <v>55.317817687988281</v>
      </c>
      <c r="BW1003" s="283">
        <v>42234</v>
      </c>
      <c r="BX1003" s="282">
        <v>5.7636260986328125</v>
      </c>
      <c r="BY1003" s="283">
        <v>42234</v>
      </c>
      <c r="CB1003" s="267">
        <v>2.65</v>
      </c>
      <c r="CD1003" s="282">
        <v>7.2727272727272796</v>
      </c>
      <c r="CE1003" s="291" t="s">
        <v>8399</v>
      </c>
      <c r="CH1003" s="136">
        <v>3</v>
      </c>
      <c r="CI1003" s="136">
        <v>6</v>
      </c>
      <c r="CL1003" s="136">
        <v>4</v>
      </c>
      <c r="CM1003" s="259">
        <v>42161</v>
      </c>
      <c r="CN1003" s="137" t="s">
        <v>8406</v>
      </c>
    </row>
    <row r="1004" spans="1:94">
      <c r="A1004" s="258">
        <v>1657</v>
      </c>
      <c r="B1004" s="235">
        <v>781</v>
      </c>
      <c r="C1004" s="235" t="s">
        <v>7576</v>
      </c>
      <c r="D1004" s="235"/>
      <c r="E1004" s="235"/>
      <c r="F1004" s="235"/>
      <c r="G1004" s="235"/>
      <c r="H1004" s="235" t="s">
        <v>267</v>
      </c>
      <c r="I1004" s="235">
        <v>2</v>
      </c>
      <c r="K1004" s="235">
        <v>51</v>
      </c>
      <c r="L1004" s="235">
        <f t="shared" si="540"/>
        <v>123</v>
      </c>
      <c r="M1004" s="235">
        <v>11</v>
      </c>
      <c r="O1004" s="248">
        <v>42048</v>
      </c>
      <c r="V1004" s="219"/>
      <c r="X1004">
        <v>15.55</v>
      </c>
      <c r="AB1004" s="220"/>
      <c r="AD1004" s="221"/>
      <c r="AF1004" s="220"/>
      <c r="AH1004" s="220"/>
      <c r="AJ1004" s="286"/>
      <c r="AK1004" s="285"/>
      <c r="AL1004" s="260"/>
      <c r="AN1004" s="235">
        <v>70</v>
      </c>
      <c r="AO1004" s="242">
        <v>42074</v>
      </c>
      <c r="AP1004" s="235">
        <v>106</v>
      </c>
      <c r="AQ1004" s="242">
        <v>42110</v>
      </c>
      <c r="AS1004" s="297"/>
      <c r="AT1004" s="290"/>
      <c r="AU1004" s="298"/>
      <c r="BF1004" s="282"/>
      <c r="BG1004" s="235"/>
      <c r="BL1004" s="296"/>
      <c r="BM1004" s="235"/>
      <c r="BP1004" s="282"/>
      <c r="BQ1004" s="235"/>
      <c r="BR1004" s="282"/>
      <c r="BS1004" s="235"/>
      <c r="BT1004" s="282"/>
      <c r="BU1004" s="235"/>
      <c r="BV1004" s="282"/>
      <c r="BW1004" s="235"/>
      <c r="BX1004" s="282"/>
      <c r="BY1004" s="235"/>
      <c r="CB1004" s="267"/>
      <c r="CD1004" s="282"/>
      <c r="CE1004" s="291"/>
      <c r="CL1004" s="136">
        <v>4</v>
      </c>
      <c r="CM1004" s="259">
        <v>42161</v>
      </c>
    </row>
    <row r="1005" spans="1:94">
      <c r="A1005" s="258">
        <v>1658</v>
      </c>
      <c r="B1005" s="235">
        <v>782</v>
      </c>
      <c r="C1005" s="235" t="s">
        <v>7576</v>
      </c>
      <c r="D1005" s="235"/>
      <c r="E1005" s="235"/>
      <c r="F1005" s="235"/>
      <c r="G1005" s="235"/>
      <c r="H1005" s="235" t="s">
        <v>267</v>
      </c>
      <c r="I1005" s="235">
        <v>2</v>
      </c>
      <c r="K1005" s="235">
        <v>52</v>
      </c>
      <c r="L1005" s="235">
        <f t="shared" si="540"/>
        <v>124</v>
      </c>
      <c r="M1005" s="235">
        <v>11</v>
      </c>
      <c r="O1005" s="248">
        <v>42048</v>
      </c>
      <c r="V1005" s="219"/>
      <c r="X1005">
        <v>15.55</v>
      </c>
      <c r="AB1005" s="220"/>
      <c r="AD1005" s="221"/>
      <c r="AF1005" s="220"/>
      <c r="AH1005" s="220"/>
      <c r="AJ1005" s="286"/>
      <c r="AK1005" s="285"/>
      <c r="AL1005" s="260"/>
      <c r="AN1005" s="235">
        <v>70</v>
      </c>
      <c r="AO1005" s="242">
        <v>42074</v>
      </c>
      <c r="AP1005" s="235">
        <v>106</v>
      </c>
      <c r="AQ1005" s="242">
        <v>42110</v>
      </c>
      <c r="AS1005" s="297"/>
      <c r="AT1005" s="290"/>
      <c r="AU1005" s="298"/>
      <c r="BF1005" s="282"/>
      <c r="BG1005" s="235"/>
      <c r="BL1005" s="296"/>
      <c r="BM1005" s="235"/>
      <c r="BP1005" s="282"/>
      <c r="BQ1005" s="235"/>
      <c r="BR1005" s="282"/>
      <c r="BS1005" s="235"/>
      <c r="BT1005" s="282"/>
      <c r="BU1005" s="235"/>
      <c r="BV1005" s="282"/>
      <c r="BW1005" s="235"/>
      <c r="BX1005" s="282"/>
      <c r="BY1005" s="235"/>
      <c r="CB1005" s="267"/>
      <c r="CD1005" s="282"/>
      <c r="CE1005" s="291"/>
      <c r="CL1005" s="136">
        <v>3</v>
      </c>
      <c r="CM1005" s="259">
        <v>42161</v>
      </c>
    </row>
    <row r="1006" spans="1:94">
      <c r="A1006" s="258">
        <v>1659</v>
      </c>
      <c r="B1006" s="235">
        <v>783</v>
      </c>
      <c r="C1006" s="346" t="s">
        <v>8238</v>
      </c>
      <c r="D1006" s="235" t="s">
        <v>7562</v>
      </c>
      <c r="E1006" s="235" t="s">
        <v>8461</v>
      </c>
      <c r="F1006" s="235" t="s">
        <v>8469</v>
      </c>
      <c r="G1006" s="235" t="str">
        <f t="shared" ref="G1006:G1013" si="541">IF(MID(C1006,1,3)="BGA","Complement","Rapsodyn")</f>
        <v>Rapsodyn</v>
      </c>
      <c r="H1006" s="235" t="s">
        <v>267</v>
      </c>
      <c r="I1006" s="235">
        <v>2</v>
      </c>
      <c r="J1006" s="235">
        <v>9358</v>
      </c>
      <c r="K1006" s="235">
        <v>53</v>
      </c>
      <c r="L1006" s="235">
        <f t="shared" si="540"/>
        <v>125</v>
      </c>
      <c r="M1006" s="235">
        <v>11</v>
      </c>
      <c r="N1006" s="235">
        <v>7</v>
      </c>
      <c r="O1006" s="248">
        <v>42048</v>
      </c>
      <c r="P1006" t="s">
        <v>8379</v>
      </c>
      <c r="Q1006" s="264">
        <v>42204</v>
      </c>
      <c r="R1006" s="278">
        <v>7.5871819038642805</v>
      </c>
      <c r="S1006" s="190">
        <v>42185</v>
      </c>
      <c r="T1006" s="277">
        <v>17.209176568881368</v>
      </c>
      <c r="U1006" s="190">
        <v>42185</v>
      </c>
      <c r="V1006" t="s">
        <v>8379</v>
      </c>
      <c r="X1006">
        <v>15.55</v>
      </c>
      <c r="AB1006" t="s">
        <v>8379</v>
      </c>
      <c r="AD1006" t="s">
        <v>8379</v>
      </c>
      <c r="AF1006" t="s">
        <v>8379</v>
      </c>
      <c r="AH1006" t="s">
        <v>8379</v>
      </c>
      <c r="AJ1006">
        <v>4.55</v>
      </c>
      <c r="AK1006" s="285" t="s">
        <v>8399</v>
      </c>
      <c r="AL1006" s="260">
        <v>165</v>
      </c>
      <c r="AN1006" s="235">
        <v>75</v>
      </c>
      <c r="AO1006" s="242">
        <v>42079</v>
      </c>
      <c r="AP1006" s="235">
        <v>106</v>
      </c>
      <c r="AQ1006" s="242">
        <v>42110</v>
      </c>
      <c r="AR1006" s="136">
        <v>138</v>
      </c>
      <c r="AS1006" s="297">
        <f t="shared" ref="AS1006:AS1013" si="542">IF(AR1006=0,,AR1006)</f>
        <v>138</v>
      </c>
      <c r="AT1006" s="290">
        <v>42142</v>
      </c>
      <c r="AU1006" s="298"/>
      <c r="BF1006" s="282">
        <v>0.12101700156927109</v>
      </c>
      <c r="BG1006" s="283">
        <v>42234</v>
      </c>
      <c r="BL1006" s="296">
        <v>63.311878204345703</v>
      </c>
      <c r="BM1006" s="283">
        <v>42234</v>
      </c>
      <c r="BP1006" s="282">
        <v>3.8196280002593994</v>
      </c>
      <c r="BQ1006" s="283">
        <v>42234</v>
      </c>
      <c r="BR1006" s="282">
        <v>48.64794921875</v>
      </c>
      <c r="BS1006" s="283">
        <v>42234</v>
      </c>
      <c r="BT1006" s="282">
        <v>18.524282455444336</v>
      </c>
      <c r="BU1006" s="283">
        <v>42234</v>
      </c>
      <c r="BV1006" s="282">
        <v>13.825852394104004</v>
      </c>
      <c r="BW1006" s="283">
        <v>42234</v>
      </c>
      <c r="BX1006" s="282">
        <v>5.4098587036132812</v>
      </c>
      <c r="BY1006" s="283">
        <v>42234</v>
      </c>
      <c r="CB1006" s="267">
        <v>3.93</v>
      </c>
      <c r="CD1006" s="282">
        <v>3.9215686274509665</v>
      </c>
      <c r="CE1006" s="291" t="s">
        <v>8399</v>
      </c>
      <c r="CH1006" s="136">
        <v>1</v>
      </c>
      <c r="CI1006" s="136">
        <v>3</v>
      </c>
      <c r="CL1006" s="136">
        <v>2</v>
      </c>
      <c r="CM1006" s="259">
        <v>42161</v>
      </c>
      <c r="CP1006" s="345" t="s">
        <v>8412</v>
      </c>
    </row>
    <row r="1007" spans="1:94">
      <c r="A1007" s="258">
        <v>1660</v>
      </c>
      <c r="B1007" s="235">
        <v>784</v>
      </c>
      <c r="C1007" s="235" t="s">
        <v>7659</v>
      </c>
      <c r="D1007" s="235" t="s">
        <v>7489</v>
      </c>
      <c r="E1007" s="235" t="s">
        <v>7659</v>
      </c>
      <c r="F1007" s="235" t="s">
        <v>8468</v>
      </c>
      <c r="G1007" s="235" t="str">
        <f t="shared" si="541"/>
        <v>Rapsodyn</v>
      </c>
      <c r="H1007" s="235" t="s">
        <v>267</v>
      </c>
      <c r="I1007" s="235">
        <v>2</v>
      </c>
      <c r="J1007" s="235">
        <v>9042</v>
      </c>
      <c r="K1007" s="235">
        <v>54</v>
      </c>
      <c r="L1007" s="235">
        <f t="shared" si="540"/>
        <v>126</v>
      </c>
      <c r="M1007" s="235">
        <v>11</v>
      </c>
      <c r="N1007" s="235">
        <v>7</v>
      </c>
      <c r="O1007" s="248">
        <v>42048</v>
      </c>
      <c r="P1007" s="136">
        <v>6.08</v>
      </c>
      <c r="Q1007" s="264">
        <v>42204</v>
      </c>
      <c r="V1007" s="219">
        <f t="shared" ref="V1007:V1013" si="543">+BR1007*AF1007/100</f>
        <v>18.219961993174877</v>
      </c>
      <c r="X1007">
        <v>15.55</v>
      </c>
      <c r="AB1007" s="220">
        <f t="shared" ref="AB1007:AB1013" si="544">+AF1007*BT1007/100</f>
        <v>6.0030744880112037</v>
      </c>
      <c r="AD1007" s="221">
        <f t="shared" ref="AD1007:AD1013" si="545">+(AF1007/AJ1007)*10000</f>
        <v>87412.861391145576</v>
      </c>
      <c r="AF1007" s="220">
        <f t="shared" ref="AF1007:AF1013" si="546">($P1007/$X1007)*(((100-$CD1007)/100*(100-2)/100))*100</f>
        <v>36.188924615934262</v>
      </c>
      <c r="AH1007" s="220">
        <f t="shared" ref="AH1007:AH1013" si="547">($P1007/$X1007)*(((100-$CD1007)/(100-9)*(100-2)/(100-2))*100)</f>
        <v>40.579641865815496</v>
      </c>
      <c r="AJ1007">
        <v>4.1399999999999997</v>
      </c>
      <c r="AK1007" s="285" t="s">
        <v>8399</v>
      </c>
      <c r="AL1007" s="260">
        <v>180</v>
      </c>
      <c r="AN1007" s="235">
        <v>79</v>
      </c>
      <c r="AO1007" s="242">
        <v>42083</v>
      </c>
      <c r="AP1007" s="235">
        <v>110</v>
      </c>
      <c r="AQ1007" s="242">
        <v>42114</v>
      </c>
      <c r="AR1007" s="136">
        <v>132</v>
      </c>
      <c r="AS1007" s="297">
        <f t="shared" si="542"/>
        <v>132</v>
      </c>
      <c r="AT1007" s="290">
        <v>42136</v>
      </c>
      <c r="AU1007" s="298"/>
      <c r="BF1007" s="282">
        <v>-4.6274762153625488</v>
      </c>
      <c r="BG1007" s="283">
        <v>42234</v>
      </c>
      <c r="BL1007" s="296">
        <v>63.300785064697266</v>
      </c>
      <c r="BM1007" s="283">
        <v>42234</v>
      </c>
      <c r="BP1007" s="282">
        <v>3.188075065612793</v>
      </c>
      <c r="BQ1007" s="283">
        <v>42234</v>
      </c>
      <c r="BR1007" s="282">
        <v>50.346790313720703</v>
      </c>
      <c r="BS1007" s="283">
        <v>42234</v>
      </c>
      <c r="BT1007" s="282">
        <v>16.588153839111328</v>
      </c>
      <c r="BU1007" s="283">
        <v>42234</v>
      </c>
      <c r="BV1007" s="282">
        <v>8.4877862930297852</v>
      </c>
      <c r="BW1007" s="283">
        <v>42234</v>
      </c>
      <c r="BX1007" s="282">
        <v>5.22552490234375</v>
      </c>
      <c r="BY1007" s="283">
        <v>42234</v>
      </c>
      <c r="CB1007" s="267">
        <v>3.22</v>
      </c>
      <c r="CD1007" s="282">
        <v>5.5555555555555687</v>
      </c>
      <c r="CE1007" s="291" t="s">
        <v>8399</v>
      </c>
      <c r="CH1007" s="136">
        <v>2</v>
      </c>
      <c r="CI1007" s="136">
        <v>7</v>
      </c>
      <c r="CL1007" s="136">
        <v>3</v>
      </c>
      <c r="CM1007" s="259">
        <v>42161</v>
      </c>
      <c r="CO1007" s="137" t="s">
        <v>8405</v>
      </c>
    </row>
    <row r="1008" spans="1:94">
      <c r="A1008" s="258">
        <v>1664</v>
      </c>
      <c r="B1008" s="235">
        <v>788</v>
      </c>
      <c r="C1008" s="235" t="s">
        <v>7707</v>
      </c>
      <c r="D1008" s="235" t="s">
        <v>7533</v>
      </c>
      <c r="E1008" s="235" t="s">
        <v>7707</v>
      </c>
      <c r="F1008" s="235" t="s">
        <v>8467</v>
      </c>
      <c r="G1008" s="235" t="str">
        <f t="shared" si="541"/>
        <v>Rapsodyn</v>
      </c>
      <c r="H1008" s="235" t="s">
        <v>267</v>
      </c>
      <c r="I1008" s="235">
        <v>2</v>
      </c>
      <c r="J1008" s="235">
        <v>9089</v>
      </c>
      <c r="K1008" s="235">
        <v>58</v>
      </c>
      <c r="L1008" s="235">
        <f t="shared" si="540"/>
        <v>130</v>
      </c>
      <c r="M1008" s="235">
        <v>11</v>
      </c>
      <c r="N1008" s="235">
        <v>7</v>
      </c>
      <c r="O1008" s="248">
        <v>42048</v>
      </c>
      <c r="P1008" s="136">
        <v>6.83</v>
      </c>
      <c r="Q1008" s="264">
        <v>42204</v>
      </c>
      <c r="V1008" s="219">
        <f t="shared" si="543"/>
        <v>19.447596788597217</v>
      </c>
      <c r="X1008">
        <v>15.55</v>
      </c>
      <c r="AB1008" s="220">
        <f t="shared" si="544"/>
        <v>7.6346837991313201</v>
      </c>
      <c r="AD1008" s="221">
        <f t="shared" si="545"/>
        <v>95356.59551973152</v>
      </c>
      <c r="AF1008" s="220">
        <f t="shared" si="546"/>
        <v>39.668343736208314</v>
      </c>
      <c r="AH1008" s="220">
        <f t="shared" si="547"/>
        <v>44.481210738067183</v>
      </c>
      <c r="AJ1008">
        <v>4.16</v>
      </c>
      <c r="AK1008" s="285" t="s">
        <v>8399</v>
      </c>
      <c r="AL1008" s="260">
        <v>165</v>
      </c>
      <c r="AN1008" s="235">
        <v>72</v>
      </c>
      <c r="AO1008" s="242">
        <v>42076</v>
      </c>
      <c r="AP1008" s="235">
        <v>104</v>
      </c>
      <c r="AQ1008" s="242">
        <v>42108</v>
      </c>
      <c r="AR1008" s="136">
        <v>131</v>
      </c>
      <c r="AS1008" s="297">
        <f t="shared" si="542"/>
        <v>131</v>
      </c>
      <c r="AT1008" s="290">
        <v>42135</v>
      </c>
      <c r="AU1008" s="298"/>
      <c r="BF1008" s="282">
        <v>-6.5048408508300781</v>
      </c>
      <c r="BG1008" s="283">
        <v>42234</v>
      </c>
      <c r="BL1008" s="296">
        <v>62.485626220703125</v>
      </c>
      <c r="BM1008" s="283">
        <v>42234</v>
      </c>
      <c r="BP1008" s="282">
        <v>3.2558801174163818</v>
      </c>
      <c r="BQ1008" s="283">
        <v>42234</v>
      </c>
      <c r="BR1008" s="282">
        <v>49.025482177734375</v>
      </c>
      <c r="BS1008" s="283">
        <v>42234</v>
      </c>
      <c r="BT1008" s="282">
        <v>19.246288299560547</v>
      </c>
      <c r="BU1008" s="283">
        <v>42234</v>
      </c>
      <c r="BV1008" s="282">
        <v>6.8266940116882324</v>
      </c>
      <c r="BW1008" s="283">
        <v>42234</v>
      </c>
      <c r="BX1008" s="282">
        <v>5.30377197265625</v>
      </c>
      <c r="BY1008" s="283">
        <v>42234</v>
      </c>
      <c r="CB1008" s="267">
        <v>3.97</v>
      </c>
      <c r="CD1008" s="282">
        <v>7.8431372549019507</v>
      </c>
      <c r="CE1008" s="291" t="s">
        <v>8399</v>
      </c>
      <c r="CH1008" s="136">
        <v>3</v>
      </c>
      <c r="CI1008" s="136">
        <v>4</v>
      </c>
      <c r="CL1008" s="136">
        <v>3</v>
      </c>
      <c r="CM1008" s="259">
        <v>42161</v>
      </c>
      <c r="CN1008" s="137" t="s">
        <v>8406</v>
      </c>
    </row>
    <row r="1009" spans="1:92">
      <c r="A1009" s="258">
        <v>1668</v>
      </c>
      <c r="B1009" s="235">
        <v>792</v>
      </c>
      <c r="C1009" s="235" t="s">
        <v>7669</v>
      </c>
      <c r="D1009" s="235" t="s">
        <v>7498</v>
      </c>
      <c r="E1009" s="235" t="s">
        <v>7669</v>
      </c>
      <c r="F1009" s="235" t="s">
        <v>8466</v>
      </c>
      <c r="G1009" s="235" t="str">
        <f t="shared" si="541"/>
        <v>Rapsodyn</v>
      </c>
      <c r="H1009" s="235" t="s">
        <v>267</v>
      </c>
      <c r="I1009" s="235">
        <v>2</v>
      </c>
      <c r="J1009" s="235">
        <v>9051</v>
      </c>
      <c r="K1009" s="235">
        <v>62</v>
      </c>
      <c r="L1009" s="235">
        <f t="shared" si="540"/>
        <v>134</v>
      </c>
      <c r="M1009" s="235">
        <v>11</v>
      </c>
      <c r="N1009" s="235">
        <v>7</v>
      </c>
      <c r="O1009" s="248">
        <v>42048</v>
      </c>
      <c r="P1009" s="136">
        <v>5.79</v>
      </c>
      <c r="Q1009" s="264">
        <v>42204</v>
      </c>
      <c r="V1009" s="219">
        <f t="shared" si="543"/>
        <v>17.519517896814033</v>
      </c>
      <c r="X1009">
        <v>15.55</v>
      </c>
      <c r="AB1009" s="220">
        <f t="shared" si="544"/>
        <v>6.4387965179686777</v>
      </c>
      <c r="AD1009" s="221">
        <f t="shared" si="545"/>
        <v>78143.807080565413</v>
      </c>
      <c r="AF1009" s="220">
        <f t="shared" si="546"/>
        <v>35.086569379173874</v>
      </c>
      <c r="AH1009" s="220">
        <f t="shared" si="547"/>
        <v>39.343540456575333</v>
      </c>
      <c r="AJ1009">
        <v>4.49</v>
      </c>
      <c r="AK1009" s="285" t="s">
        <v>8401</v>
      </c>
      <c r="AL1009" s="260">
        <v>155</v>
      </c>
      <c r="AN1009" s="235">
        <v>72</v>
      </c>
      <c r="AO1009" s="242">
        <v>42076</v>
      </c>
      <c r="AP1009" s="235">
        <v>104</v>
      </c>
      <c r="AQ1009" s="242">
        <v>42108</v>
      </c>
      <c r="AR1009" s="136">
        <v>131</v>
      </c>
      <c r="AS1009" s="297">
        <f t="shared" si="542"/>
        <v>131</v>
      </c>
      <c r="AT1009" s="290">
        <v>42135</v>
      </c>
      <c r="AU1009" s="298"/>
      <c r="BF1009" s="282">
        <v>-0.82857900857925415</v>
      </c>
      <c r="BG1009" s="283">
        <v>42234</v>
      </c>
      <c r="BL1009" s="296">
        <v>66.163116455078125</v>
      </c>
      <c r="BM1009" s="283">
        <v>42234</v>
      </c>
      <c r="BP1009" s="282">
        <v>3.1800839900970459</v>
      </c>
      <c r="BQ1009" s="283">
        <v>42234</v>
      </c>
      <c r="BR1009" s="282">
        <v>49.932262420654297</v>
      </c>
      <c r="BS1009" s="283">
        <v>42234</v>
      </c>
      <c r="BT1009" s="282">
        <v>18.351171493530273</v>
      </c>
      <c r="BU1009" s="283">
        <v>42234</v>
      </c>
      <c r="BV1009" s="282">
        <v>12.563387870788574</v>
      </c>
      <c r="BW1009" s="283">
        <v>42234</v>
      </c>
      <c r="BX1009" s="282">
        <v>5.2238616943359375</v>
      </c>
      <c r="BY1009" s="283">
        <v>42234</v>
      </c>
      <c r="CB1009" s="267">
        <v>4.0199999999999996</v>
      </c>
      <c r="CD1009" s="282">
        <v>3.8461538461538494</v>
      </c>
      <c r="CE1009" s="291" t="s">
        <v>8401</v>
      </c>
      <c r="CH1009" s="136">
        <v>2</v>
      </c>
      <c r="CI1009" s="136">
        <v>2</v>
      </c>
      <c r="CL1009" s="136">
        <v>3</v>
      </c>
      <c r="CM1009" s="259">
        <v>42161</v>
      </c>
      <c r="CN1009" s="137" t="s">
        <v>8406</v>
      </c>
    </row>
    <row r="1010" spans="1:92">
      <c r="A1010" s="258">
        <v>1669</v>
      </c>
      <c r="B1010" s="235">
        <v>793</v>
      </c>
      <c r="C1010" s="235" t="s">
        <v>7702</v>
      </c>
      <c r="D1010" s="235" t="s">
        <v>7528</v>
      </c>
      <c r="E1010" s="235" t="s">
        <v>7702</v>
      </c>
      <c r="F1010" s="235" t="s">
        <v>8465</v>
      </c>
      <c r="G1010" s="235" t="str">
        <f t="shared" si="541"/>
        <v>Rapsodyn</v>
      </c>
      <c r="H1010" s="235" t="s">
        <v>267</v>
      </c>
      <c r="I1010" s="235">
        <v>2</v>
      </c>
      <c r="J1010" s="235">
        <v>9084</v>
      </c>
      <c r="K1010" s="235">
        <v>63</v>
      </c>
      <c r="L1010" s="235">
        <f t="shared" si="540"/>
        <v>135</v>
      </c>
      <c r="M1010" s="235">
        <v>11</v>
      </c>
      <c r="N1010" s="235">
        <v>7</v>
      </c>
      <c r="O1010" s="248">
        <v>42048</v>
      </c>
      <c r="P1010" s="136">
        <v>6.07</v>
      </c>
      <c r="Q1010" s="264">
        <v>42204</v>
      </c>
      <c r="V1010" s="219">
        <f t="shared" si="543"/>
        <v>17.79793450746395</v>
      </c>
      <c r="X1010">
        <v>15.55</v>
      </c>
      <c r="AB1010" s="220">
        <f t="shared" si="544"/>
        <v>6.2560991669623558</v>
      </c>
      <c r="AD1010" s="221">
        <f t="shared" si="545"/>
        <v>94895.28652259527</v>
      </c>
      <c r="AF1010" s="220">
        <f t="shared" si="546"/>
        <v>36.72447588424437</v>
      </c>
      <c r="AH1010" s="220">
        <f t="shared" si="547"/>
        <v>41.180170312003114</v>
      </c>
      <c r="AJ1010">
        <v>3.87</v>
      </c>
      <c r="AK1010" s="285" t="s">
        <v>8401</v>
      </c>
      <c r="AL1010" s="260">
        <v>155</v>
      </c>
      <c r="AN1010" s="235">
        <v>79</v>
      </c>
      <c r="AO1010" s="242">
        <v>42083</v>
      </c>
      <c r="AP1010" s="235">
        <v>110</v>
      </c>
      <c r="AQ1010" s="242">
        <v>42114</v>
      </c>
      <c r="AR1010" s="136">
        <v>133</v>
      </c>
      <c r="AS1010" s="297">
        <f t="shared" si="542"/>
        <v>133</v>
      </c>
      <c r="AT1010" s="290">
        <v>42137</v>
      </c>
      <c r="AU1010" s="298"/>
      <c r="BF1010" s="282">
        <v>-2.9385509490966797</v>
      </c>
      <c r="BG1010" s="283">
        <v>42234</v>
      </c>
      <c r="BL1010" s="296">
        <v>62.316078186035156</v>
      </c>
      <c r="BM1010" s="283">
        <v>42234</v>
      </c>
      <c r="BP1010" s="282">
        <v>4.0643839836120605</v>
      </c>
      <c r="BQ1010" s="283">
        <v>42234</v>
      </c>
      <c r="BR1010" s="282">
        <v>48.463413238525391</v>
      </c>
      <c r="BS1010" s="283">
        <v>42234</v>
      </c>
      <c r="BT1010" s="282">
        <v>17.03523063659668</v>
      </c>
      <c r="BU1010" s="283">
        <v>42234</v>
      </c>
      <c r="BV1010" s="282">
        <v>9.429682731628418</v>
      </c>
      <c r="BW1010" s="283">
        <v>42234</v>
      </c>
      <c r="BX1010" s="282">
        <v>5.3705825805664062</v>
      </c>
      <c r="BY1010" s="283">
        <v>42234</v>
      </c>
      <c r="CB1010" s="267">
        <v>3.54</v>
      </c>
      <c r="CD1010" s="282">
        <v>4.0000000000000036</v>
      </c>
      <c r="CE1010" s="291" t="s">
        <v>8401</v>
      </c>
      <c r="CH1010" s="136">
        <v>1</v>
      </c>
      <c r="CI1010" s="136">
        <v>2</v>
      </c>
      <c r="CL1010" s="136">
        <v>5</v>
      </c>
      <c r="CM1010" s="259">
        <v>42161</v>
      </c>
      <c r="CN1010" s="137" t="s">
        <v>8406</v>
      </c>
    </row>
    <row r="1011" spans="1:92">
      <c r="A1011" s="258">
        <v>1670</v>
      </c>
      <c r="B1011" s="235">
        <v>794</v>
      </c>
      <c r="C1011" s="235" t="s">
        <v>7801</v>
      </c>
      <c r="D1011" s="235" t="s">
        <v>7846</v>
      </c>
      <c r="E1011" s="235" t="s">
        <v>7801</v>
      </c>
      <c r="F1011" s="235" t="s">
        <v>8464</v>
      </c>
      <c r="G1011" s="235" t="str">
        <f t="shared" si="541"/>
        <v>Rapsodyn</v>
      </c>
      <c r="H1011" s="235" t="s">
        <v>267</v>
      </c>
      <c r="I1011" s="235">
        <v>2</v>
      </c>
      <c r="J1011" s="235">
        <v>9172</v>
      </c>
      <c r="K1011" s="235">
        <v>64</v>
      </c>
      <c r="L1011" s="235">
        <f t="shared" si="540"/>
        <v>136</v>
      </c>
      <c r="M1011" s="235">
        <v>11</v>
      </c>
      <c r="N1011" s="236">
        <v>9</v>
      </c>
      <c r="O1011" s="248">
        <v>42048</v>
      </c>
      <c r="P1011" s="136">
        <v>6.37</v>
      </c>
      <c r="Q1011" s="264">
        <v>42204</v>
      </c>
      <c r="V1011" s="219">
        <f t="shared" si="543"/>
        <v>18.659559828350602</v>
      </c>
      <c r="X1011">
        <v>15.55</v>
      </c>
      <c r="AB1011" s="220">
        <f t="shared" si="544"/>
        <v>6.6455641302817368</v>
      </c>
      <c r="AD1011" s="221">
        <f t="shared" si="545"/>
        <v>79624.723012327173</v>
      </c>
      <c r="AF1011" s="220">
        <f t="shared" si="546"/>
        <v>37.423619815793771</v>
      </c>
      <c r="AH1011" s="220">
        <f t="shared" si="547"/>
        <v>41.964139735135426</v>
      </c>
      <c r="AJ1011">
        <v>4.7</v>
      </c>
      <c r="AK1011" s="285" t="s">
        <v>8401</v>
      </c>
      <c r="AL1011" s="260">
        <v>175</v>
      </c>
      <c r="AN1011" s="235">
        <v>70</v>
      </c>
      <c r="AO1011" s="242">
        <v>42074</v>
      </c>
      <c r="AP1011" s="235">
        <v>106</v>
      </c>
      <c r="AQ1011" s="242">
        <v>42110</v>
      </c>
      <c r="AR1011" s="136">
        <v>132</v>
      </c>
      <c r="AS1011" s="297">
        <f t="shared" si="542"/>
        <v>132</v>
      </c>
      <c r="AT1011" s="290">
        <v>42136</v>
      </c>
      <c r="AU1011" s="298"/>
      <c r="BF1011" s="282">
        <v>-4.5368599891662598</v>
      </c>
      <c r="BG1011" s="283">
        <v>42234</v>
      </c>
      <c r="BL1011" s="296">
        <v>61.120151519775391</v>
      </c>
      <c r="BM1011" s="283">
        <v>42234</v>
      </c>
      <c r="BP1011" s="282">
        <v>3.5789129734039307</v>
      </c>
      <c r="BQ1011" s="283">
        <v>42234</v>
      </c>
      <c r="BR1011" s="282">
        <v>49.860382080078125</v>
      </c>
      <c r="BS1011" s="283">
        <v>42234</v>
      </c>
      <c r="BT1011" s="282">
        <v>17.757673263549805</v>
      </c>
      <c r="BU1011" s="283">
        <v>42234</v>
      </c>
      <c r="BV1011" s="282">
        <v>13.950433731079102</v>
      </c>
      <c r="BW1011" s="283">
        <v>42234</v>
      </c>
      <c r="BX1011" s="282">
        <v>5.2079544067382812</v>
      </c>
      <c r="BY1011" s="283">
        <v>42234</v>
      </c>
      <c r="CB1011" s="267">
        <v>4.55</v>
      </c>
      <c r="CD1011" s="282">
        <v>6.7796610169491585</v>
      </c>
      <c r="CE1011" s="291" t="s">
        <v>8401</v>
      </c>
      <c r="CH1011" s="136">
        <v>1</v>
      </c>
      <c r="CI1011" s="136">
        <v>2</v>
      </c>
      <c r="CL1011" s="136">
        <v>4</v>
      </c>
      <c r="CM1011" s="259">
        <v>42161</v>
      </c>
      <c r="CN1011" s="137" t="s">
        <v>8406</v>
      </c>
    </row>
    <row r="1012" spans="1:92">
      <c r="A1012" s="258">
        <v>1674</v>
      </c>
      <c r="B1012" s="235">
        <v>798</v>
      </c>
      <c r="C1012" s="235" t="s">
        <v>7698</v>
      </c>
      <c r="D1012" s="235" t="s">
        <v>7524</v>
      </c>
      <c r="E1012" s="235" t="s">
        <v>7698</v>
      </c>
      <c r="F1012" s="235" t="s">
        <v>8463</v>
      </c>
      <c r="G1012" s="235" t="str">
        <f t="shared" si="541"/>
        <v>Rapsodyn</v>
      </c>
      <c r="H1012" s="235" t="s">
        <v>267</v>
      </c>
      <c r="I1012" s="235">
        <v>2</v>
      </c>
      <c r="J1012" s="235">
        <v>9080</v>
      </c>
      <c r="K1012" s="235">
        <v>68</v>
      </c>
      <c r="L1012" s="235">
        <f t="shared" si="540"/>
        <v>140</v>
      </c>
      <c r="M1012" s="235">
        <v>11</v>
      </c>
      <c r="N1012" s="235">
        <v>7</v>
      </c>
      <c r="O1012" s="248">
        <v>42048</v>
      </c>
      <c r="P1012" s="136">
        <v>6.06</v>
      </c>
      <c r="Q1012" s="264">
        <v>42204</v>
      </c>
      <c r="V1012" s="219">
        <f t="shared" si="543"/>
        <v>17.110674811262026</v>
      </c>
      <c r="X1012">
        <v>15.55</v>
      </c>
      <c r="AB1012" s="220">
        <f t="shared" si="544"/>
        <v>6.5787085635071785</v>
      </c>
      <c r="AD1012" s="221">
        <f t="shared" si="545"/>
        <v>108120.93169163204</v>
      </c>
      <c r="AF1012" s="220">
        <f t="shared" si="546"/>
        <v>35.463665594855307</v>
      </c>
      <c r="AH1012" s="220">
        <f t="shared" si="547"/>
        <v>39.766388870660798</v>
      </c>
      <c r="AJ1012">
        <v>3.28</v>
      </c>
      <c r="AK1012" s="285" t="s">
        <v>8403</v>
      </c>
      <c r="AL1012" s="260">
        <v>170</v>
      </c>
      <c r="AN1012" s="235">
        <v>72</v>
      </c>
      <c r="AO1012" s="242">
        <v>42076</v>
      </c>
      <c r="AP1012" s="235">
        <v>113</v>
      </c>
      <c r="AQ1012" s="242">
        <v>42117</v>
      </c>
      <c r="AR1012" s="136">
        <v>145</v>
      </c>
      <c r="AS1012" s="297">
        <f t="shared" si="542"/>
        <v>145</v>
      </c>
      <c r="AT1012" s="290">
        <v>42149</v>
      </c>
      <c r="AU1012" s="298"/>
      <c r="BF1012" s="282">
        <v>-0.40387699007987976</v>
      </c>
      <c r="BG1012" s="283">
        <v>42235</v>
      </c>
      <c r="BL1012" s="296">
        <v>61.648056030273438</v>
      </c>
      <c r="BM1012" s="283">
        <v>42235</v>
      </c>
      <c r="BP1012" s="282">
        <v>3.9097189903259277</v>
      </c>
      <c r="BQ1012" s="283">
        <v>42235</v>
      </c>
      <c r="BR1012" s="282">
        <v>48.248466491699219</v>
      </c>
      <c r="BS1012" s="283">
        <v>42235</v>
      </c>
      <c r="BT1012" s="282">
        <v>18.550559997558594</v>
      </c>
      <c r="BU1012" s="283">
        <v>42235</v>
      </c>
      <c r="BV1012" s="282">
        <v>15.719953536987305</v>
      </c>
      <c r="BW1012" s="283">
        <v>42235</v>
      </c>
      <c r="BX1012" s="282">
        <v>5.5618362426757812</v>
      </c>
      <c r="BY1012" s="283">
        <v>42235</v>
      </c>
      <c r="CB1012" s="267">
        <v>4.0199999999999996</v>
      </c>
      <c r="CD1012" s="282">
        <v>7.1428571428571344</v>
      </c>
      <c r="CE1012" s="291" t="s">
        <v>8403</v>
      </c>
      <c r="CH1012" s="136">
        <v>1</v>
      </c>
      <c r="CI1012" s="136">
        <v>3</v>
      </c>
      <c r="CL1012" s="136">
        <v>3</v>
      </c>
      <c r="CM1012" s="259">
        <v>42161</v>
      </c>
      <c r="CN1012" s="137" t="s">
        <v>8406</v>
      </c>
    </row>
    <row r="1013" spans="1:92">
      <c r="A1013" s="258">
        <v>1675</v>
      </c>
      <c r="B1013" s="235">
        <v>799</v>
      </c>
      <c r="C1013" s="235" t="s">
        <v>7769</v>
      </c>
      <c r="D1013" s="235" t="s">
        <v>7845</v>
      </c>
      <c r="E1013" s="235" t="s">
        <v>7769</v>
      </c>
      <c r="F1013" s="235" t="s">
        <v>8462</v>
      </c>
      <c r="G1013" s="235" t="str">
        <f t="shared" si="541"/>
        <v>Rapsodyn</v>
      </c>
      <c r="H1013" s="235" t="s">
        <v>267</v>
      </c>
      <c r="I1013" s="235">
        <v>2</v>
      </c>
      <c r="J1013" s="235">
        <v>9140</v>
      </c>
      <c r="K1013" s="235">
        <v>69</v>
      </c>
      <c r="L1013" s="235">
        <f t="shared" si="540"/>
        <v>141</v>
      </c>
      <c r="M1013" s="235">
        <v>11</v>
      </c>
      <c r="N1013" s="235">
        <v>7</v>
      </c>
      <c r="O1013" s="248">
        <v>42048</v>
      </c>
      <c r="P1013" s="136">
        <v>6.43</v>
      </c>
      <c r="Q1013" s="264">
        <v>42204</v>
      </c>
      <c r="V1013" s="219">
        <f t="shared" si="543"/>
        <v>19.070629544063813</v>
      </c>
      <c r="X1013">
        <v>15.55</v>
      </c>
      <c r="AB1013" s="220">
        <f t="shared" si="544"/>
        <v>6.8373672722025596</v>
      </c>
      <c r="AD1013" s="221">
        <f t="shared" si="545"/>
        <v>77788.629172290675</v>
      </c>
      <c r="AF1013" s="220">
        <f t="shared" si="546"/>
        <v>39.049891844489913</v>
      </c>
      <c r="AH1013" s="220">
        <f t="shared" si="547"/>
        <v>43.78772353048879</v>
      </c>
      <c r="AJ1013">
        <v>5.0199999999999996</v>
      </c>
      <c r="AK1013" s="285" t="s">
        <v>8403</v>
      </c>
      <c r="AL1013" s="260">
        <v>150</v>
      </c>
      <c r="AN1013" s="235">
        <v>79</v>
      </c>
      <c r="AO1013" s="242">
        <v>42083</v>
      </c>
      <c r="AP1013" s="235">
        <v>106</v>
      </c>
      <c r="AQ1013" s="242">
        <v>42110</v>
      </c>
      <c r="AR1013" s="136">
        <v>131</v>
      </c>
      <c r="AS1013" s="297">
        <f t="shared" si="542"/>
        <v>131</v>
      </c>
      <c r="AT1013" s="290">
        <v>42135</v>
      </c>
      <c r="AU1013" s="298"/>
      <c r="BF1013" s="282">
        <v>-4.8785719871520996</v>
      </c>
      <c r="BG1013" s="283">
        <v>42235</v>
      </c>
      <c r="BL1013" s="296">
        <v>61.404251098632812</v>
      </c>
      <c r="BM1013" s="283">
        <v>42235</v>
      </c>
      <c r="BP1013" s="282">
        <v>3.3561890125274658</v>
      </c>
      <c r="BQ1013" s="283">
        <v>42235</v>
      </c>
      <c r="BR1013" s="282">
        <v>48.836574554443359</v>
      </c>
      <c r="BS1013" s="283">
        <v>42235</v>
      </c>
      <c r="BT1013" s="282">
        <v>17.509311676025391</v>
      </c>
      <c r="BU1013" s="283">
        <v>42235</v>
      </c>
      <c r="BV1013" s="282">
        <v>11.261190414428711</v>
      </c>
      <c r="BW1013" s="283">
        <v>42235</v>
      </c>
      <c r="BX1013" s="282">
        <v>5.3830642700195312</v>
      </c>
      <c r="BY1013" s="283">
        <v>42235</v>
      </c>
      <c r="CB1013" s="267">
        <v>3.62</v>
      </c>
      <c r="CD1013" s="282">
        <v>3.6363636363636398</v>
      </c>
      <c r="CE1013" s="291" t="s">
        <v>8403</v>
      </c>
      <c r="CH1013" s="136">
        <v>1</v>
      </c>
      <c r="CI1013" s="136">
        <v>2</v>
      </c>
      <c r="CL1013" s="136">
        <v>1</v>
      </c>
      <c r="CM1013" s="259">
        <v>42161</v>
      </c>
      <c r="CN1013" s="137" t="s">
        <v>8406</v>
      </c>
    </row>
    <row r="1014" spans="1:92">
      <c r="A1014" s="258">
        <v>1679</v>
      </c>
      <c r="B1014" s="235">
        <v>803</v>
      </c>
      <c r="C1014" s="235" t="s">
        <v>7576</v>
      </c>
      <c r="D1014" s="235"/>
      <c r="E1014" s="235"/>
      <c r="F1014" s="235"/>
      <c r="G1014" s="235"/>
      <c r="H1014" s="235" t="s">
        <v>267</v>
      </c>
      <c r="I1014" s="235">
        <v>2</v>
      </c>
      <c r="K1014" s="235">
        <v>73</v>
      </c>
      <c r="L1014" s="235">
        <f t="shared" si="540"/>
        <v>145</v>
      </c>
      <c r="M1014" s="235">
        <v>11</v>
      </c>
      <c r="O1014" s="248">
        <v>42048</v>
      </c>
      <c r="V1014" s="219"/>
      <c r="X1014">
        <v>15.55</v>
      </c>
      <c r="AB1014" s="220"/>
      <c r="AD1014" s="221"/>
      <c r="AF1014" s="220"/>
      <c r="AH1014" s="220"/>
      <c r="AJ1014" s="286"/>
      <c r="AK1014" s="285"/>
      <c r="AL1014" s="260"/>
      <c r="AN1014" s="235">
        <v>70</v>
      </c>
      <c r="AO1014" s="242">
        <v>42074</v>
      </c>
      <c r="AP1014" s="235">
        <v>106</v>
      </c>
      <c r="AQ1014" s="242">
        <v>42110</v>
      </c>
      <c r="AS1014" s="297"/>
      <c r="AT1014" s="290"/>
      <c r="AU1014" s="298"/>
      <c r="BF1014" s="282"/>
      <c r="BG1014" s="235"/>
      <c r="BL1014" s="296"/>
      <c r="BM1014" s="235"/>
      <c r="BP1014" s="282"/>
      <c r="BQ1014" s="235"/>
      <c r="BR1014" s="282"/>
      <c r="BS1014" s="235"/>
      <c r="BT1014" s="282"/>
      <c r="BU1014" s="235"/>
      <c r="BV1014" s="282"/>
      <c r="BW1014" s="235"/>
      <c r="BX1014" s="282"/>
      <c r="BY1014" s="235"/>
      <c r="CB1014" s="267"/>
      <c r="CD1014" s="282"/>
      <c r="CE1014" s="291"/>
      <c r="CL1014" s="136">
        <v>3</v>
      </c>
      <c r="CM1014" s="259">
        <v>42161</v>
      </c>
    </row>
    <row r="1015" spans="1:92">
      <c r="A1015" s="258">
        <v>1680</v>
      </c>
      <c r="B1015" s="235">
        <v>804</v>
      </c>
      <c r="C1015" s="235" t="s">
        <v>7576</v>
      </c>
      <c r="D1015" s="235"/>
      <c r="E1015" s="235"/>
      <c r="F1015" s="235"/>
      <c r="G1015" s="235"/>
      <c r="H1015" s="235" t="s">
        <v>267</v>
      </c>
      <c r="I1015" s="235">
        <v>2</v>
      </c>
      <c r="K1015" s="235">
        <v>73</v>
      </c>
      <c r="L1015" s="235">
        <f t="shared" si="540"/>
        <v>145</v>
      </c>
      <c r="M1015" s="235">
        <v>12</v>
      </c>
      <c r="O1015" s="248">
        <v>42048</v>
      </c>
      <c r="V1015" s="219"/>
      <c r="X1015">
        <v>15.55</v>
      </c>
      <c r="AB1015" s="220"/>
      <c r="AD1015" s="221"/>
      <c r="AF1015" s="220"/>
      <c r="AH1015" s="220"/>
      <c r="AJ1015" s="286"/>
      <c r="AK1015" s="285"/>
      <c r="AL1015" s="260"/>
      <c r="AN1015" s="235">
        <v>70</v>
      </c>
      <c r="AO1015" s="242">
        <v>42074</v>
      </c>
      <c r="AP1015" s="235">
        <v>106</v>
      </c>
      <c r="AQ1015" s="242">
        <v>42110</v>
      </c>
      <c r="AS1015" s="297"/>
      <c r="AT1015" s="290"/>
      <c r="AU1015" s="298"/>
      <c r="BF1015" s="282"/>
      <c r="BG1015" s="235"/>
      <c r="BL1015" s="296"/>
      <c r="BM1015" s="235"/>
      <c r="BP1015" s="282"/>
      <c r="BQ1015" s="235"/>
      <c r="BR1015" s="282"/>
      <c r="BS1015" s="235"/>
      <c r="BT1015" s="282"/>
      <c r="BU1015" s="235"/>
      <c r="BV1015" s="282"/>
      <c r="BW1015" s="235"/>
      <c r="BX1015" s="282"/>
      <c r="BY1015" s="235"/>
      <c r="CB1015" s="267"/>
      <c r="CD1015" s="282"/>
      <c r="CE1015" s="291"/>
      <c r="CL1015" s="136">
        <v>3</v>
      </c>
      <c r="CM1015" s="259">
        <v>42161</v>
      </c>
    </row>
    <row r="1016" spans="1:92">
      <c r="A1016" s="258">
        <v>1683</v>
      </c>
      <c r="B1016" s="235">
        <v>807</v>
      </c>
      <c r="C1016" s="235" t="s">
        <v>8300</v>
      </c>
      <c r="D1016" s="235" t="s">
        <v>7533</v>
      </c>
      <c r="E1016" s="235" t="s">
        <v>8461</v>
      </c>
      <c r="F1016" s="235" t="s">
        <v>8460</v>
      </c>
      <c r="G1016" s="235" t="str">
        <f t="shared" ref="G1016:G1024" si="548">IF(MID(C1016,1,3)="BGA","Complement","Rapsodyn")</f>
        <v>Rapsodyn</v>
      </c>
      <c r="H1016" s="235" t="s">
        <v>267</v>
      </c>
      <c r="I1016" s="235">
        <v>2</v>
      </c>
      <c r="J1016" s="235">
        <v>9356</v>
      </c>
      <c r="K1016" s="235">
        <v>70</v>
      </c>
      <c r="L1016" s="235">
        <f t="shared" si="540"/>
        <v>142</v>
      </c>
      <c r="M1016" s="235">
        <v>12</v>
      </c>
      <c r="N1016" s="235">
        <v>7</v>
      </c>
      <c r="O1016" s="248">
        <v>42048</v>
      </c>
      <c r="P1016" s="136">
        <v>5.37</v>
      </c>
      <c r="Q1016" s="264">
        <v>42204</v>
      </c>
      <c r="V1016" s="219">
        <f t="shared" ref="V1016:V1024" si="549">+BR1016*AF1016/100</f>
        <v>16.711322262834624</v>
      </c>
      <c r="X1016">
        <v>15.55</v>
      </c>
      <c r="AB1016" s="220">
        <f t="shared" ref="AB1016:AB1024" si="550">+AF1016*BT1016/100</f>
        <v>5.8263947782488064</v>
      </c>
      <c r="AD1016" s="221">
        <f t="shared" ref="AD1016:AD1024" si="551">+(AF1016/AJ1016)*10000</f>
        <v>78925.790891941026</v>
      </c>
      <c r="AF1016" s="220">
        <f t="shared" ref="AF1016:AF1024" si="552">($P1016/$X1016)*(((100-$CD1016)/100*(100-2)/100))*100</f>
        <v>33.227757965507173</v>
      </c>
      <c r="AH1016" s="220">
        <f t="shared" ref="AH1016:AH1024" si="553">($P1016/$X1016)*(((100-$CD1016)/(100-9)*(100-2)/(100-2))*100)</f>
        <v>37.25920381868935</v>
      </c>
      <c r="AJ1016">
        <v>4.21</v>
      </c>
      <c r="AK1016" s="285" t="s">
        <v>8403</v>
      </c>
      <c r="AL1016" s="260">
        <v>150</v>
      </c>
      <c r="AN1016" s="235">
        <v>72</v>
      </c>
      <c r="AO1016" s="242">
        <v>42076</v>
      </c>
      <c r="AP1016" s="235">
        <v>104</v>
      </c>
      <c r="AQ1016" s="242">
        <v>42108</v>
      </c>
      <c r="AR1016" s="136">
        <v>127</v>
      </c>
      <c r="AS1016" s="297">
        <f t="shared" ref="AS1016:AS1024" si="554">IF(AR1016=0,,AR1016)</f>
        <v>127</v>
      </c>
      <c r="AT1016" s="290">
        <v>42131</v>
      </c>
      <c r="AU1016" s="298"/>
      <c r="BF1016" s="282">
        <v>-6.2567691802978516</v>
      </c>
      <c r="BG1016" s="283">
        <v>42235</v>
      </c>
      <c r="BL1016" s="296">
        <v>64.820152282714844</v>
      </c>
      <c r="BM1016" s="283">
        <v>42235</v>
      </c>
      <c r="BP1016" s="282">
        <v>3.5695919990539551</v>
      </c>
      <c r="BQ1016" s="283">
        <v>42235</v>
      </c>
      <c r="BR1016" s="282">
        <v>50.293258666992187</v>
      </c>
      <c r="BS1016" s="283">
        <v>42235</v>
      </c>
      <c r="BT1016" s="282">
        <v>17.534721374511719</v>
      </c>
      <c r="BU1016" s="283">
        <v>42235</v>
      </c>
      <c r="BV1016" s="282">
        <v>9.4890556335449219</v>
      </c>
      <c r="BW1016" s="283">
        <v>42235</v>
      </c>
      <c r="BX1016" s="282">
        <v>5.189117431640625</v>
      </c>
      <c r="BY1016" s="283">
        <v>42235</v>
      </c>
      <c r="CB1016" s="267">
        <v>3.67</v>
      </c>
      <c r="CD1016" s="282">
        <v>1.8181818181818119</v>
      </c>
      <c r="CE1016" s="291" t="s">
        <v>8403</v>
      </c>
      <c r="CH1016" s="136">
        <v>4</v>
      </c>
      <c r="CI1016" s="136">
        <v>3</v>
      </c>
      <c r="CL1016" s="136">
        <v>1</v>
      </c>
      <c r="CM1016" s="259">
        <v>42161</v>
      </c>
      <c r="CN1016" s="137" t="s">
        <v>8406</v>
      </c>
    </row>
    <row r="1017" spans="1:92">
      <c r="A1017" s="258">
        <v>1685</v>
      </c>
      <c r="B1017" s="235">
        <v>809</v>
      </c>
      <c r="C1017" s="235" t="s">
        <v>7691</v>
      </c>
      <c r="D1017" s="235" t="s">
        <v>7517</v>
      </c>
      <c r="E1017" s="235" t="s">
        <v>7691</v>
      </c>
      <c r="F1017" s="235" t="s">
        <v>8459</v>
      </c>
      <c r="G1017" s="235" t="str">
        <f t="shared" si="548"/>
        <v>Rapsodyn</v>
      </c>
      <c r="H1017" s="235" t="s">
        <v>267</v>
      </c>
      <c r="I1017" s="235">
        <v>2</v>
      </c>
      <c r="J1017" s="235">
        <v>9073</v>
      </c>
      <c r="K1017" s="235">
        <v>68</v>
      </c>
      <c r="L1017" s="235">
        <f t="shared" si="540"/>
        <v>140</v>
      </c>
      <c r="M1017" s="235">
        <v>12</v>
      </c>
      <c r="N1017" s="235">
        <v>7</v>
      </c>
      <c r="O1017" s="248">
        <v>42048</v>
      </c>
      <c r="P1017" s="136">
        <v>4.93</v>
      </c>
      <c r="Q1017" s="264">
        <v>42204</v>
      </c>
      <c r="V1017" s="219">
        <f t="shared" si="549"/>
        <v>15.615780227628425</v>
      </c>
      <c r="X1017">
        <v>15.55</v>
      </c>
      <c r="AB1017" s="220">
        <f t="shared" si="550"/>
        <v>4.9769295911717393</v>
      </c>
      <c r="AD1017" s="221">
        <f t="shared" si="551"/>
        <v>66484.769059264727</v>
      </c>
      <c r="AF1017" s="220">
        <f t="shared" si="552"/>
        <v>29.851661307609863</v>
      </c>
      <c r="AH1017" s="220">
        <f t="shared" si="553"/>
        <v>33.47349328056724</v>
      </c>
      <c r="AJ1017">
        <v>4.49</v>
      </c>
      <c r="AK1017" s="285" t="s">
        <v>8403</v>
      </c>
      <c r="AL1017" s="260">
        <v>175</v>
      </c>
      <c r="AN1017" s="235">
        <v>75</v>
      </c>
      <c r="AO1017" s="242">
        <v>42079</v>
      </c>
      <c r="AP1017" s="235">
        <v>110</v>
      </c>
      <c r="AQ1017" s="242">
        <v>42114</v>
      </c>
      <c r="AR1017" s="136">
        <v>131</v>
      </c>
      <c r="AS1017" s="297">
        <f t="shared" si="554"/>
        <v>131</v>
      </c>
      <c r="AT1017" s="290">
        <v>42135</v>
      </c>
      <c r="AU1017" s="298"/>
      <c r="BF1017" s="282">
        <v>29.786750793457031</v>
      </c>
      <c r="BG1017" s="283">
        <v>42235</v>
      </c>
      <c r="BL1017" s="296">
        <v>66.459945678710937</v>
      </c>
      <c r="BM1017" s="283">
        <v>42235</v>
      </c>
      <c r="BP1017" s="282">
        <v>3.6317689418792725</v>
      </c>
      <c r="BQ1017" s="283">
        <v>42235</v>
      </c>
      <c r="BR1017" s="282">
        <v>52.311260223388672</v>
      </c>
      <c r="BS1017" s="283">
        <v>42235</v>
      </c>
      <c r="BT1017" s="282">
        <v>16.672203063964844</v>
      </c>
      <c r="BU1017" s="283">
        <v>42235</v>
      </c>
      <c r="BV1017" s="282">
        <v>14.478496551513672</v>
      </c>
      <c r="BW1017" s="283">
        <v>42235</v>
      </c>
      <c r="BX1017" s="282">
        <v>5.0774917602539062</v>
      </c>
      <c r="BY1017" s="283">
        <v>42235</v>
      </c>
      <c r="CB1017" s="267">
        <v>5.38</v>
      </c>
      <c r="CD1017" s="282">
        <v>3.9215686274509665</v>
      </c>
      <c r="CE1017" s="291" t="s">
        <v>8403</v>
      </c>
      <c r="CH1017" s="136">
        <v>2</v>
      </c>
      <c r="CI1017" s="136">
        <v>2</v>
      </c>
      <c r="CL1017" s="136">
        <v>2</v>
      </c>
      <c r="CM1017" s="259">
        <v>42161</v>
      </c>
      <c r="CN1017" s="137" t="s">
        <v>8406</v>
      </c>
    </row>
    <row r="1018" spans="1:92">
      <c r="A1018" s="258">
        <v>1687</v>
      </c>
      <c r="B1018" s="235">
        <v>811</v>
      </c>
      <c r="C1018" s="235" t="s">
        <v>7701</v>
      </c>
      <c r="D1018" s="235" t="s">
        <v>7527</v>
      </c>
      <c r="E1018" s="235" t="s">
        <v>7701</v>
      </c>
      <c r="F1018" s="235" t="s">
        <v>8458</v>
      </c>
      <c r="G1018" s="235" t="str">
        <f t="shared" si="548"/>
        <v>Rapsodyn</v>
      </c>
      <c r="H1018" s="235" t="s">
        <v>267</v>
      </c>
      <c r="I1018" s="235">
        <v>2</v>
      </c>
      <c r="J1018" s="235">
        <v>9083</v>
      </c>
      <c r="K1018" s="235">
        <v>66</v>
      </c>
      <c r="L1018" s="235">
        <f t="shared" si="540"/>
        <v>138</v>
      </c>
      <c r="M1018" s="235">
        <v>12</v>
      </c>
      <c r="N1018" s="235">
        <v>5</v>
      </c>
      <c r="O1018" s="248">
        <v>42048</v>
      </c>
      <c r="P1018" s="136">
        <v>5.08</v>
      </c>
      <c r="Q1018" s="264">
        <v>42204</v>
      </c>
      <c r="V1018" s="219">
        <f t="shared" si="549"/>
        <v>15.286370899073065</v>
      </c>
      <c r="X1018">
        <v>15.55</v>
      </c>
      <c r="AB1018" s="220">
        <f t="shared" si="550"/>
        <v>4.732905524582903</v>
      </c>
      <c r="AD1018" s="221">
        <f t="shared" si="551"/>
        <v>70322.586968641888</v>
      </c>
      <c r="AF1018" s="220">
        <f t="shared" si="552"/>
        <v>30.168389809547371</v>
      </c>
      <c r="AH1018" s="220">
        <f t="shared" si="553"/>
        <v>33.828649707947264</v>
      </c>
      <c r="AJ1018">
        <v>4.29</v>
      </c>
      <c r="AK1018" s="285" t="s">
        <v>8399</v>
      </c>
      <c r="AL1018" s="260">
        <v>175</v>
      </c>
      <c r="AN1018" s="235">
        <v>79</v>
      </c>
      <c r="AO1018" s="242">
        <v>42083</v>
      </c>
      <c r="AP1018" s="235">
        <v>110</v>
      </c>
      <c r="AQ1018" s="242">
        <v>42114</v>
      </c>
      <c r="AR1018" s="136">
        <v>133</v>
      </c>
      <c r="AS1018" s="297">
        <f t="shared" si="554"/>
        <v>133</v>
      </c>
      <c r="AT1018" s="290">
        <v>42137</v>
      </c>
      <c r="AU1018" s="298"/>
      <c r="BF1018" s="282">
        <v>3.6563680171966553</v>
      </c>
      <c r="BG1018" s="283">
        <v>42235</v>
      </c>
      <c r="BL1018" s="296">
        <v>64.079353332519531</v>
      </c>
      <c r="BM1018" s="283">
        <v>42235</v>
      </c>
      <c r="BP1018" s="282">
        <v>3.367664098739624</v>
      </c>
      <c r="BQ1018" s="283">
        <v>42235</v>
      </c>
      <c r="BR1018" s="282">
        <v>50.670158386230469</v>
      </c>
      <c r="BS1018" s="283">
        <v>42235</v>
      </c>
      <c r="BT1018" s="282">
        <v>15.68829345703125</v>
      </c>
      <c r="BU1018" s="283">
        <v>42235</v>
      </c>
      <c r="BV1018" s="282">
        <v>20.571773529052734</v>
      </c>
      <c r="BW1018" s="283">
        <v>42235</v>
      </c>
      <c r="BX1018" s="282">
        <v>5.5154495239257812</v>
      </c>
      <c r="BY1018" s="283">
        <v>42235</v>
      </c>
      <c r="CB1018" s="267">
        <v>2.7</v>
      </c>
      <c r="CD1018" s="282">
        <v>5.7692307692307656</v>
      </c>
      <c r="CE1018" s="291" t="s">
        <v>8399</v>
      </c>
      <c r="CH1018" s="136">
        <v>3</v>
      </c>
      <c r="CI1018" s="136">
        <v>5</v>
      </c>
      <c r="CL1018" s="136">
        <v>3</v>
      </c>
      <c r="CM1018" s="259">
        <v>42161</v>
      </c>
      <c r="CN1018" s="137" t="s">
        <v>8406</v>
      </c>
    </row>
    <row r="1019" spans="1:92">
      <c r="A1019" s="258">
        <v>1688</v>
      </c>
      <c r="B1019" s="235">
        <v>812</v>
      </c>
      <c r="C1019" s="235" t="s">
        <v>7777</v>
      </c>
      <c r="D1019" s="235" t="s">
        <v>7575</v>
      </c>
      <c r="E1019" s="235" t="s">
        <v>7777</v>
      </c>
      <c r="F1019" s="235" t="s">
        <v>8457</v>
      </c>
      <c r="G1019" s="235" t="str">
        <f t="shared" si="548"/>
        <v>Rapsodyn</v>
      </c>
      <c r="H1019" s="235" t="s">
        <v>267</v>
      </c>
      <c r="I1019" s="235">
        <v>2</v>
      </c>
      <c r="J1019" s="235">
        <v>9148</v>
      </c>
      <c r="K1019" s="235">
        <v>65</v>
      </c>
      <c r="L1019" s="235">
        <f t="shared" si="540"/>
        <v>137</v>
      </c>
      <c r="M1019" s="235">
        <v>12</v>
      </c>
      <c r="N1019" s="235">
        <v>7</v>
      </c>
      <c r="O1019" s="248">
        <v>42048</v>
      </c>
      <c r="P1019" s="136">
        <v>4.66</v>
      </c>
      <c r="Q1019" s="264">
        <v>42204</v>
      </c>
      <c r="V1019" s="219">
        <f t="shared" si="549"/>
        <v>13.84852621719998</v>
      </c>
      <c r="X1019">
        <v>15.55</v>
      </c>
      <c r="AB1019" s="220">
        <f t="shared" si="550"/>
        <v>4.7545546801322782</v>
      </c>
      <c r="AD1019" s="221">
        <f t="shared" si="551"/>
        <v>59014.693697597169</v>
      </c>
      <c r="AF1019" s="220">
        <f t="shared" si="552"/>
        <v>27.736906037870668</v>
      </c>
      <c r="AH1019" s="220">
        <f t="shared" si="553"/>
        <v>31.102159719523062</v>
      </c>
      <c r="AJ1019">
        <v>4.7</v>
      </c>
      <c r="AK1019" s="285" t="s">
        <v>8399</v>
      </c>
      <c r="AL1019" s="260">
        <v>175</v>
      </c>
      <c r="AN1019" s="235">
        <v>70</v>
      </c>
      <c r="AO1019" s="242">
        <v>42074</v>
      </c>
      <c r="AP1019" s="235">
        <v>106</v>
      </c>
      <c r="AQ1019" s="242">
        <v>42110</v>
      </c>
      <c r="AR1019" s="136">
        <v>131</v>
      </c>
      <c r="AS1019" s="297">
        <f t="shared" si="554"/>
        <v>131</v>
      </c>
      <c r="AT1019" s="290">
        <v>42135</v>
      </c>
      <c r="AU1019" s="298"/>
      <c r="BF1019" s="282">
        <v>0.82443398237228394</v>
      </c>
      <c r="BG1019" s="283">
        <v>42235</v>
      </c>
      <c r="BL1019" s="296">
        <v>65.515411376953125</v>
      </c>
      <c r="BM1019" s="283">
        <v>42235</v>
      </c>
      <c r="BP1019" s="282">
        <v>3.0806169509887695</v>
      </c>
      <c r="BQ1019" s="283">
        <v>42235</v>
      </c>
      <c r="BR1019" s="282">
        <v>49.928157806396484</v>
      </c>
      <c r="BS1019" s="283">
        <v>42235</v>
      </c>
      <c r="BT1019" s="282">
        <v>17.141618728637695</v>
      </c>
      <c r="BU1019" s="283">
        <v>42235</v>
      </c>
      <c r="BV1019" s="282">
        <v>13.16779899597168</v>
      </c>
      <c r="BW1019" s="283">
        <v>42235</v>
      </c>
      <c r="BX1019" s="282">
        <v>5.5772247314453125</v>
      </c>
      <c r="BY1019" s="283">
        <v>42235</v>
      </c>
      <c r="CB1019" s="267">
        <v>3.12</v>
      </c>
      <c r="CD1019" s="282">
        <v>5.5555555555555687</v>
      </c>
      <c r="CE1019" s="291" t="s">
        <v>8399</v>
      </c>
      <c r="CH1019" s="136">
        <v>2</v>
      </c>
      <c r="CI1019" s="136">
        <v>2</v>
      </c>
      <c r="CL1019" s="136">
        <v>2</v>
      </c>
      <c r="CM1019" s="259">
        <v>42161</v>
      </c>
      <c r="CN1019" s="137" t="s">
        <v>8406</v>
      </c>
    </row>
    <row r="1020" spans="1:92">
      <c r="A1020" s="258">
        <v>1689</v>
      </c>
      <c r="B1020" s="235">
        <v>813</v>
      </c>
      <c r="C1020" s="235" t="s">
        <v>7664</v>
      </c>
      <c r="D1020" s="235" t="s">
        <v>7494</v>
      </c>
      <c r="E1020" s="235" t="s">
        <v>7664</v>
      </c>
      <c r="F1020" s="235" t="s">
        <v>8456</v>
      </c>
      <c r="G1020" s="235" t="str">
        <f t="shared" si="548"/>
        <v>Rapsodyn</v>
      </c>
      <c r="H1020" s="235" t="s">
        <v>267</v>
      </c>
      <c r="I1020" s="235">
        <v>2</v>
      </c>
      <c r="J1020" s="235">
        <v>9047</v>
      </c>
      <c r="K1020" s="235">
        <v>64</v>
      </c>
      <c r="L1020" s="235">
        <f t="shared" si="540"/>
        <v>136</v>
      </c>
      <c r="M1020" s="235">
        <v>12</v>
      </c>
      <c r="N1020" s="235">
        <v>7</v>
      </c>
      <c r="O1020" s="248">
        <v>42048</v>
      </c>
      <c r="P1020" s="136">
        <v>5.74</v>
      </c>
      <c r="Q1020" s="264">
        <v>42204</v>
      </c>
      <c r="V1020" s="219">
        <f t="shared" si="549"/>
        <v>18.144762370179663</v>
      </c>
      <c r="X1020">
        <v>15.55</v>
      </c>
      <c r="AB1020" s="220">
        <f t="shared" si="550"/>
        <v>5.6263515178216439</v>
      </c>
      <c r="AD1020" s="221">
        <f t="shared" si="551"/>
        <v>79561.522990820959</v>
      </c>
      <c r="AF1020" s="220">
        <f t="shared" si="552"/>
        <v>34.927508592970398</v>
      </c>
      <c r="AH1020" s="220">
        <f t="shared" si="553"/>
        <v>39.165181198666062</v>
      </c>
      <c r="AJ1020">
        <v>4.3899999999999997</v>
      </c>
      <c r="AK1020" s="285" t="s">
        <v>8399</v>
      </c>
      <c r="AL1020" s="260">
        <v>165</v>
      </c>
      <c r="AN1020" s="235">
        <v>70</v>
      </c>
      <c r="AO1020" s="242">
        <v>42074</v>
      </c>
      <c r="AP1020" s="235">
        <v>104</v>
      </c>
      <c r="AQ1020" s="242">
        <v>42108</v>
      </c>
      <c r="AR1020" s="136">
        <v>130</v>
      </c>
      <c r="AS1020" s="297">
        <f t="shared" si="554"/>
        <v>130</v>
      </c>
      <c r="AT1020" s="290">
        <v>42134</v>
      </c>
      <c r="AU1020" s="298"/>
      <c r="BF1020" s="282">
        <v>-5.3235569000244141</v>
      </c>
      <c r="BG1020" s="283">
        <v>42235</v>
      </c>
      <c r="BL1020" s="296">
        <v>63.512687683105469</v>
      </c>
      <c r="BM1020" s="283">
        <v>42235</v>
      </c>
      <c r="BP1020" s="282">
        <v>2.9266629219055176</v>
      </c>
      <c r="BQ1020" s="283">
        <v>42235</v>
      </c>
      <c r="BR1020" s="282">
        <v>51.949775695800781</v>
      </c>
      <c r="BS1020" s="283">
        <v>42235</v>
      </c>
      <c r="BT1020" s="282">
        <v>16.108654022216797</v>
      </c>
      <c r="BU1020" s="283">
        <v>42235</v>
      </c>
      <c r="BV1020" s="282">
        <v>19.703578948974609</v>
      </c>
      <c r="BW1020" s="283">
        <v>42235</v>
      </c>
      <c r="BX1020" s="282">
        <v>5.0690994262695313</v>
      </c>
      <c r="BY1020" s="283">
        <v>42235</v>
      </c>
      <c r="CB1020" s="267">
        <v>3.5</v>
      </c>
      <c r="CD1020" s="282">
        <v>3.4482758620689689</v>
      </c>
      <c r="CE1020" s="291" t="s">
        <v>8399</v>
      </c>
      <c r="CH1020" s="136">
        <v>2</v>
      </c>
      <c r="CI1020" s="136">
        <v>2</v>
      </c>
      <c r="CL1020" s="136">
        <v>2</v>
      </c>
      <c r="CM1020" s="259">
        <v>42161</v>
      </c>
      <c r="CN1020" s="137" t="s">
        <v>8406</v>
      </c>
    </row>
    <row r="1021" spans="1:92">
      <c r="A1021" s="258">
        <v>1690</v>
      </c>
      <c r="B1021" s="235">
        <v>814</v>
      </c>
      <c r="C1021" s="235" t="s">
        <v>7668</v>
      </c>
      <c r="D1021" s="235" t="s">
        <v>7497</v>
      </c>
      <c r="E1021" s="235" t="s">
        <v>7668</v>
      </c>
      <c r="F1021" s="235" t="s">
        <v>8455</v>
      </c>
      <c r="G1021" s="235" t="str">
        <f t="shared" si="548"/>
        <v>Rapsodyn</v>
      </c>
      <c r="H1021" s="235" t="s">
        <v>267</v>
      </c>
      <c r="I1021" s="235">
        <v>2</v>
      </c>
      <c r="J1021" s="235">
        <v>9050</v>
      </c>
      <c r="K1021" s="235">
        <v>63</v>
      </c>
      <c r="L1021" s="235">
        <f t="shared" si="540"/>
        <v>135</v>
      </c>
      <c r="M1021" s="235">
        <v>12</v>
      </c>
      <c r="N1021" s="235">
        <v>7</v>
      </c>
      <c r="O1021" s="248">
        <v>42048</v>
      </c>
      <c r="P1021" s="136">
        <v>6.58</v>
      </c>
      <c r="Q1021" s="264">
        <v>42204</v>
      </c>
      <c r="V1021" s="219">
        <f t="shared" si="549"/>
        <v>20.17414379080622</v>
      </c>
      <c r="X1021">
        <v>15.55</v>
      </c>
      <c r="AB1021" s="220">
        <f t="shared" si="550"/>
        <v>6.2405480934339312</v>
      </c>
      <c r="AD1021" s="221">
        <f t="shared" si="551"/>
        <v>86257.729408854808</v>
      </c>
      <c r="AF1021" s="220">
        <f t="shared" si="552"/>
        <v>39.247266881028935</v>
      </c>
      <c r="AH1021" s="220">
        <f t="shared" si="553"/>
        <v>44.009045616762656</v>
      </c>
      <c r="AJ1021">
        <v>4.55</v>
      </c>
      <c r="AK1021" s="285" t="s">
        <v>8399</v>
      </c>
      <c r="AL1021" s="260">
        <v>175</v>
      </c>
      <c r="AN1021" s="235">
        <v>70</v>
      </c>
      <c r="AO1021" s="242">
        <v>42074</v>
      </c>
      <c r="AP1021" s="235">
        <v>106</v>
      </c>
      <c r="AQ1021" s="242">
        <v>42110</v>
      </c>
      <c r="AR1021" s="136">
        <v>133</v>
      </c>
      <c r="AS1021" s="297">
        <f t="shared" si="554"/>
        <v>133</v>
      </c>
      <c r="AT1021" s="290">
        <v>42137</v>
      </c>
      <c r="AU1021" s="298"/>
      <c r="BF1021" s="282">
        <v>-1.8187750577926636</v>
      </c>
      <c r="BG1021" s="283">
        <v>42235</v>
      </c>
      <c r="BL1021" s="296">
        <v>62.959400177001953</v>
      </c>
      <c r="BM1021" s="283">
        <v>42235</v>
      </c>
      <c r="BP1021" s="282">
        <v>3.4920260906219482</v>
      </c>
      <c r="BQ1021" s="283">
        <v>42235</v>
      </c>
      <c r="BR1021" s="282">
        <v>51.402671813964844</v>
      </c>
      <c r="BS1021" s="283">
        <v>42235</v>
      </c>
      <c r="BT1021" s="282">
        <v>15.900592803955078</v>
      </c>
      <c r="BU1021" s="283">
        <v>42235</v>
      </c>
      <c r="BV1021" s="282">
        <v>11.084386825561523</v>
      </c>
      <c r="BW1021" s="283">
        <v>42235</v>
      </c>
      <c r="BX1021" s="282">
        <v>5.3637237548828125</v>
      </c>
      <c r="BY1021" s="283">
        <v>42235</v>
      </c>
      <c r="CB1021" s="267">
        <v>3.36</v>
      </c>
      <c r="CD1021" s="282">
        <v>5.3571428571428541</v>
      </c>
      <c r="CE1021" s="291" t="s">
        <v>8399</v>
      </c>
      <c r="CH1021" s="136">
        <v>1</v>
      </c>
      <c r="CI1021" s="136">
        <v>3</v>
      </c>
      <c r="CL1021" s="136">
        <v>2</v>
      </c>
      <c r="CM1021" s="259">
        <v>42161</v>
      </c>
      <c r="CN1021" s="137" t="s">
        <v>8406</v>
      </c>
    </row>
    <row r="1022" spans="1:92">
      <c r="A1022" s="258">
        <v>1697</v>
      </c>
      <c r="B1022" s="235">
        <v>821</v>
      </c>
      <c r="C1022" s="235" t="s">
        <v>7660</v>
      </c>
      <c r="D1022" s="235" t="s">
        <v>7490</v>
      </c>
      <c r="E1022" s="235" t="s">
        <v>7660</v>
      </c>
      <c r="F1022" s="235" t="s">
        <v>8454</v>
      </c>
      <c r="G1022" s="235" t="str">
        <f t="shared" si="548"/>
        <v>Rapsodyn</v>
      </c>
      <c r="H1022" s="235" t="s">
        <v>267</v>
      </c>
      <c r="I1022" s="235">
        <v>2</v>
      </c>
      <c r="J1022" s="235">
        <v>9043</v>
      </c>
      <c r="K1022" s="235">
        <v>56</v>
      </c>
      <c r="L1022" s="235">
        <f t="shared" si="540"/>
        <v>128</v>
      </c>
      <c r="M1022" s="235">
        <v>12</v>
      </c>
      <c r="N1022" s="235">
        <v>7</v>
      </c>
      <c r="O1022" s="248">
        <v>42048</v>
      </c>
      <c r="P1022" s="136">
        <v>5.57</v>
      </c>
      <c r="Q1022" s="264">
        <v>42204</v>
      </c>
      <c r="V1022" s="219">
        <f t="shared" si="549"/>
        <v>16.510064855952038</v>
      </c>
      <c r="X1022">
        <v>15.55</v>
      </c>
      <c r="AB1022" s="220">
        <f t="shared" si="550"/>
        <v>5.2440586730523204</v>
      </c>
      <c r="AD1022" s="221">
        <f t="shared" si="551"/>
        <v>82010.3790799204</v>
      </c>
      <c r="AF1022" s="220">
        <f t="shared" si="552"/>
        <v>32.640130873808317</v>
      </c>
      <c r="AH1022" s="220">
        <f t="shared" si="553"/>
        <v>36.600281311738414</v>
      </c>
      <c r="AJ1022">
        <v>3.98</v>
      </c>
      <c r="AK1022" s="285" t="s">
        <v>8399</v>
      </c>
      <c r="AL1022" s="260">
        <v>175</v>
      </c>
      <c r="AN1022" s="235">
        <v>75</v>
      </c>
      <c r="AO1022" s="242">
        <v>42079</v>
      </c>
      <c r="AP1022" s="235">
        <v>106</v>
      </c>
      <c r="AQ1022" s="242">
        <v>42110</v>
      </c>
      <c r="AR1022" s="136">
        <v>133</v>
      </c>
      <c r="AS1022" s="297">
        <f t="shared" si="554"/>
        <v>133</v>
      </c>
      <c r="AT1022" s="290">
        <v>42137</v>
      </c>
      <c r="AU1022" s="298"/>
      <c r="BF1022" s="282">
        <v>-2.6188580989837646</v>
      </c>
      <c r="BG1022" s="283">
        <v>42234</v>
      </c>
      <c r="BL1022" s="296">
        <v>62.868022918701172</v>
      </c>
      <c r="BM1022" s="283">
        <v>42234</v>
      </c>
      <c r="BP1022" s="282">
        <v>3.7869760990142822</v>
      </c>
      <c r="BQ1022" s="283">
        <v>42234</v>
      </c>
      <c r="BR1022" s="282">
        <v>50.582103729248047</v>
      </c>
      <c r="BS1022" s="283">
        <v>42234</v>
      </c>
      <c r="BT1022" s="282">
        <v>16.066291809082031</v>
      </c>
      <c r="BU1022" s="283">
        <v>42234</v>
      </c>
      <c r="BV1022" s="282">
        <v>11.278133392333984</v>
      </c>
      <c r="BW1022" s="283">
        <v>42234</v>
      </c>
      <c r="BX1022" s="282">
        <v>5.4665298461914062</v>
      </c>
      <c r="BY1022" s="283">
        <v>42234</v>
      </c>
      <c r="CB1022" s="267">
        <v>2.48</v>
      </c>
      <c r="CD1022" s="282">
        <v>7.0175438596491295</v>
      </c>
      <c r="CE1022" s="291" t="s">
        <v>8399</v>
      </c>
      <c r="CH1022" s="136">
        <v>1</v>
      </c>
      <c r="CI1022" s="136">
        <v>3</v>
      </c>
      <c r="CL1022" s="136">
        <v>1</v>
      </c>
      <c r="CM1022" s="259">
        <v>42161</v>
      </c>
      <c r="CN1022" s="137" t="s">
        <v>8406</v>
      </c>
    </row>
    <row r="1023" spans="1:92">
      <c r="A1023" s="258">
        <v>1698</v>
      </c>
      <c r="B1023" s="235">
        <v>822</v>
      </c>
      <c r="C1023" s="235" t="s">
        <v>7763</v>
      </c>
      <c r="D1023" s="235" t="s">
        <v>7840</v>
      </c>
      <c r="E1023" s="235" t="s">
        <v>7763</v>
      </c>
      <c r="F1023" s="235" t="s">
        <v>8453</v>
      </c>
      <c r="G1023" s="235" t="str">
        <f t="shared" si="548"/>
        <v>Rapsodyn</v>
      </c>
      <c r="H1023" s="235" t="s">
        <v>267</v>
      </c>
      <c r="I1023" s="235">
        <v>2</v>
      </c>
      <c r="J1023" s="235">
        <v>9134</v>
      </c>
      <c r="K1023" s="235">
        <v>55</v>
      </c>
      <c r="L1023" s="235">
        <f t="shared" si="540"/>
        <v>127</v>
      </c>
      <c r="M1023" s="235">
        <v>12</v>
      </c>
      <c r="N1023" s="235">
        <v>7</v>
      </c>
      <c r="O1023" s="248">
        <v>42048</v>
      </c>
      <c r="P1023" s="136">
        <v>6.59</v>
      </c>
      <c r="Q1023" s="264">
        <v>42204</v>
      </c>
      <c r="V1023" s="219">
        <f t="shared" si="549"/>
        <v>20.329847861679418</v>
      </c>
      <c r="X1023">
        <v>15.55</v>
      </c>
      <c r="AB1023" s="220">
        <f t="shared" si="550"/>
        <v>5.9872242808464637</v>
      </c>
      <c r="AD1023" s="221">
        <f t="shared" si="551"/>
        <v>82925.977179915048</v>
      </c>
      <c r="AF1023" s="220">
        <f t="shared" si="552"/>
        <v>39.30691318327974</v>
      </c>
      <c r="AH1023" s="220">
        <f t="shared" si="553"/>
        <v>44.075928664812444</v>
      </c>
      <c r="AJ1023">
        <v>4.74</v>
      </c>
      <c r="AK1023" s="285" t="s">
        <v>8399</v>
      </c>
      <c r="AL1023" s="260">
        <v>165</v>
      </c>
      <c r="AN1023" s="235">
        <v>70</v>
      </c>
      <c r="AO1023" s="242">
        <v>42074</v>
      </c>
      <c r="AP1023" s="235">
        <v>104</v>
      </c>
      <c r="AQ1023" s="242">
        <v>42108</v>
      </c>
      <c r="AR1023" s="136">
        <v>127</v>
      </c>
      <c r="AS1023" s="297">
        <f t="shared" si="554"/>
        <v>127</v>
      </c>
      <c r="AT1023" s="290">
        <v>42131</v>
      </c>
      <c r="AU1023" s="298"/>
      <c r="BF1023" s="282">
        <v>-4.43902587890625</v>
      </c>
      <c r="BG1023" s="283">
        <v>42234</v>
      </c>
      <c r="BL1023" s="296">
        <v>68.7479248046875</v>
      </c>
      <c r="BM1023" s="283">
        <v>42234</v>
      </c>
      <c r="BP1023" s="282">
        <v>3.0825068950653076</v>
      </c>
      <c r="BQ1023" s="283">
        <v>42234</v>
      </c>
      <c r="BR1023" s="282">
        <v>51.720794677734375</v>
      </c>
      <c r="BS1023" s="283">
        <v>42234</v>
      </c>
      <c r="BT1023" s="282">
        <v>15.231987953186035</v>
      </c>
      <c r="BU1023" s="283">
        <v>42234</v>
      </c>
      <c r="BV1023" s="282">
        <v>12.557279586791992</v>
      </c>
      <c r="BW1023" s="283">
        <v>42234</v>
      </c>
      <c r="BX1023" s="282">
        <v>5.4702682495117187</v>
      </c>
      <c r="BY1023" s="283">
        <v>42234</v>
      </c>
      <c r="CB1023" s="267">
        <v>2.65</v>
      </c>
      <c r="CD1023" s="282">
        <v>5.3571428571428541</v>
      </c>
      <c r="CE1023" s="291" t="s">
        <v>8399</v>
      </c>
      <c r="CH1023" s="136">
        <v>1</v>
      </c>
      <c r="CI1023" s="136">
        <v>2</v>
      </c>
      <c r="CL1023" s="136">
        <v>1</v>
      </c>
      <c r="CM1023" s="259">
        <v>42161</v>
      </c>
      <c r="CN1023" s="137" t="s">
        <v>8406</v>
      </c>
    </row>
    <row r="1024" spans="1:92">
      <c r="A1024" s="258">
        <v>1700</v>
      </c>
      <c r="B1024" s="235">
        <v>824</v>
      </c>
      <c r="C1024" s="235" t="s">
        <v>7807</v>
      </c>
      <c r="D1024" s="235" t="s">
        <v>7601</v>
      </c>
      <c r="E1024" s="235" t="s">
        <v>7807</v>
      </c>
      <c r="F1024" s="235" t="s">
        <v>8452</v>
      </c>
      <c r="G1024" s="235" t="str">
        <f t="shared" si="548"/>
        <v>Rapsodyn</v>
      </c>
      <c r="H1024" s="235" t="s">
        <v>267</v>
      </c>
      <c r="I1024" s="235">
        <v>2</v>
      </c>
      <c r="J1024" s="235">
        <v>9178</v>
      </c>
      <c r="K1024" s="235">
        <v>53</v>
      </c>
      <c r="L1024" s="235">
        <f t="shared" si="540"/>
        <v>125</v>
      </c>
      <c r="M1024" s="235">
        <v>12</v>
      </c>
      <c r="N1024" s="235">
        <v>5</v>
      </c>
      <c r="O1024" s="248">
        <v>42048</v>
      </c>
      <c r="P1024" s="136">
        <v>6.21</v>
      </c>
      <c r="Q1024" s="264">
        <v>42204</v>
      </c>
      <c r="V1024" s="219">
        <f t="shared" si="549"/>
        <v>18.309407429833119</v>
      </c>
      <c r="X1024">
        <v>15.55</v>
      </c>
      <c r="AB1024" s="220">
        <f t="shared" si="550"/>
        <v>5.6950096915389166</v>
      </c>
      <c r="AD1024" s="221">
        <f t="shared" si="551"/>
        <v>82358.959368605647</v>
      </c>
      <c r="AF1024" s="220">
        <f t="shared" si="552"/>
        <v>36.237942122186489</v>
      </c>
      <c r="AH1024" s="220">
        <f t="shared" si="553"/>
        <v>40.634606551005255</v>
      </c>
      <c r="AJ1024">
        <v>4.4000000000000004</v>
      </c>
      <c r="AK1024" s="285" t="s">
        <v>8399</v>
      </c>
      <c r="AL1024" s="260">
        <v>175</v>
      </c>
      <c r="AN1024" s="235">
        <v>75</v>
      </c>
      <c r="AO1024" s="242">
        <v>42079</v>
      </c>
      <c r="AP1024" s="235">
        <v>106</v>
      </c>
      <c r="AQ1024" s="242">
        <v>42110</v>
      </c>
      <c r="AR1024" s="136">
        <v>133</v>
      </c>
      <c r="AS1024" s="297">
        <f t="shared" si="554"/>
        <v>133</v>
      </c>
      <c r="AT1024" s="290">
        <v>42137</v>
      </c>
      <c r="AU1024" s="298"/>
      <c r="BF1024" s="282">
        <v>-1.3840500116348267</v>
      </c>
      <c r="BG1024" s="283">
        <v>42234</v>
      </c>
      <c r="BL1024" s="296">
        <v>63.874771118164063</v>
      </c>
      <c r="BM1024" s="283">
        <v>42234</v>
      </c>
      <c r="BP1024" s="282">
        <v>3.357914924621582</v>
      </c>
      <c r="BQ1024" s="283">
        <v>42234</v>
      </c>
      <c r="BR1024" s="282">
        <v>50.525516510009766</v>
      </c>
      <c r="BS1024" s="283">
        <v>42234</v>
      </c>
      <c r="BT1024" s="282">
        <v>15.715599060058594</v>
      </c>
      <c r="BU1024" s="283">
        <v>42234</v>
      </c>
      <c r="BV1024" s="282">
        <v>10.332758903503418</v>
      </c>
      <c r="BW1024" s="283">
        <v>42234</v>
      </c>
      <c r="BX1024" s="282">
        <v>5.250701904296875</v>
      </c>
      <c r="BY1024" s="283">
        <v>42234</v>
      </c>
      <c r="CB1024" s="267">
        <v>3.55</v>
      </c>
      <c r="CD1024" s="282">
        <v>7.4074074074074137</v>
      </c>
      <c r="CE1024" s="291" t="s">
        <v>8399</v>
      </c>
      <c r="CH1024" s="136">
        <v>2</v>
      </c>
      <c r="CI1024" s="136">
        <v>4</v>
      </c>
      <c r="CL1024" s="136">
        <v>1</v>
      </c>
      <c r="CM1024" s="259">
        <v>42161</v>
      </c>
      <c r="CN1024" s="137" t="s">
        <v>8406</v>
      </c>
    </row>
    <row r="1025" spans="1:92">
      <c r="A1025" s="258">
        <v>1701</v>
      </c>
      <c r="B1025" s="235">
        <v>825</v>
      </c>
      <c r="C1025" s="235" t="s">
        <v>7576</v>
      </c>
      <c r="D1025" s="235"/>
      <c r="E1025" s="235"/>
      <c r="F1025" s="235"/>
      <c r="G1025" s="235"/>
      <c r="H1025" s="235" t="s">
        <v>267</v>
      </c>
      <c r="I1025" s="235">
        <v>2</v>
      </c>
      <c r="K1025" s="235">
        <v>52</v>
      </c>
      <c r="L1025" s="235">
        <f t="shared" si="540"/>
        <v>124</v>
      </c>
      <c r="M1025" s="235">
        <v>12</v>
      </c>
      <c r="O1025" s="248">
        <v>42048</v>
      </c>
      <c r="V1025" s="219"/>
      <c r="X1025">
        <v>15.55</v>
      </c>
      <c r="AB1025" s="220"/>
      <c r="AD1025" s="221"/>
      <c r="AF1025" s="220"/>
      <c r="AH1025" s="220"/>
      <c r="AJ1025" s="286"/>
      <c r="AK1025" s="285"/>
      <c r="AL1025" s="260"/>
      <c r="AN1025" s="235">
        <v>70</v>
      </c>
      <c r="AO1025" s="242">
        <v>42074</v>
      </c>
      <c r="AP1025" s="235">
        <v>106</v>
      </c>
      <c r="AQ1025" s="242">
        <v>42110</v>
      </c>
      <c r="AS1025" s="297"/>
      <c r="AT1025" s="290"/>
      <c r="AU1025" s="298"/>
      <c r="BF1025" s="282"/>
      <c r="BG1025" s="235"/>
      <c r="BL1025" s="296"/>
      <c r="BM1025" s="235"/>
      <c r="BP1025" s="282"/>
      <c r="BQ1025" s="235"/>
      <c r="BR1025" s="282"/>
      <c r="BS1025" s="235"/>
      <c r="BT1025" s="282"/>
      <c r="BU1025" s="235"/>
      <c r="BV1025" s="282"/>
      <c r="BW1025" s="235"/>
      <c r="BX1025" s="282"/>
      <c r="BY1025" s="235"/>
      <c r="CB1025" s="267"/>
      <c r="CD1025" s="282"/>
      <c r="CE1025" s="291"/>
      <c r="CL1025" s="136">
        <v>2</v>
      </c>
      <c r="CM1025" s="259">
        <v>42161</v>
      </c>
    </row>
    <row r="1026" spans="1:92">
      <c r="A1026" s="258">
        <v>1702</v>
      </c>
      <c r="B1026" s="235">
        <v>826</v>
      </c>
      <c r="C1026" s="235" t="s">
        <v>7576</v>
      </c>
      <c r="D1026" s="235"/>
      <c r="E1026" s="235"/>
      <c r="F1026" s="235"/>
      <c r="G1026" s="235"/>
      <c r="H1026" s="235" t="s">
        <v>267</v>
      </c>
      <c r="I1026" s="235">
        <v>2</v>
      </c>
      <c r="K1026" s="235">
        <v>51</v>
      </c>
      <c r="L1026" s="235">
        <f t="shared" si="540"/>
        <v>123</v>
      </c>
      <c r="M1026" s="235">
        <v>12</v>
      </c>
      <c r="O1026" s="248">
        <v>42048</v>
      </c>
      <c r="V1026" s="219"/>
      <c r="X1026">
        <v>15.55</v>
      </c>
      <c r="AB1026" s="220"/>
      <c r="AD1026" s="221"/>
      <c r="AF1026" s="220"/>
      <c r="AH1026" s="220"/>
      <c r="AJ1026" s="286"/>
      <c r="AK1026" s="285"/>
      <c r="AL1026" s="260"/>
      <c r="AN1026" s="235">
        <v>70</v>
      </c>
      <c r="AO1026" s="242">
        <v>42074</v>
      </c>
      <c r="AP1026" s="235">
        <v>106</v>
      </c>
      <c r="AQ1026" s="242">
        <v>42110</v>
      </c>
      <c r="AS1026" s="297"/>
      <c r="AT1026" s="290"/>
      <c r="AU1026" s="298"/>
      <c r="BF1026" s="282"/>
      <c r="BG1026" s="235"/>
      <c r="BL1026" s="296"/>
      <c r="BM1026" s="235"/>
      <c r="BP1026" s="282"/>
      <c r="BQ1026" s="235"/>
      <c r="BR1026" s="282"/>
      <c r="BS1026" s="235"/>
      <c r="BT1026" s="282"/>
      <c r="BU1026" s="235"/>
      <c r="BV1026" s="282"/>
      <c r="BW1026" s="235"/>
      <c r="BX1026" s="282"/>
      <c r="BY1026" s="235"/>
      <c r="CB1026" s="267"/>
      <c r="CD1026" s="282"/>
      <c r="CE1026" s="291"/>
      <c r="CL1026" s="136">
        <v>2</v>
      </c>
      <c r="CM1026" s="259">
        <v>42161</v>
      </c>
    </row>
    <row r="1027" spans="1:92">
      <c r="A1027" s="258">
        <v>1704</v>
      </c>
      <c r="B1027" s="235">
        <v>828</v>
      </c>
      <c r="C1027" s="235" t="s">
        <v>7684</v>
      </c>
      <c r="D1027" s="235" t="s">
        <v>7511</v>
      </c>
      <c r="E1027" s="235" t="s">
        <v>7684</v>
      </c>
      <c r="F1027" s="235" t="s">
        <v>8451</v>
      </c>
      <c r="G1027" s="235" t="str">
        <f t="shared" ref="G1027:G1038" si="555">IF(MID(C1027,1,3)="BGA","Complement","Rapsodyn")</f>
        <v>Rapsodyn</v>
      </c>
      <c r="H1027" s="235" t="s">
        <v>267</v>
      </c>
      <c r="I1027" s="235">
        <v>2</v>
      </c>
      <c r="J1027" s="235">
        <v>9066</v>
      </c>
      <c r="K1027" s="235">
        <v>49</v>
      </c>
      <c r="L1027" s="235">
        <f t="shared" si="540"/>
        <v>121</v>
      </c>
      <c r="M1027" s="235">
        <v>12</v>
      </c>
      <c r="N1027" s="235">
        <v>7</v>
      </c>
      <c r="O1027" s="248">
        <v>42048</v>
      </c>
      <c r="P1027" s="136">
        <v>5.75</v>
      </c>
      <c r="Q1027" s="264">
        <v>42204</v>
      </c>
      <c r="V1027" s="219">
        <f t="shared" ref="V1027:V1038" si="556">+BR1027*AF1027/100</f>
        <v>17.38285698062737</v>
      </c>
      <c r="X1027">
        <v>15.55</v>
      </c>
      <c r="AB1027" s="220">
        <f t="shared" ref="AB1027:AB1038" si="557">+AF1027*BT1027/100</f>
        <v>5.6821301461799347</v>
      </c>
      <c r="AD1027" s="221">
        <f t="shared" ref="AD1027:AD1038" si="558">+(AF1027/AJ1027)*10000</f>
        <v>68868.722478337775</v>
      </c>
      <c r="AF1027" s="220">
        <f t="shared" ref="AF1027:AF1038" si="559">($P1027/$X1027)*(((100-$CD1027)/100*(100-2)/100))*100</f>
        <v>34.296623794212216</v>
      </c>
      <c r="AH1027" s="220">
        <f t="shared" ref="AH1027:AH1038" si="560">($P1027/$X1027)*(((100-$CD1027)/(100-9)*(100-2)/(100-2))*100)</f>
        <v>38.457752628629976</v>
      </c>
      <c r="AJ1027">
        <v>4.9800000000000004</v>
      </c>
      <c r="AK1027" s="285" t="s">
        <v>8399</v>
      </c>
      <c r="AL1027" s="260">
        <v>165</v>
      </c>
      <c r="AN1027" s="235">
        <v>72</v>
      </c>
      <c r="AO1027" s="242">
        <v>42076</v>
      </c>
      <c r="AP1027" s="235">
        <v>106</v>
      </c>
      <c r="AQ1027" s="242">
        <v>42110</v>
      </c>
      <c r="AR1027" s="136">
        <v>126</v>
      </c>
      <c r="AS1027" s="297">
        <f t="shared" ref="AS1027:AS1038" si="561">IF(AR1027=0,,AR1027)</f>
        <v>126</v>
      </c>
      <c r="AT1027" s="290">
        <v>42130</v>
      </c>
      <c r="AU1027" s="298"/>
      <c r="BF1027" s="282">
        <v>-0.16778199374675751</v>
      </c>
      <c r="BG1027" s="283">
        <v>42234</v>
      </c>
      <c r="BL1027" s="296">
        <v>63.075984954833984</v>
      </c>
      <c r="BM1027" s="283">
        <v>42234</v>
      </c>
      <c r="BP1027" s="282">
        <v>3.4017469882965088</v>
      </c>
      <c r="BQ1027" s="283">
        <v>42234</v>
      </c>
      <c r="BR1027" s="282">
        <v>50.683872222900391</v>
      </c>
      <c r="BS1027" s="283">
        <v>42234</v>
      </c>
      <c r="BT1027" s="282">
        <v>16.567607879638672</v>
      </c>
      <c r="BU1027" s="283">
        <v>42234</v>
      </c>
      <c r="BV1027" s="282">
        <v>12.193429946899414</v>
      </c>
      <c r="BW1027" s="283">
        <v>42234</v>
      </c>
      <c r="BX1027" s="282">
        <v>5.2350692749023437</v>
      </c>
      <c r="BY1027" s="283">
        <v>42234</v>
      </c>
      <c r="CB1027" s="267">
        <v>2.91</v>
      </c>
      <c r="CD1027" s="282">
        <v>5.3571428571428541</v>
      </c>
      <c r="CE1027" s="291" t="s">
        <v>8399</v>
      </c>
      <c r="CH1027" s="136">
        <v>2</v>
      </c>
      <c r="CI1027" s="136">
        <v>3</v>
      </c>
      <c r="CL1027" s="136">
        <v>1</v>
      </c>
      <c r="CM1027" s="259">
        <v>42161</v>
      </c>
      <c r="CN1027" s="137" t="s">
        <v>8406</v>
      </c>
    </row>
    <row r="1028" spans="1:92">
      <c r="A1028" s="258">
        <v>1705</v>
      </c>
      <c r="B1028" s="235">
        <v>829</v>
      </c>
      <c r="C1028" s="235" t="s">
        <v>7793</v>
      </c>
      <c r="D1028" s="235" t="s">
        <v>7591</v>
      </c>
      <c r="E1028" s="235" t="s">
        <v>7793</v>
      </c>
      <c r="F1028" s="235" t="s">
        <v>8450</v>
      </c>
      <c r="G1028" s="235" t="str">
        <f t="shared" si="555"/>
        <v>Rapsodyn</v>
      </c>
      <c r="H1028" s="235" t="s">
        <v>267</v>
      </c>
      <c r="I1028" s="235">
        <v>2</v>
      </c>
      <c r="J1028" s="235">
        <v>9164</v>
      </c>
      <c r="K1028" s="235">
        <v>48</v>
      </c>
      <c r="L1028" s="235">
        <f t="shared" si="540"/>
        <v>120</v>
      </c>
      <c r="M1028" s="235">
        <v>12</v>
      </c>
      <c r="N1028" s="235">
        <v>7</v>
      </c>
      <c r="O1028" s="248">
        <v>42048</v>
      </c>
      <c r="P1028" s="136">
        <v>7</v>
      </c>
      <c r="Q1028" s="264">
        <v>42204</v>
      </c>
      <c r="V1028" s="219">
        <f t="shared" si="556"/>
        <v>21.357583465233652</v>
      </c>
      <c r="X1028">
        <v>15.55</v>
      </c>
      <c r="AB1028" s="220">
        <f t="shared" si="557"/>
        <v>5.8541990766506187</v>
      </c>
      <c r="AD1028" s="221">
        <f t="shared" si="558"/>
        <v>93332.413355359124</v>
      </c>
      <c r="AF1028" s="220">
        <f t="shared" si="559"/>
        <v>40.786264636291939</v>
      </c>
      <c r="AH1028" s="220">
        <f t="shared" si="560"/>
        <v>45.734766356012493</v>
      </c>
      <c r="AJ1028">
        <v>4.37</v>
      </c>
      <c r="AK1028" s="285" t="s">
        <v>8399</v>
      </c>
      <c r="AL1028" s="260">
        <v>165</v>
      </c>
      <c r="AN1028" s="235">
        <v>75</v>
      </c>
      <c r="AO1028" s="242">
        <v>42079</v>
      </c>
      <c r="AP1028" s="235">
        <v>104</v>
      </c>
      <c r="AQ1028" s="242">
        <v>42108</v>
      </c>
      <c r="AR1028" s="136">
        <v>131</v>
      </c>
      <c r="AS1028" s="297">
        <f t="shared" si="561"/>
        <v>131</v>
      </c>
      <c r="AT1028" s="290">
        <v>42135</v>
      </c>
      <c r="AU1028" s="298"/>
      <c r="BF1028" s="282">
        <v>-0.10809899866580963</v>
      </c>
      <c r="BG1028" s="283">
        <v>42234</v>
      </c>
      <c r="BL1028" s="296">
        <v>62.944114685058594</v>
      </c>
      <c r="BM1028" s="283">
        <v>42234</v>
      </c>
      <c r="BP1028" s="282">
        <v>3.4005529880523682</v>
      </c>
      <c r="BQ1028" s="283">
        <v>42234</v>
      </c>
      <c r="BR1028" s="282">
        <v>52.364646911621094</v>
      </c>
      <c r="BS1028" s="283">
        <v>42234</v>
      </c>
      <c r="BT1028" s="282">
        <v>14.353359222412109</v>
      </c>
      <c r="BU1028" s="283">
        <v>42234</v>
      </c>
      <c r="BV1028" s="282">
        <v>11.284564018249512</v>
      </c>
      <c r="BW1028" s="283">
        <v>42234</v>
      </c>
      <c r="BX1028" s="282">
        <v>5.050079345703125</v>
      </c>
      <c r="BY1028" s="283">
        <v>42234</v>
      </c>
      <c r="CB1028" s="267">
        <v>3.41</v>
      </c>
      <c r="CD1028" s="282">
        <v>7.547169811320745</v>
      </c>
      <c r="CE1028" s="291" t="s">
        <v>8399</v>
      </c>
      <c r="CH1028" s="136">
        <v>3</v>
      </c>
      <c r="CI1028" s="136">
        <v>3</v>
      </c>
      <c r="CL1028" s="136">
        <v>1</v>
      </c>
      <c r="CM1028" s="259">
        <v>42161</v>
      </c>
      <c r="CN1028" s="137" t="s">
        <v>8406</v>
      </c>
    </row>
    <row r="1029" spans="1:92">
      <c r="A1029" s="258">
        <v>1706</v>
      </c>
      <c r="B1029" s="235">
        <v>830</v>
      </c>
      <c r="C1029" s="235" t="s">
        <v>7715</v>
      </c>
      <c r="D1029" s="235" t="s">
        <v>7539</v>
      </c>
      <c r="E1029" s="235" t="s">
        <v>7715</v>
      </c>
      <c r="F1029" s="235" t="s">
        <v>8449</v>
      </c>
      <c r="G1029" s="235" t="str">
        <f t="shared" si="555"/>
        <v>Rapsodyn</v>
      </c>
      <c r="H1029" s="235" t="s">
        <v>267</v>
      </c>
      <c r="I1029" s="235">
        <v>2</v>
      </c>
      <c r="J1029" s="235">
        <v>9097</v>
      </c>
      <c r="K1029" s="235">
        <v>47</v>
      </c>
      <c r="L1029" s="235">
        <f t="shared" si="540"/>
        <v>119</v>
      </c>
      <c r="M1029" s="235">
        <v>12</v>
      </c>
      <c r="N1029" s="235">
        <v>7</v>
      </c>
      <c r="O1029" s="248">
        <v>42048</v>
      </c>
      <c r="P1029" s="136">
        <v>5.99</v>
      </c>
      <c r="Q1029" s="264">
        <v>42204</v>
      </c>
      <c r="V1029" s="219">
        <f t="shared" si="556"/>
        <v>17.234985686017001</v>
      </c>
      <c r="X1029">
        <v>15.55</v>
      </c>
      <c r="AB1029" s="220">
        <f t="shared" si="557"/>
        <v>5.3311388424907076</v>
      </c>
      <c r="AD1029" s="221">
        <f t="shared" si="558"/>
        <v>71624.799035369768</v>
      </c>
      <c r="AF1029" s="220">
        <f t="shared" si="559"/>
        <v>34.379903536977487</v>
      </c>
      <c r="AH1029" s="220">
        <f t="shared" si="560"/>
        <v>38.551136507039125</v>
      </c>
      <c r="AJ1029">
        <v>4.8</v>
      </c>
      <c r="AK1029" s="285" t="s">
        <v>8399</v>
      </c>
      <c r="AL1029" s="260">
        <v>180</v>
      </c>
      <c r="AN1029" s="235">
        <v>70</v>
      </c>
      <c r="AO1029" s="242">
        <v>42074</v>
      </c>
      <c r="AP1029" s="235">
        <v>104</v>
      </c>
      <c r="AQ1029" s="242">
        <v>42108</v>
      </c>
      <c r="AR1029" s="136">
        <v>136</v>
      </c>
      <c r="AS1029" s="297">
        <f t="shared" si="561"/>
        <v>136</v>
      </c>
      <c r="AT1029" s="290">
        <v>42140</v>
      </c>
      <c r="AU1029" s="298"/>
      <c r="BF1029" s="282">
        <v>-1.4488450288772583</v>
      </c>
      <c r="BG1029" s="283">
        <v>42234</v>
      </c>
      <c r="BL1029" s="296">
        <v>60.207618713378906</v>
      </c>
      <c r="BM1029" s="283">
        <v>42234</v>
      </c>
      <c r="BP1029" s="282">
        <v>4.2512660026550293</v>
      </c>
      <c r="BQ1029" s="283">
        <v>42234</v>
      </c>
      <c r="BR1029" s="282">
        <v>50.130989074707031</v>
      </c>
      <c r="BS1029" s="283">
        <v>42234</v>
      </c>
      <c r="BT1029" s="282">
        <v>15.506555557250977</v>
      </c>
      <c r="BU1029" s="283">
        <v>42234</v>
      </c>
      <c r="BV1029" s="282">
        <v>8.4114875793457031</v>
      </c>
      <c r="BW1029" s="283">
        <v>42234</v>
      </c>
      <c r="BX1029" s="282">
        <v>5.2765731811523437</v>
      </c>
      <c r="BY1029" s="283">
        <v>42234</v>
      </c>
      <c r="CB1029" s="267">
        <v>2.97</v>
      </c>
      <c r="CD1029" s="282">
        <v>8.9285714285714288</v>
      </c>
      <c r="CE1029" s="291" t="s">
        <v>8399</v>
      </c>
      <c r="CH1029" s="136">
        <v>2</v>
      </c>
      <c r="CI1029" s="136">
        <v>4</v>
      </c>
      <c r="CL1029" s="136">
        <v>2</v>
      </c>
      <c r="CM1029" s="259">
        <v>42161</v>
      </c>
      <c r="CN1029" s="137" t="s">
        <v>8406</v>
      </c>
    </row>
    <row r="1030" spans="1:92">
      <c r="A1030" s="258">
        <v>1707</v>
      </c>
      <c r="B1030" s="235">
        <v>831</v>
      </c>
      <c r="C1030" s="235" t="s">
        <v>7771</v>
      </c>
      <c r="D1030" s="235" t="s">
        <v>7569</v>
      </c>
      <c r="E1030" s="235" t="s">
        <v>7771</v>
      </c>
      <c r="F1030" s="235" t="s">
        <v>8448</v>
      </c>
      <c r="G1030" s="235" t="str">
        <f t="shared" si="555"/>
        <v>Rapsodyn</v>
      </c>
      <c r="H1030" s="235" t="s">
        <v>267</v>
      </c>
      <c r="I1030" s="235">
        <v>2</v>
      </c>
      <c r="J1030" s="235">
        <v>9142</v>
      </c>
      <c r="K1030" s="235">
        <v>46</v>
      </c>
      <c r="L1030" s="235">
        <f t="shared" si="540"/>
        <v>118</v>
      </c>
      <c r="M1030" s="235">
        <v>12</v>
      </c>
      <c r="N1030" s="235">
        <v>5</v>
      </c>
      <c r="O1030" s="248">
        <v>42048</v>
      </c>
      <c r="P1030" s="136">
        <v>6.82</v>
      </c>
      <c r="Q1030" s="264">
        <v>42204</v>
      </c>
      <c r="V1030" s="219">
        <f t="shared" si="556"/>
        <v>21.608997945814821</v>
      </c>
      <c r="X1030">
        <v>15.55</v>
      </c>
      <c r="AB1030" s="220">
        <f t="shared" si="557"/>
        <v>6.072774492793271</v>
      </c>
      <c r="AD1030" s="221">
        <f t="shared" si="558"/>
        <v>102508.83251955062</v>
      </c>
      <c r="AF1030" s="220">
        <f t="shared" si="559"/>
        <v>40.593497677742043</v>
      </c>
      <c r="AH1030" s="220">
        <f t="shared" si="560"/>
        <v>45.518611435010143</v>
      </c>
      <c r="AJ1030">
        <v>3.96</v>
      </c>
      <c r="AK1030" s="285" t="s">
        <v>8401</v>
      </c>
      <c r="AL1030" s="260">
        <v>175</v>
      </c>
      <c r="AN1030" s="235">
        <v>72</v>
      </c>
      <c r="AO1030" s="242">
        <v>42076</v>
      </c>
      <c r="AP1030" s="235">
        <v>104</v>
      </c>
      <c r="AQ1030" s="242">
        <v>42108</v>
      </c>
      <c r="AR1030" s="136">
        <v>130</v>
      </c>
      <c r="AS1030" s="297">
        <f t="shared" si="561"/>
        <v>130</v>
      </c>
      <c r="AT1030" s="290">
        <v>42134</v>
      </c>
      <c r="AU1030" s="298"/>
      <c r="BF1030" s="282">
        <v>-6.296658992767334</v>
      </c>
      <c r="BG1030" s="283">
        <v>42234</v>
      </c>
      <c r="BL1030" s="296">
        <v>66.583045959472656</v>
      </c>
      <c r="BM1030" s="283">
        <v>42234</v>
      </c>
      <c r="BP1030" s="282">
        <v>3.4471650123596191</v>
      </c>
      <c r="BQ1030" s="283">
        <v>42234</v>
      </c>
      <c r="BR1030" s="282">
        <v>53.232658386230469</v>
      </c>
      <c r="BS1030" s="283">
        <v>42234</v>
      </c>
      <c r="BT1030" s="282">
        <v>14.959968566894531</v>
      </c>
      <c r="BU1030" s="283">
        <v>42234</v>
      </c>
      <c r="BV1030" s="282">
        <v>7.8692159652709961</v>
      </c>
      <c r="BW1030" s="283">
        <v>42234</v>
      </c>
      <c r="BX1030" s="282">
        <v>5.225311279296875</v>
      </c>
      <c r="BY1030" s="283">
        <v>42234</v>
      </c>
      <c r="CB1030" s="267">
        <v>3.14</v>
      </c>
      <c r="CD1030" s="282">
        <v>5.5555555555555687</v>
      </c>
      <c r="CE1030" s="291" t="s">
        <v>8401</v>
      </c>
      <c r="CH1030" s="136">
        <v>1</v>
      </c>
      <c r="CI1030" s="136">
        <v>2</v>
      </c>
      <c r="CL1030" s="136">
        <v>1</v>
      </c>
      <c r="CM1030" s="259">
        <v>42161</v>
      </c>
      <c r="CN1030" s="137" t="s">
        <v>8406</v>
      </c>
    </row>
    <row r="1031" spans="1:92">
      <c r="A1031" s="258">
        <v>1708</v>
      </c>
      <c r="B1031" s="235">
        <v>832</v>
      </c>
      <c r="C1031" s="235" t="s">
        <v>7778</v>
      </c>
      <c r="D1031" s="235" t="s">
        <v>7576</v>
      </c>
      <c r="E1031" s="235" t="s">
        <v>7778</v>
      </c>
      <c r="F1031" s="235" t="s">
        <v>8447</v>
      </c>
      <c r="G1031" s="235" t="str">
        <f t="shared" si="555"/>
        <v>Rapsodyn</v>
      </c>
      <c r="H1031" s="235" t="s">
        <v>267</v>
      </c>
      <c r="I1031" s="235">
        <v>2</v>
      </c>
      <c r="J1031" s="235">
        <v>9149</v>
      </c>
      <c r="K1031" s="235">
        <v>45</v>
      </c>
      <c r="L1031" s="235">
        <f t="shared" si="540"/>
        <v>117</v>
      </c>
      <c r="M1031" s="235">
        <v>12</v>
      </c>
      <c r="N1031" s="235">
        <v>7</v>
      </c>
      <c r="O1031" s="248">
        <v>42048</v>
      </c>
      <c r="P1031" s="136">
        <v>7.11</v>
      </c>
      <c r="Q1031" s="264">
        <v>42204</v>
      </c>
      <c r="V1031" s="219">
        <f t="shared" si="556"/>
        <v>22.155725391704767</v>
      </c>
      <c r="X1031">
        <v>15.55</v>
      </c>
      <c r="AB1031" s="220">
        <f t="shared" si="557"/>
        <v>6.5129423648876106</v>
      </c>
      <c r="AD1031" s="221">
        <f t="shared" si="558"/>
        <v>88356.757036310635</v>
      </c>
      <c r="AF1031" s="220">
        <f t="shared" si="559"/>
        <v>43.118097433719583</v>
      </c>
      <c r="AH1031" s="220">
        <f t="shared" si="560"/>
        <v>48.349514951468478</v>
      </c>
      <c r="AJ1031">
        <v>4.88</v>
      </c>
      <c r="AK1031" s="285" t="s">
        <v>8401</v>
      </c>
      <c r="AL1031" s="260">
        <v>175</v>
      </c>
      <c r="AN1031" s="235">
        <v>70</v>
      </c>
      <c r="AO1031" s="242">
        <v>42074</v>
      </c>
      <c r="AP1031" s="235">
        <v>104</v>
      </c>
      <c r="AQ1031" s="242">
        <v>42108</v>
      </c>
      <c r="AR1031" s="136">
        <v>131</v>
      </c>
      <c r="AS1031" s="297">
        <f t="shared" si="561"/>
        <v>131</v>
      </c>
      <c r="AT1031" s="290">
        <v>42135</v>
      </c>
      <c r="AU1031" s="298"/>
      <c r="BF1031" s="282">
        <v>-2.6048181056976318</v>
      </c>
      <c r="BG1031" s="283">
        <v>42234</v>
      </c>
      <c r="BL1031" s="296">
        <v>66.471046447753906</v>
      </c>
      <c r="BM1031" s="283">
        <v>42234</v>
      </c>
      <c r="BP1031" s="282">
        <v>3.0100638866424561</v>
      </c>
      <c r="BQ1031" s="283">
        <v>42234</v>
      </c>
      <c r="BR1031" s="282">
        <v>51.383819580078125</v>
      </c>
      <c r="BS1031" s="283">
        <v>42234</v>
      </c>
      <c r="BT1031" s="282">
        <v>15.104892730712891</v>
      </c>
      <c r="BU1031" s="283">
        <v>42234</v>
      </c>
      <c r="BV1031" s="282">
        <v>11.420913696289063</v>
      </c>
      <c r="BW1031" s="283">
        <v>42234</v>
      </c>
      <c r="BX1031" s="282">
        <v>5.2464370727539062</v>
      </c>
      <c r="BY1031" s="283">
        <v>42234</v>
      </c>
      <c r="CB1031" s="267">
        <v>2.95</v>
      </c>
      <c r="CD1031" s="282">
        <v>3.7735849056603805</v>
      </c>
      <c r="CE1031" s="291" t="s">
        <v>8401</v>
      </c>
      <c r="CH1031" s="136">
        <v>1</v>
      </c>
      <c r="CI1031" s="136">
        <v>3</v>
      </c>
      <c r="CL1031" s="136">
        <v>2</v>
      </c>
      <c r="CM1031" s="259">
        <v>42161</v>
      </c>
      <c r="CN1031" s="137" t="s">
        <v>8406</v>
      </c>
    </row>
    <row r="1032" spans="1:92">
      <c r="A1032" s="258">
        <v>1709</v>
      </c>
      <c r="B1032" s="235">
        <v>833</v>
      </c>
      <c r="C1032" s="235" t="s">
        <v>7723</v>
      </c>
      <c r="D1032" s="235" t="s">
        <v>7547</v>
      </c>
      <c r="E1032" s="235" t="s">
        <v>7723</v>
      </c>
      <c r="F1032" s="235" t="s">
        <v>8446</v>
      </c>
      <c r="G1032" s="235" t="str">
        <f t="shared" si="555"/>
        <v>Rapsodyn</v>
      </c>
      <c r="H1032" s="235" t="s">
        <v>267</v>
      </c>
      <c r="I1032" s="235">
        <v>2</v>
      </c>
      <c r="J1032" s="235">
        <v>9105</v>
      </c>
      <c r="K1032" s="235">
        <v>44</v>
      </c>
      <c r="L1032" s="235">
        <f t="shared" si="540"/>
        <v>116</v>
      </c>
      <c r="M1032" s="235">
        <v>12</v>
      </c>
      <c r="N1032" s="235">
        <v>5</v>
      </c>
      <c r="O1032" s="248">
        <v>42048</v>
      </c>
      <c r="P1032" s="136">
        <v>5.25</v>
      </c>
      <c r="Q1032" s="264">
        <v>42204</v>
      </c>
      <c r="V1032" s="219">
        <f t="shared" si="556"/>
        <v>15.293134467367191</v>
      </c>
      <c r="X1032">
        <v>15.55</v>
      </c>
      <c r="AB1032" s="220">
        <f t="shared" si="557"/>
        <v>5.5370765125544503</v>
      </c>
      <c r="AD1032" s="221">
        <f t="shared" si="558"/>
        <v>69570.35098851427</v>
      </c>
      <c r="AF1032" s="220">
        <f t="shared" si="559"/>
        <v>31.376228295819935</v>
      </c>
      <c r="AH1032" s="220">
        <f t="shared" si="560"/>
        <v>35.183032401681913</v>
      </c>
      <c r="AJ1032" s="287">
        <v>4.51</v>
      </c>
      <c r="AK1032" s="285" t="s">
        <v>8399</v>
      </c>
      <c r="AL1032" s="260">
        <v>165</v>
      </c>
      <c r="AN1032" s="235">
        <v>75</v>
      </c>
      <c r="AO1032" s="242">
        <v>42079</v>
      </c>
      <c r="AP1032" s="235">
        <v>106</v>
      </c>
      <c r="AQ1032" s="242">
        <v>42110</v>
      </c>
      <c r="AR1032" s="136">
        <v>127</v>
      </c>
      <c r="AS1032" s="297">
        <f t="shared" si="561"/>
        <v>127</v>
      </c>
      <c r="AT1032" s="290">
        <v>42131</v>
      </c>
      <c r="AU1032" s="298"/>
      <c r="BF1032" s="282">
        <v>-3.9307379722595215</v>
      </c>
      <c r="BG1032" s="283">
        <v>42234</v>
      </c>
      <c r="BL1032" s="296">
        <v>61.512470245361328</v>
      </c>
      <c r="BM1032" s="283">
        <v>42234</v>
      </c>
      <c r="BP1032" s="282">
        <v>3.2038741111755371</v>
      </c>
      <c r="BQ1032" s="283">
        <v>42234</v>
      </c>
      <c r="BR1032" s="282">
        <v>48.74114990234375</v>
      </c>
      <c r="BS1032" s="283">
        <v>42234</v>
      </c>
      <c r="BT1032" s="282">
        <v>17.647361755371094</v>
      </c>
      <c r="BU1032" s="283">
        <v>42234</v>
      </c>
      <c r="BV1032" s="282">
        <v>14.458610534667969</v>
      </c>
      <c r="BW1032" s="283">
        <v>42234</v>
      </c>
      <c r="BX1032" s="282">
        <v>5.268035888671875</v>
      </c>
      <c r="BY1032" s="283">
        <v>42234</v>
      </c>
      <c r="CB1032" s="267">
        <v>2.77</v>
      </c>
      <c r="CD1032" s="282">
        <v>5.17</v>
      </c>
      <c r="CE1032" s="291">
        <v>42255</v>
      </c>
      <c r="CH1032" s="136">
        <v>2</v>
      </c>
      <c r="CI1032" s="136">
        <v>6</v>
      </c>
      <c r="CL1032" s="136">
        <v>2</v>
      </c>
      <c r="CM1032" s="259">
        <v>42161</v>
      </c>
      <c r="CN1032" s="137" t="s">
        <v>8406</v>
      </c>
    </row>
    <row r="1033" spans="1:92">
      <c r="A1033" s="258">
        <v>1712</v>
      </c>
      <c r="B1033" s="235">
        <v>836</v>
      </c>
      <c r="C1033" s="235" t="s">
        <v>7661</v>
      </c>
      <c r="D1033" s="235" t="s">
        <v>7491</v>
      </c>
      <c r="E1033" s="235" t="s">
        <v>7661</v>
      </c>
      <c r="F1033" s="235" t="s">
        <v>8445</v>
      </c>
      <c r="G1033" s="235" t="str">
        <f t="shared" si="555"/>
        <v>Rapsodyn</v>
      </c>
      <c r="H1033" s="235" t="s">
        <v>267</v>
      </c>
      <c r="I1033" s="235">
        <v>2</v>
      </c>
      <c r="J1033" s="235">
        <v>9044</v>
      </c>
      <c r="K1033" s="235">
        <v>41</v>
      </c>
      <c r="L1033" s="235">
        <f t="shared" ref="L1033:L1061" si="562">72+K1033</f>
        <v>113</v>
      </c>
      <c r="M1033" s="235">
        <v>12</v>
      </c>
      <c r="N1033" s="235">
        <v>5</v>
      </c>
      <c r="O1033" s="248">
        <v>42048</v>
      </c>
      <c r="P1033" s="136">
        <v>4.6399999999999997</v>
      </c>
      <c r="Q1033" s="264">
        <v>42204</v>
      </c>
      <c r="V1033" s="219">
        <f t="shared" si="556"/>
        <v>13.314894580235126</v>
      </c>
      <c r="X1033">
        <v>15.55</v>
      </c>
      <c r="AB1033" s="220">
        <f t="shared" si="557"/>
        <v>4.9517497317807289</v>
      </c>
      <c r="AD1033" s="221">
        <f t="shared" si="558"/>
        <v>72375.396190146785</v>
      </c>
      <c r="AF1033" s="220">
        <f t="shared" si="559"/>
        <v>27.647401344636069</v>
      </c>
      <c r="AH1033" s="220">
        <f t="shared" si="560"/>
        <v>31.001795632020713</v>
      </c>
      <c r="AJ1033">
        <v>3.82</v>
      </c>
      <c r="AK1033" s="285" t="s">
        <v>8399</v>
      </c>
      <c r="AL1033" s="260">
        <v>170</v>
      </c>
      <c r="AN1033" s="235">
        <v>79</v>
      </c>
      <c r="AO1033" s="242">
        <v>42083</v>
      </c>
      <c r="AP1033" s="235">
        <v>113</v>
      </c>
      <c r="AQ1033" s="242">
        <v>42117</v>
      </c>
      <c r="AR1033" s="136">
        <v>138</v>
      </c>
      <c r="AS1033" s="297">
        <f t="shared" si="561"/>
        <v>138</v>
      </c>
      <c r="AT1033" s="290">
        <v>42142</v>
      </c>
      <c r="AU1033" s="298"/>
      <c r="BF1033" s="282">
        <v>0.81998801231384277</v>
      </c>
      <c r="BG1033" s="283">
        <v>42234</v>
      </c>
      <c r="BL1033" s="296">
        <v>61.710094451904297</v>
      </c>
      <c r="BM1033" s="283">
        <v>42234</v>
      </c>
      <c r="BP1033" s="282">
        <v>3.2471840381622314</v>
      </c>
      <c r="BQ1033" s="283">
        <v>42234</v>
      </c>
      <c r="BR1033" s="282">
        <v>48.159660339355469</v>
      </c>
      <c r="BS1033" s="283">
        <v>42234</v>
      </c>
      <c r="BT1033" s="282">
        <v>17.910362243652344</v>
      </c>
      <c r="BU1033" s="283">
        <v>42234</v>
      </c>
      <c r="BV1033" s="282">
        <v>15.764911651611328</v>
      </c>
      <c r="BW1033" s="283">
        <v>42234</v>
      </c>
      <c r="BX1033" s="282">
        <v>5.4307403564453125</v>
      </c>
      <c r="BY1033" s="283">
        <v>42234</v>
      </c>
      <c r="CB1033" s="267">
        <v>2.73</v>
      </c>
      <c r="CD1033" s="282">
        <v>5.4545454545454515</v>
      </c>
      <c r="CE1033" s="291" t="s">
        <v>8399</v>
      </c>
      <c r="CH1033" s="136">
        <v>3</v>
      </c>
      <c r="CI1033" s="136">
        <v>6</v>
      </c>
      <c r="CL1033" s="136">
        <v>3</v>
      </c>
      <c r="CM1033" s="259">
        <v>42161</v>
      </c>
      <c r="CN1033" s="137" t="s">
        <v>8406</v>
      </c>
    </row>
    <row r="1034" spans="1:92">
      <c r="A1034" s="258">
        <v>1713</v>
      </c>
      <c r="B1034" s="235">
        <v>837</v>
      </c>
      <c r="C1034" s="235" t="s">
        <v>7636</v>
      </c>
      <c r="D1034" s="235" t="s">
        <v>7469</v>
      </c>
      <c r="E1034" s="235" t="s">
        <v>7636</v>
      </c>
      <c r="F1034" s="235" t="s">
        <v>8444</v>
      </c>
      <c r="G1034" s="235" t="str">
        <f t="shared" si="555"/>
        <v>Rapsodyn</v>
      </c>
      <c r="H1034" s="235" t="s">
        <v>267</v>
      </c>
      <c r="I1034" s="235">
        <v>2</v>
      </c>
      <c r="J1034" s="235">
        <v>9024</v>
      </c>
      <c r="K1034" s="235">
        <v>40</v>
      </c>
      <c r="L1034" s="235">
        <f t="shared" si="562"/>
        <v>112</v>
      </c>
      <c r="M1034" s="235">
        <v>12</v>
      </c>
      <c r="N1034" s="235">
        <v>7</v>
      </c>
      <c r="O1034" s="248">
        <v>42048</v>
      </c>
      <c r="P1034" s="136">
        <v>4.28</v>
      </c>
      <c r="Q1034" s="264">
        <v>42204</v>
      </c>
      <c r="V1034" s="219">
        <f t="shared" si="556"/>
        <v>12.02109392638117</v>
      </c>
      <c r="X1034">
        <v>15.55</v>
      </c>
      <c r="AB1034" s="220">
        <f t="shared" si="557"/>
        <v>5.1779525135845326</v>
      </c>
      <c r="AD1034" s="221">
        <f t="shared" si="558"/>
        <v>56410.526539939638</v>
      </c>
      <c r="AF1034" s="220">
        <f t="shared" si="559"/>
        <v>25.553968522592658</v>
      </c>
      <c r="AH1034" s="220">
        <f t="shared" si="560"/>
        <v>28.65437152118486</v>
      </c>
      <c r="AJ1034">
        <v>4.53</v>
      </c>
      <c r="AK1034" s="285" t="s">
        <v>8400</v>
      </c>
      <c r="AL1034" s="260">
        <v>155</v>
      </c>
      <c r="AN1034" s="235">
        <v>75</v>
      </c>
      <c r="AO1034" s="242">
        <v>42079</v>
      </c>
      <c r="AP1034" s="235">
        <v>110</v>
      </c>
      <c r="AQ1034" s="242">
        <v>42114</v>
      </c>
      <c r="AR1034" s="136">
        <v>129</v>
      </c>
      <c r="AS1034" s="297">
        <f t="shared" si="561"/>
        <v>129</v>
      </c>
      <c r="AT1034" s="290">
        <v>42133</v>
      </c>
      <c r="AU1034" s="298"/>
      <c r="BF1034" s="282">
        <v>-4.2666378021240234</v>
      </c>
      <c r="BG1034" s="283">
        <v>42235</v>
      </c>
      <c r="BL1034" s="296">
        <v>64.455413818359375</v>
      </c>
      <c r="BM1034" s="283">
        <v>42235</v>
      </c>
      <c r="BP1034" s="282">
        <v>2.8671400547027588</v>
      </c>
      <c r="BQ1034" s="283">
        <v>42235</v>
      </c>
      <c r="BR1034" s="282">
        <v>47.041984558105469</v>
      </c>
      <c r="BS1034" s="283">
        <v>42235</v>
      </c>
      <c r="BT1034" s="282">
        <v>20.262811660766602</v>
      </c>
      <c r="BU1034" s="283">
        <v>42235</v>
      </c>
      <c r="BV1034" s="282">
        <v>59.336624145507813</v>
      </c>
      <c r="BW1034" s="283">
        <v>42235</v>
      </c>
      <c r="BX1034" s="282">
        <v>5.7415237426757812</v>
      </c>
      <c r="BY1034" s="283">
        <v>42235</v>
      </c>
      <c r="CB1034" s="267">
        <v>3.62</v>
      </c>
      <c r="CD1034" s="282">
        <v>5.2631578947368389</v>
      </c>
      <c r="CE1034" s="291" t="s">
        <v>8400</v>
      </c>
      <c r="CH1034" s="136">
        <v>2</v>
      </c>
      <c r="CI1034" s="136">
        <v>3</v>
      </c>
      <c r="CL1034" s="136">
        <v>2</v>
      </c>
      <c r="CM1034" s="259">
        <v>42161</v>
      </c>
      <c r="CN1034" s="137" t="s">
        <v>8406</v>
      </c>
    </row>
    <row r="1035" spans="1:92">
      <c r="A1035" s="258">
        <v>1716</v>
      </c>
      <c r="B1035" s="235">
        <v>840</v>
      </c>
      <c r="C1035" s="235" t="s">
        <v>7696</v>
      </c>
      <c r="D1035" s="235" t="s">
        <v>7522</v>
      </c>
      <c r="E1035" s="235" t="s">
        <v>7696</v>
      </c>
      <c r="F1035" s="235" t="s">
        <v>8443</v>
      </c>
      <c r="G1035" s="235" t="str">
        <f t="shared" si="555"/>
        <v>Rapsodyn</v>
      </c>
      <c r="H1035" s="235" t="s">
        <v>267</v>
      </c>
      <c r="I1035" s="235">
        <v>2</v>
      </c>
      <c r="J1035" s="235">
        <v>9078</v>
      </c>
      <c r="K1035" s="235">
        <v>37</v>
      </c>
      <c r="L1035" s="235">
        <f t="shared" si="562"/>
        <v>109</v>
      </c>
      <c r="M1035" s="235">
        <v>12</v>
      </c>
      <c r="N1035" s="235">
        <v>7</v>
      </c>
      <c r="O1035" s="248">
        <v>42048</v>
      </c>
      <c r="P1035" s="136">
        <v>6.26</v>
      </c>
      <c r="Q1035" s="264">
        <v>42204</v>
      </c>
      <c r="V1035" s="219">
        <f t="shared" si="556"/>
        <v>18.509960948843514</v>
      </c>
      <c r="X1035">
        <v>15.55</v>
      </c>
      <c r="AB1035" s="220">
        <f t="shared" si="557"/>
        <v>6.0813280430057537</v>
      </c>
      <c r="AD1035" s="221">
        <f t="shared" si="558"/>
        <v>81407.855624067743</v>
      </c>
      <c r="AF1035" s="220">
        <f t="shared" si="559"/>
        <v>38.01746857643964</v>
      </c>
      <c r="AH1035" s="220">
        <f t="shared" si="560"/>
        <v>42.63003877151786</v>
      </c>
      <c r="AJ1035">
        <v>4.67</v>
      </c>
      <c r="AK1035" s="285" t="s">
        <v>8400</v>
      </c>
      <c r="AL1035" s="260">
        <v>165</v>
      </c>
      <c r="AN1035" s="235">
        <v>70</v>
      </c>
      <c r="AO1035" s="242">
        <v>42074</v>
      </c>
      <c r="AP1035" s="235">
        <v>104</v>
      </c>
      <c r="AQ1035" s="242">
        <v>42108</v>
      </c>
      <c r="AR1035" s="136">
        <v>127</v>
      </c>
      <c r="AS1035" s="297">
        <f t="shared" si="561"/>
        <v>127</v>
      </c>
      <c r="AT1035" s="290">
        <v>42131</v>
      </c>
      <c r="AU1035" s="298"/>
      <c r="BF1035" s="282">
        <v>2.4367079734802246</v>
      </c>
      <c r="BG1035" s="283">
        <v>42235</v>
      </c>
      <c r="BL1035" s="296">
        <v>61.711631774902344</v>
      </c>
      <c r="BM1035" s="283">
        <v>42235</v>
      </c>
      <c r="BP1035" s="282">
        <v>2.6323890686035156</v>
      </c>
      <c r="BQ1035" s="283">
        <v>42235</v>
      </c>
      <c r="BR1035" s="282">
        <v>48.688041687011719</v>
      </c>
      <c r="BS1035" s="283">
        <v>42235</v>
      </c>
      <c r="BT1035" s="282">
        <v>15.99614143371582</v>
      </c>
      <c r="BU1035" s="283">
        <v>42235</v>
      </c>
      <c r="BV1035" s="282">
        <v>13.363693237304688</v>
      </c>
      <c r="BW1035" s="283">
        <v>42235</v>
      </c>
      <c r="BX1035" s="282">
        <v>5.39239501953125</v>
      </c>
      <c r="BY1035" s="283">
        <v>42235</v>
      </c>
      <c r="CB1035" s="267">
        <v>3.11</v>
      </c>
      <c r="CD1035" s="282">
        <v>3.6363636363636398</v>
      </c>
      <c r="CE1035" s="291" t="s">
        <v>8400</v>
      </c>
      <c r="CH1035" s="136">
        <v>2</v>
      </c>
      <c r="CI1035" s="136">
        <v>2</v>
      </c>
      <c r="CL1035" s="136">
        <v>2</v>
      </c>
      <c r="CM1035" s="259">
        <v>42161</v>
      </c>
      <c r="CN1035" s="137" t="s">
        <v>8406</v>
      </c>
    </row>
    <row r="1036" spans="1:92">
      <c r="A1036" s="258">
        <v>1719</v>
      </c>
      <c r="B1036" s="235">
        <v>843</v>
      </c>
      <c r="C1036" s="235" t="s">
        <v>7657</v>
      </c>
      <c r="D1036" s="235" t="s">
        <v>7487</v>
      </c>
      <c r="E1036" s="235" t="s">
        <v>7657</v>
      </c>
      <c r="F1036" s="235" t="s">
        <v>8442</v>
      </c>
      <c r="G1036" s="235" t="str">
        <f t="shared" si="555"/>
        <v>Rapsodyn</v>
      </c>
      <c r="H1036" s="235" t="s">
        <v>267</v>
      </c>
      <c r="I1036" s="235">
        <v>2</v>
      </c>
      <c r="J1036" s="235">
        <v>9040</v>
      </c>
      <c r="K1036" s="235">
        <v>34</v>
      </c>
      <c r="L1036" s="235">
        <f t="shared" si="562"/>
        <v>106</v>
      </c>
      <c r="M1036" s="235">
        <v>12</v>
      </c>
      <c r="N1036" s="235">
        <v>7</v>
      </c>
      <c r="O1036" s="248">
        <v>42048</v>
      </c>
      <c r="P1036" s="136">
        <v>5.55</v>
      </c>
      <c r="Q1036" s="264">
        <v>42204</v>
      </c>
      <c r="V1036" s="219">
        <f t="shared" si="556"/>
        <v>16.331546913465882</v>
      </c>
      <c r="X1036">
        <v>15.55</v>
      </c>
      <c r="AB1036" s="220">
        <f t="shared" si="557"/>
        <v>5.198220922402629</v>
      </c>
      <c r="AD1036" s="221">
        <f t="shared" si="558"/>
        <v>82131.326383375868</v>
      </c>
      <c r="AF1036" s="220">
        <f t="shared" si="559"/>
        <v>32.606136574200221</v>
      </c>
      <c r="AH1036" s="220">
        <f t="shared" si="560"/>
        <v>36.562162563579527</v>
      </c>
      <c r="AJ1036">
        <v>3.97</v>
      </c>
      <c r="AK1036" s="285" t="s">
        <v>8400</v>
      </c>
      <c r="AL1036" s="260">
        <v>155</v>
      </c>
      <c r="AN1036" s="235">
        <v>75</v>
      </c>
      <c r="AO1036" s="242">
        <v>42079</v>
      </c>
      <c r="AP1036" s="235">
        <v>106</v>
      </c>
      <c r="AQ1036" s="242">
        <v>42110</v>
      </c>
      <c r="AR1036" s="136">
        <v>143</v>
      </c>
      <c r="AS1036" s="297">
        <f t="shared" si="561"/>
        <v>143</v>
      </c>
      <c r="AT1036" s="290">
        <v>42147</v>
      </c>
      <c r="AU1036" s="298"/>
      <c r="BF1036" s="282">
        <v>-2.2111549377441406</v>
      </c>
      <c r="BG1036" s="283">
        <v>42235</v>
      </c>
      <c r="BL1036" s="296">
        <v>63.411327362060547</v>
      </c>
      <c r="BM1036" s="283">
        <v>42235</v>
      </c>
      <c r="BP1036" s="282">
        <v>3.9494419097900391</v>
      </c>
      <c r="BQ1036" s="283">
        <v>42235</v>
      </c>
      <c r="BR1036" s="282">
        <v>50.08734130859375</v>
      </c>
      <c r="BS1036" s="283">
        <v>42235</v>
      </c>
      <c r="BT1036" s="282">
        <v>15.942461967468262</v>
      </c>
      <c r="BU1036" s="283">
        <v>42235</v>
      </c>
      <c r="BV1036" s="282">
        <v>13.758256912231445</v>
      </c>
      <c r="BW1036" s="283">
        <v>42235</v>
      </c>
      <c r="BX1036" s="282">
        <v>5.5050201416015625</v>
      </c>
      <c r="BY1036" s="283">
        <v>42235</v>
      </c>
      <c r="CB1036" s="267">
        <v>3.67</v>
      </c>
      <c r="CD1036" s="282">
        <v>6.7796610169491585</v>
      </c>
      <c r="CE1036" s="291" t="s">
        <v>8400</v>
      </c>
      <c r="CH1036" s="136">
        <v>1</v>
      </c>
      <c r="CI1036" s="136">
        <v>3</v>
      </c>
      <c r="CL1036" s="136">
        <v>2</v>
      </c>
      <c r="CM1036" s="259">
        <v>42161</v>
      </c>
      <c r="CN1036" s="137" t="s">
        <v>8406</v>
      </c>
    </row>
    <row r="1037" spans="1:92">
      <c r="A1037" s="258">
        <v>1721</v>
      </c>
      <c r="B1037" s="235">
        <v>845</v>
      </c>
      <c r="C1037" s="235" t="s">
        <v>7606</v>
      </c>
      <c r="D1037" s="235" t="s">
        <v>7811</v>
      </c>
      <c r="E1037" s="235" t="s">
        <v>7606</v>
      </c>
      <c r="F1037" s="235" t="s">
        <v>8441</v>
      </c>
      <c r="G1037" s="235" t="str">
        <f t="shared" si="555"/>
        <v>Rapsodyn</v>
      </c>
      <c r="H1037" s="235" t="s">
        <v>267</v>
      </c>
      <c r="I1037" s="235">
        <v>2</v>
      </c>
      <c r="J1037" s="235">
        <v>9002</v>
      </c>
      <c r="K1037" s="235">
        <v>32</v>
      </c>
      <c r="L1037" s="235">
        <f t="shared" si="562"/>
        <v>104</v>
      </c>
      <c r="M1037" s="235">
        <v>12</v>
      </c>
      <c r="N1037" s="236">
        <v>9</v>
      </c>
      <c r="O1037" s="248">
        <v>42048</v>
      </c>
      <c r="P1037" s="136">
        <v>3.24</v>
      </c>
      <c r="Q1037" s="264">
        <v>42204</v>
      </c>
      <c r="V1037" s="219">
        <f t="shared" si="556"/>
        <v>9.3225510519886665</v>
      </c>
      <c r="X1037">
        <v>15.55</v>
      </c>
      <c r="AB1037" s="220">
        <f t="shared" si="557"/>
        <v>3.7586849083646161</v>
      </c>
      <c r="AD1037" s="221">
        <f t="shared" si="558"/>
        <v>38005.325456354949</v>
      </c>
      <c r="AF1037" s="220">
        <f t="shared" si="559"/>
        <v>19.648753260935507</v>
      </c>
      <c r="AH1037" s="220">
        <f t="shared" si="560"/>
        <v>22.032690357631207</v>
      </c>
      <c r="AJ1037">
        <v>5.17</v>
      </c>
      <c r="AK1037" s="285" t="s">
        <v>8401</v>
      </c>
      <c r="AL1037" s="260">
        <v>180</v>
      </c>
      <c r="AN1037" s="235">
        <v>72</v>
      </c>
      <c r="AO1037" s="242">
        <v>42076</v>
      </c>
      <c r="AP1037" s="235">
        <v>110</v>
      </c>
      <c r="AQ1037" s="242">
        <v>42114</v>
      </c>
      <c r="AR1037" s="136">
        <v>133</v>
      </c>
      <c r="AS1037" s="297">
        <f t="shared" si="561"/>
        <v>133</v>
      </c>
      <c r="AT1037" s="290">
        <v>42137</v>
      </c>
      <c r="AU1037" s="298"/>
      <c r="BF1037" s="282">
        <v>39.722976684570312</v>
      </c>
      <c r="BG1037" s="283">
        <v>42234</v>
      </c>
      <c r="BL1037" s="296">
        <v>58.387264251708984</v>
      </c>
      <c r="BM1037" s="283">
        <v>42234</v>
      </c>
      <c r="BP1037" s="282">
        <v>2.7151689529418945</v>
      </c>
      <c r="BQ1037" s="283">
        <v>42234</v>
      </c>
      <c r="BR1037" s="282">
        <v>47.446018218994141</v>
      </c>
      <c r="BS1037" s="283">
        <v>42234</v>
      </c>
      <c r="BT1037" s="282">
        <v>19.12938117980957</v>
      </c>
      <c r="BU1037" s="283">
        <v>42234</v>
      </c>
      <c r="BV1037" s="282">
        <v>68.096900939941406</v>
      </c>
      <c r="BW1037" s="283">
        <v>42234</v>
      </c>
      <c r="BX1037" s="282">
        <v>5.7981796264648437</v>
      </c>
      <c r="BY1037" s="283">
        <v>42234</v>
      </c>
      <c r="CB1037" s="267">
        <v>6.03</v>
      </c>
      <c r="CD1037" s="282">
        <v>3.7735849056603805</v>
      </c>
      <c r="CE1037" s="291" t="s">
        <v>8401</v>
      </c>
      <c r="CH1037" s="136">
        <v>3</v>
      </c>
      <c r="CI1037" s="136">
        <v>4</v>
      </c>
      <c r="CL1037" s="136">
        <v>5</v>
      </c>
      <c r="CM1037" s="259">
        <v>42161</v>
      </c>
      <c r="CN1037" s="137" t="s">
        <v>8406</v>
      </c>
    </row>
    <row r="1038" spans="1:92">
      <c r="A1038" s="258">
        <v>1722</v>
      </c>
      <c r="B1038" s="235">
        <v>846</v>
      </c>
      <c r="C1038" s="235" t="s">
        <v>7627</v>
      </c>
      <c r="D1038" s="235" t="s">
        <v>7461</v>
      </c>
      <c r="E1038" s="235" t="s">
        <v>7627</v>
      </c>
      <c r="F1038" s="235" t="s">
        <v>8440</v>
      </c>
      <c r="G1038" s="235" t="str">
        <f t="shared" si="555"/>
        <v>Rapsodyn</v>
      </c>
      <c r="H1038" s="235" t="s">
        <v>267</v>
      </c>
      <c r="I1038" s="235">
        <v>2</v>
      </c>
      <c r="J1038" s="235">
        <v>9019</v>
      </c>
      <c r="K1038" s="235">
        <v>31</v>
      </c>
      <c r="L1038" s="235">
        <f t="shared" si="562"/>
        <v>103</v>
      </c>
      <c r="M1038" s="235">
        <v>12</v>
      </c>
      <c r="N1038" s="235">
        <v>7</v>
      </c>
      <c r="O1038" s="248">
        <v>42048</v>
      </c>
      <c r="P1038" s="136">
        <v>3.81</v>
      </c>
      <c r="Q1038" s="264">
        <v>42204</v>
      </c>
      <c r="V1038" s="219">
        <f t="shared" si="556"/>
        <v>10.513731013733313</v>
      </c>
      <c r="X1038">
        <v>15.55</v>
      </c>
      <c r="AB1038" s="220">
        <f t="shared" si="557"/>
        <v>4.6196723568719911</v>
      </c>
      <c r="AD1038" s="221">
        <f t="shared" si="558"/>
        <v>49451.757451786892</v>
      </c>
      <c r="AF1038" s="220">
        <f t="shared" si="559"/>
        <v>22.747808427821969</v>
      </c>
      <c r="AH1038" s="220">
        <f t="shared" si="560"/>
        <v>25.507746611148207</v>
      </c>
      <c r="AJ1038">
        <v>4.5999999999999996</v>
      </c>
      <c r="AK1038" s="285" t="s">
        <v>8401</v>
      </c>
      <c r="AL1038" s="260">
        <v>180</v>
      </c>
      <c r="AN1038" s="235">
        <v>79</v>
      </c>
      <c r="AO1038" s="242">
        <v>42083</v>
      </c>
      <c r="AP1038" s="235">
        <v>110</v>
      </c>
      <c r="AQ1038" s="242">
        <v>42114</v>
      </c>
      <c r="AR1038" s="136">
        <v>141</v>
      </c>
      <c r="AS1038" s="297">
        <f t="shared" si="561"/>
        <v>141</v>
      </c>
      <c r="AT1038" s="290">
        <v>42145</v>
      </c>
      <c r="AU1038" s="298"/>
      <c r="BF1038" s="282">
        <v>37.318275451660156</v>
      </c>
      <c r="BG1038" s="283">
        <v>42234</v>
      </c>
      <c r="BL1038" s="296">
        <v>57.751365661621094</v>
      </c>
      <c r="BM1038" s="283">
        <v>42234</v>
      </c>
      <c r="BP1038" s="282">
        <v>3.1583209037780762</v>
      </c>
      <c r="BQ1038" s="283">
        <v>42234</v>
      </c>
      <c r="BR1038" s="282">
        <v>46.218654632568359</v>
      </c>
      <c r="BS1038" s="283">
        <v>42234</v>
      </c>
      <c r="BT1038" s="282">
        <v>20.308208465576172</v>
      </c>
      <c r="BU1038" s="283">
        <v>42234</v>
      </c>
      <c r="BV1038" s="282">
        <v>63.640365600585938</v>
      </c>
      <c r="BW1038" s="283">
        <v>42234</v>
      </c>
      <c r="BX1038" s="282">
        <v>5.7659378051757812</v>
      </c>
      <c r="BY1038" s="283">
        <v>42234</v>
      </c>
      <c r="CB1038" s="267">
        <v>4.18</v>
      </c>
      <c r="CD1038" s="282">
        <v>5.2631578947368389</v>
      </c>
      <c r="CE1038" s="291" t="s">
        <v>8401</v>
      </c>
      <c r="CH1038" s="136">
        <v>2</v>
      </c>
      <c r="CI1038" s="136">
        <v>3</v>
      </c>
      <c r="CL1038" s="136">
        <v>4</v>
      </c>
      <c r="CM1038" s="259">
        <v>42161</v>
      </c>
      <c r="CN1038" s="137" t="s">
        <v>8406</v>
      </c>
    </row>
    <row r="1039" spans="1:92">
      <c r="A1039" s="258">
        <v>1723</v>
      </c>
      <c r="B1039" s="235">
        <v>847</v>
      </c>
      <c r="C1039" s="235" t="s">
        <v>7576</v>
      </c>
      <c r="D1039" s="235"/>
      <c r="E1039" s="235"/>
      <c r="F1039" s="235"/>
      <c r="G1039" s="235"/>
      <c r="H1039" s="235" t="s">
        <v>267</v>
      </c>
      <c r="I1039" s="235">
        <v>2</v>
      </c>
      <c r="K1039" s="235">
        <v>30</v>
      </c>
      <c r="L1039" s="235">
        <f t="shared" si="562"/>
        <v>102</v>
      </c>
      <c r="M1039" s="235">
        <v>12</v>
      </c>
      <c r="O1039" s="248">
        <v>42048</v>
      </c>
      <c r="V1039" s="219"/>
      <c r="X1039">
        <v>15.55</v>
      </c>
      <c r="AB1039" s="220"/>
      <c r="AD1039" s="221"/>
      <c r="AF1039" s="220"/>
      <c r="AH1039" s="220"/>
      <c r="AJ1039" s="286"/>
      <c r="AK1039" s="285"/>
      <c r="AL1039" s="260"/>
      <c r="AN1039" s="235">
        <v>70</v>
      </c>
      <c r="AO1039" s="242">
        <v>42074</v>
      </c>
      <c r="AP1039" s="235">
        <v>106</v>
      </c>
      <c r="AQ1039" s="242">
        <v>42110</v>
      </c>
      <c r="AS1039" s="297"/>
      <c r="AT1039" s="290"/>
      <c r="AU1039" s="298"/>
      <c r="BF1039" s="282"/>
      <c r="BG1039" s="235"/>
      <c r="BL1039" s="296"/>
      <c r="BM1039" s="235"/>
      <c r="BP1039" s="282"/>
      <c r="BQ1039" s="235"/>
      <c r="BR1039" s="282"/>
      <c r="BS1039" s="235"/>
      <c r="BT1039" s="282"/>
      <c r="BU1039" s="235"/>
      <c r="BV1039" s="282"/>
      <c r="BW1039" s="235"/>
      <c r="BX1039" s="282"/>
      <c r="BY1039" s="235"/>
      <c r="CB1039" s="267"/>
      <c r="CD1039" s="282"/>
      <c r="CE1039" s="291"/>
      <c r="CL1039" s="136">
        <v>3</v>
      </c>
      <c r="CM1039" s="259">
        <v>42161</v>
      </c>
    </row>
    <row r="1040" spans="1:92">
      <c r="A1040" s="258">
        <v>1724</v>
      </c>
      <c r="B1040" s="235">
        <v>848</v>
      </c>
      <c r="C1040" s="235" t="s">
        <v>7576</v>
      </c>
      <c r="D1040" s="235"/>
      <c r="E1040" s="235"/>
      <c r="F1040" s="235"/>
      <c r="G1040" s="235"/>
      <c r="H1040" s="235" t="s">
        <v>267</v>
      </c>
      <c r="I1040" s="235">
        <v>2</v>
      </c>
      <c r="K1040" s="235">
        <v>29</v>
      </c>
      <c r="L1040" s="235">
        <f t="shared" si="562"/>
        <v>101</v>
      </c>
      <c r="M1040" s="235">
        <v>12</v>
      </c>
      <c r="O1040" s="248">
        <v>42048</v>
      </c>
      <c r="V1040" s="219"/>
      <c r="X1040">
        <v>15.55</v>
      </c>
      <c r="AB1040" s="220"/>
      <c r="AD1040" s="221"/>
      <c r="AF1040" s="220"/>
      <c r="AH1040" s="220"/>
      <c r="AJ1040" s="286"/>
      <c r="AK1040" s="285"/>
      <c r="AL1040" s="260"/>
      <c r="AN1040" s="235">
        <v>70</v>
      </c>
      <c r="AO1040" s="242">
        <v>42074</v>
      </c>
      <c r="AP1040" s="235">
        <v>106</v>
      </c>
      <c r="AQ1040" s="242">
        <v>42110</v>
      </c>
      <c r="AS1040" s="297"/>
      <c r="AT1040" s="290"/>
      <c r="AU1040" s="298"/>
      <c r="BF1040" s="282"/>
      <c r="BG1040" s="235"/>
      <c r="BL1040" s="296"/>
      <c r="BM1040" s="235"/>
      <c r="BP1040" s="282"/>
      <c r="BQ1040" s="235"/>
      <c r="BR1040" s="282"/>
      <c r="BS1040" s="235"/>
      <c r="BT1040" s="282"/>
      <c r="BU1040" s="235"/>
      <c r="BV1040" s="282"/>
      <c r="BW1040" s="235"/>
      <c r="BX1040" s="282"/>
      <c r="BY1040" s="235"/>
      <c r="CB1040" s="267"/>
      <c r="CD1040" s="282"/>
      <c r="CE1040" s="291"/>
      <c r="CL1040" s="136">
        <v>4</v>
      </c>
      <c r="CM1040" s="259">
        <v>42161</v>
      </c>
    </row>
    <row r="1041" spans="1:93">
      <c r="A1041" s="258">
        <v>1725</v>
      </c>
      <c r="B1041" s="236">
        <v>849</v>
      </c>
      <c r="C1041" s="236" t="s">
        <v>7610</v>
      </c>
      <c r="D1041" s="236" t="s">
        <v>7812</v>
      </c>
      <c r="E1041" s="236" t="s">
        <v>7610</v>
      </c>
      <c r="F1041" s="236" t="s">
        <v>8439</v>
      </c>
      <c r="G1041" s="235" t="str">
        <f t="shared" ref="G1041:G1053" si="563">IF(MID(C1041,1,3)="BGA","Complement","Rapsodyn")</f>
        <v>Rapsodyn</v>
      </c>
      <c r="H1041" s="235" t="s">
        <v>267</v>
      </c>
      <c r="I1041" s="235">
        <v>2</v>
      </c>
      <c r="J1041" s="236">
        <v>9005</v>
      </c>
      <c r="K1041" s="236">
        <v>28</v>
      </c>
      <c r="L1041" s="235">
        <f t="shared" si="562"/>
        <v>100</v>
      </c>
      <c r="M1041" s="236">
        <v>12</v>
      </c>
      <c r="N1041" s="235">
        <v>7</v>
      </c>
      <c r="O1041" s="248">
        <v>42048</v>
      </c>
      <c r="P1041" s="136">
        <v>2.21</v>
      </c>
      <c r="Q1041" s="264">
        <v>42204</v>
      </c>
      <c r="V1041" s="219">
        <f t="shared" ref="V1041:V1053" si="564">+BR1041*AF1041/100</f>
        <v>6.177537746024667</v>
      </c>
      <c r="X1041">
        <v>15.55</v>
      </c>
      <c r="AB1041" s="220">
        <f t="shared" ref="AB1041:AB1053" si="565">+AF1041*BT1041/100</f>
        <v>2.439149393750156</v>
      </c>
      <c r="AD1041" s="221">
        <f t="shared" ref="AD1041:AD1053" si="566">+(AF1041/AJ1041)*10000</f>
        <v>27828.120432622029</v>
      </c>
      <c r="AF1041" s="220">
        <f t="shared" ref="AF1041:AF1053" si="567">($P1041/$X1041)*(((100-$CD1041)/100*(100-2)/100))*100</f>
        <v>12.856591639871379</v>
      </c>
      <c r="AH1041" s="220">
        <f t="shared" ref="AH1041:AH1053" si="568">($P1041/$X1041)*(((100-$CD1041)/(100-9)*(100-2)/(100-2))*100)</f>
        <v>14.416451715487081</v>
      </c>
      <c r="AJ1041">
        <v>4.62</v>
      </c>
      <c r="AK1041" s="285" t="s">
        <v>8402</v>
      </c>
      <c r="AL1041" s="260">
        <v>165</v>
      </c>
      <c r="AN1041" s="235">
        <v>63</v>
      </c>
      <c r="AO1041" s="243">
        <v>42067</v>
      </c>
      <c r="AP1041" s="235">
        <v>100</v>
      </c>
      <c r="AQ1041" s="242">
        <v>42104</v>
      </c>
      <c r="AR1041" s="136">
        <v>125</v>
      </c>
      <c r="AS1041" s="297">
        <f t="shared" ref="AS1041:AS1053" si="569">IF(AR1041=0,,AR1041)</f>
        <v>125</v>
      </c>
      <c r="AT1041" s="290">
        <v>42129</v>
      </c>
      <c r="AU1041" s="298"/>
      <c r="BF1041" s="282">
        <v>36.353057861328125</v>
      </c>
      <c r="BG1041" s="283">
        <v>42235</v>
      </c>
      <c r="BL1041" s="296">
        <v>58.111820220947266</v>
      </c>
      <c r="BM1041" s="283">
        <v>42235</v>
      </c>
      <c r="BP1041" s="282">
        <v>3.5890390872955322</v>
      </c>
      <c r="BQ1041" s="283">
        <v>42235</v>
      </c>
      <c r="BR1041" s="282">
        <v>48.049575805664063</v>
      </c>
      <c r="BS1041" s="283">
        <v>42235</v>
      </c>
      <c r="BT1041" s="282">
        <v>18.971975326538086</v>
      </c>
      <c r="BU1041" s="283">
        <v>42235</v>
      </c>
      <c r="BV1041" s="282">
        <v>61.453346252441406</v>
      </c>
      <c r="BW1041" s="283">
        <v>42235</v>
      </c>
      <c r="BX1041" s="282">
        <v>5.4119796752929687</v>
      </c>
      <c r="BY1041" s="283">
        <v>42235</v>
      </c>
      <c r="CB1041" s="267">
        <v>4.17</v>
      </c>
      <c r="CD1041" s="282">
        <v>7.6923076923076987</v>
      </c>
      <c r="CE1041" s="291" t="s">
        <v>8402</v>
      </c>
      <c r="CH1041" s="136">
        <v>2</v>
      </c>
      <c r="CI1041" s="136">
        <v>6</v>
      </c>
      <c r="CL1041" s="136">
        <v>5</v>
      </c>
      <c r="CM1041" s="259">
        <v>42161</v>
      </c>
      <c r="CN1041" s="137" t="s">
        <v>8406</v>
      </c>
    </row>
    <row r="1042" spans="1:93">
      <c r="A1042" s="258">
        <v>1726</v>
      </c>
      <c r="B1042" s="235">
        <v>850</v>
      </c>
      <c r="C1042" s="235" t="s">
        <v>7786</v>
      </c>
      <c r="D1042" s="235" t="s">
        <v>7584</v>
      </c>
      <c r="E1042" s="235" t="s">
        <v>7786</v>
      </c>
      <c r="F1042" s="235" t="s">
        <v>8438</v>
      </c>
      <c r="G1042" s="235" t="str">
        <f t="shared" si="563"/>
        <v>Rapsodyn</v>
      </c>
      <c r="H1042" s="235" t="s">
        <v>267</v>
      </c>
      <c r="I1042" s="235">
        <v>2</v>
      </c>
      <c r="J1042" s="235">
        <v>9157</v>
      </c>
      <c r="K1042" s="235">
        <v>27</v>
      </c>
      <c r="L1042" s="235">
        <f t="shared" si="562"/>
        <v>99</v>
      </c>
      <c r="M1042" s="235">
        <v>12</v>
      </c>
      <c r="N1042" s="235">
        <v>7</v>
      </c>
      <c r="O1042" s="248">
        <v>42048</v>
      </c>
      <c r="P1042" s="136">
        <v>5.66</v>
      </c>
      <c r="Q1042" s="264">
        <v>42204</v>
      </c>
      <c r="V1042" s="219">
        <f t="shared" si="564"/>
        <v>17.482482404146673</v>
      </c>
      <c r="X1042">
        <v>15.55</v>
      </c>
      <c r="AB1042" s="220">
        <f t="shared" si="565"/>
        <v>5.5373660085173153</v>
      </c>
      <c r="AD1042" s="221">
        <f t="shared" si="566"/>
        <v>77446.050108207768</v>
      </c>
      <c r="AF1042" s="220">
        <f t="shared" si="567"/>
        <v>33.689031797070378</v>
      </c>
      <c r="AH1042" s="220">
        <f t="shared" si="568"/>
        <v>37.776442921137445</v>
      </c>
      <c r="AJ1042">
        <v>4.3499999999999996</v>
      </c>
      <c r="AK1042" s="285" t="s">
        <v>8402</v>
      </c>
      <c r="AL1042" s="260">
        <v>175</v>
      </c>
      <c r="AN1042" s="235">
        <v>70</v>
      </c>
      <c r="AO1042" s="242">
        <v>42074</v>
      </c>
      <c r="AP1042" s="235">
        <v>106</v>
      </c>
      <c r="AQ1042" s="242">
        <v>42110</v>
      </c>
      <c r="AR1042" s="136">
        <v>131</v>
      </c>
      <c r="AS1042" s="297">
        <f t="shared" si="569"/>
        <v>131</v>
      </c>
      <c r="AT1042" s="290">
        <v>42135</v>
      </c>
      <c r="AU1042" s="298"/>
      <c r="BF1042" s="282">
        <v>-4.4459037780761719</v>
      </c>
      <c r="BG1042" s="283">
        <v>42235</v>
      </c>
      <c r="BL1042" s="296">
        <v>63.393787384033203</v>
      </c>
      <c r="BM1042" s="283">
        <v>42235</v>
      </c>
      <c r="BP1042" s="282">
        <v>3.8329770565032959</v>
      </c>
      <c r="BQ1042" s="283">
        <v>42235</v>
      </c>
      <c r="BR1042" s="282">
        <v>51.893692016601563</v>
      </c>
      <c r="BS1042" s="283">
        <v>42235</v>
      </c>
      <c r="BT1042" s="282">
        <v>16.436702728271484</v>
      </c>
      <c r="BU1042" s="283">
        <v>42235</v>
      </c>
      <c r="BV1042" s="282">
        <v>13.195266723632813</v>
      </c>
      <c r="BW1042" s="283">
        <v>42235</v>
      </c>
      <c r="BX1042" s="282">
        <v>5.51959228515625</v>
      </c>
      <c r="BY1042" s="283">
        <v>42235</v>
      </c>
      <c r="CB1042" s="267">
        <v>4.88</v>
      </c>
      <c r="CD1042" s="282">
        <v>5.5555555555555687</v>
      </c>
      <c r="CE1042" s="291" t="s">
        <v>8402</v>
      </c>
      <c r="CH1042" s="136">
        <v>3</v>
      </c>
      <c r="CI1042" s="136">
        <v>4</v>
      </c>
      <c r="CL1042" s="136">
        <v>2</v>
      </c>
      <c r="CM1042" s="259">
        <v>42161</v>
      </c>
      <c r="CN1042" s="137" t="s">
        <v>8406</v>
      </c>
    </row>
    <row r="1043" spans="1:93">
      <c r="A1043" s="258">
        <v>1727</v>
      </c>
      <c r="B1043" s="238">
        <v>851</v>
      </c>
      <c r="C1043" s="238" t="s">
        <v>7675</v>
      </c>
      <c r="D1043" s="238" t="s">
        <v>7504</v>
      </c>
      <c r="E1043" s="238" t="s">
        <v>7675</v>
      </c>
      <c r="F1043" s="238" t="s">
        <v>8437</v>
      </c>
      <c r="G1043" s="235" t="str">
        <f t="shared" si="563"/>
        <v>Rapsodyn</v>
      </c>
      <c r="H1043" s="235" t="s">
        <v>267</v>
      </c>
      <c r="I1043" s="235">
        <v>2</v>
      </c>
      <c r="J1043" s="238">
        <v>9057</v>
      </c>
      <c r="K1043" s="238">
        <v>26</v>
      </c>
      <c r="L1043" s="235">
        <f t="shared" si="562"/>
        <v>98</v>
      </c>
      <c r="M1043" s="238">
        <v>12</v>
      </c>
      <c r="N1043" s="235">
        <v>7</v>
      </c>
      <c r="O1043" s="248">
        <v>42048</v>
      </c>
      <c r="P1043" s="136">
        <v>6.11</v>
      </c>
      <c r="Q1043" s="264">
        <v>42204</v>
      </c>
      <c r="V1043" s="219">
        <f t="shared" si="564"/>
        <v>18.092500260037244</v>
      </c>
      <c r="X1043">
        <v>15.55</v>
      </c>
      <c r="AB1043" s="220">
        <f t="shared" si="565"/>
        <v>5.8400389244840083</v>
      </c>
      <c r="AD1043" s="221">
        <f t="shared" si="566"/>
        <v>84330.825699205234</v>
      </c>
      <c r="AF1043" s="220">
        <f t="shared" si="567"/>
        <v>35.756270096463027</v>
      </c>
      <c r="AH1043" s="220">
        <f t="shared" si="568"/>
        <v>40.094494389395635</v>
      </c>
      <c r="AJ1043">
        <v>4.24</v>
      </c>
      <c r="AK1043" s="285" t="s">
        <v>8403</v>
      </c>
      <c r="AL1043" s="260">
        <v>175</v>
      </c>
      <c r="AN1043" s="235">
        <v>61</v>
      </c>
      <c r="AO1043" s="246">
        <v>42065</v>
      </c>
      <c r="AP1043" s="235">
        <v>110</v>
      </c>
      <c r="AQ1043" s="242">
        <v>42114</v>
      </c>
      <c r="AR1043" s="136">
        <v>131</v>
      </c>
      <c r="AS1043" s="297">
        <f t="shared" si="569"/>
        <v>131</v>
      </c>
      <c r="AT1043" s="290">
        <v>42135</v>
      </c>
      <c r="AU1043" s="298"/>
      <c r="BF1043" s="282">
        <v>-0.89727801084518433</v>
      </c>
      <c r="BG1043" s="283">
        <v>42235</v>
      </c>
      <c r="BL1043" s="296">
        <v>67.10211181640625</v>
      </c>
      <c r="BM1043" s="283">
        <v>42235</v>
      </c>
      <c r="BP1043" s="282">
        <v>3.1844329833984375</v>
      </c>
      <c r="BQ1043" s="283">
        <v>42235</v>
      </c>
      <c r="BR1043" s="282">
        <v>50.599517822265625</v>
      </c>
      <c r="BS1043" s="283">
        <v>42235</v>
      </c>
      <c r="BT1043" s="282">
        <v>16.332908630371094</v>
      </c>
      <c r="BU1043" s="283">
        <v>42235</v>
      </c>
      <c r="BV1043" s="282">
        <v>13.935965538024902</v>
      </c>
      <c r="BW1043" s="283">
        <v>42235</v>
      </c>
      <c r="BX1043" s="282">
        <v>5.3753280639648438</v>
      </c>
      <c r="BY1043" s="283">
        <v>42235</v>
      </c>
      <c r="CB1043" s="267">
        <v>4.01</v>
      </c>
      <c r="CD1043" s="282">
        <v>7.1428571428571344</v>
      </c>
      <c r="CE1043" s="291" t="s">
        <v>8403</v>
      </c>
      <c r="CH1043" s="136">
        <v>2</v>
      </c>
      <c r="CI1043" s="136">
        <v>4</v>
      </c>
      <c r="CL1043" s="136">
        <v>3</v>
      </c>
      <c r="CM1043" s="259">
        <v>42161</v>
      </c>
      <c r="CN1043" s="137" t="s">
        <v>8406</v>
      </c>
    </row>
    <row r="1044" spans="1:93">
      <c r="A1044" s="258">
        <v>1728</v>
      </c>
      <c r="B1044" s="235">
        <v>852</v>
      </c>
      <c r="C1044" s="235" t="s">
        <v>8223</v>
      </c>
      <c r="D1044" s="235" t="s">
        <v>7562</v>
      </c>
      <c r="E1044" s="235" t="s">
        <v>8461</v>
      </c>
      <c r="F1044" s="235" t="s">
        <v>8469</v>
      </c>
      <c r="G1044" s="235" t="str">
        <f t="shared" si="563"/>
        <v>Complement</v>
      </c>
      <c r="H1044" s="235" t="s">
        <v>267</v>
      </c>
      <c r="I1044" s="235">
        <v>2</v>
      </c>
      <c r="J1044" s="235">
        <v>9278</v>
      </c>
      <c r="K1044" s="235">
        <v>25</v>
      </c>
      <c r="L1044" s="235">
        <f t="shared" si="562"/>
        <v>97</v>
      </c>
      <c r="M1044" s="235">
        <v>12</v>
      </c>
      <c r="N1044" s="235">
        <v>7</v>
      </c>
      <c r="O1044" s="248">
        <v>42048</v>
      </c>
      <c r="P1044" s="136">
        <v>6.01</v>
      </c>
      <c r="Q1044" s="264">
        <v>42204</v>
      </c>
      <c r="V1044" s="219">
        <f t="shared" si="564"/>
        <v>18.416738924823882</v>
      </c>
      <c r="X1044">
        <v>15.55</v>
      </c>
      <c r="AB1044" s="220">
        <f t="shared" si="565"/>
        <v>5.4006729393368884</v>
      </c>
      <c r="AD1044" s="221">
        <f t="shared" si="566"/>
        <v>69963.886051817288</v>
      </c>
      <c r="AF1044" s="220">
        <f t="shared" si="567"/>
        <v>35.121870798012274</v>
      </c>
      <c r="AH1044" s="220">
        <f t="shared" si="568"/>
        <v>39.38312491367153</v>
      </c>
      <c r="AJ1044">
        <v>5.0199999999999996</v>
      </c>
      <c r="AK1044" s="285" t="s">
        <v>8403</v>
      </c>
      <c r="AL1044" s="260">
        <v>165</v>
      </c>
      <c r="AN1044" s="235">
        <v>75</v>
      </c>
      <c r="AO1044" s="242">
        <v>42079</v>
      </c>
      <c r="AP1044" s="235">
        <v>104</v>
      </c>
      <c r="AQ1044" s="242">
        <v>42108</v>
      </c>
      <c r="AR1044" s="136">
        <v>125</v>
      </c>
      <c r="AS1044" s="297">
        <f t="shared" si="569"/>
        <v>125</v>
      </c>
      <c r="AT1044" s="290">
        <v>42129</v>
      </c>
      <c r="AU1044" s="298"/>
      <c r="BF1044" s="282">
        <v>-2.2797338962554932</v>
      </c>
      <c r="BG1044" s="283">
        <v>42235</v>
      </c>
      <c r="BL1044" s="296">
        <v>66.995391845703125</v>
      </c>
      <c r="BM1044" s="283">
        <v>42235</v>
      </c>
      <c r="BP1044" s="282">
        <v>3.231065034866333</v>
      </c>
      <c r="BQ1044" s="283">
        <v>42235</v>
      </c>
      <c r="BR1044" s="282">
        <v>52.436668395996094</v>
      </c>
      <c r="BS1044" s="283">
        <v>42235</v>
      </c>
      <c r="BT1044" s="282">
        <v>15.376951217651367</v>
      </c>
      <c r="BU1044" s="283">
        <v>42235</v>
      </c>
      <c r="BV1044" s="282">
        <v>11.977384567260742</v>
      </c>
      <c r="BW1044" s="283">
        <v>42235</v>
      </c>
      <c r="BX1044" s="282">
        <v>5.2779617309570312</v>
      </c>
      <c r="BY1044" s="283">
        <v>42235</v>
      </c>
      <c r="CB1044" s="267">
        <v>4.58</v>
      </c>
      <c r="CD1044" s="282">
        <v>7.2727272727272796</v>
      </c>
      <c r="CE1044" s="291" t="s">
        <v>8403</v>
      </c>
      <c r="CH1044" s="136">
        <v>2</v>
      </c>
      <c r="CI1044" s="136">
        <v>2</v>
      </c>
      <c r="CL1044" s="136">
        <v>1</v>
      </c>
      <c r="CM1044" s="259">
        <v>42161</v>
      </c>
      <c r="CN1044" s="137" t="s">
        <v>8406</v>
      </c>
    </row>
    <row r="1045" spans="1:93">
      <c r="A1045" s="258">
        <v>1731</v>
      </c>
      <c r="B1045" s="235">
        <v>855</v>
      </c>
      <c r="C1045" s="235" t="s">
        <v>7803</v>
      </c>
      <c r="D1045" s="235" t="s">
        <v>8419</v>
      </c>
      <c r="E1045" s="235" t="s">
        <v>7803</v>
      </c>
      <c r="F1045" s="235" t="s">
        <v>8436</v>
      </c>
      <c r="G1045" s="235" t="str">
        <f t="shared" si="563"/>
        <v>Rapsodyn</v>
      </c>
      <c r="H1045" s="235" t="s">
        <v>267</v>
      </c>
      <c r="I1045" s="235">
        <v>2</v>
      </c>
      <c r="J1045" s="235">
        <v>9174</v>
      </c>
      <c r="K1045" s="235">
        <v>22</v>
      </c>
      <c r="L1045" s="235">
        <f t="shared" si="562"/>
        <v>94</v>
      </c>
      <c r="M1045" s="235">
        <v>12</v>
      </c>
      <c r="N1045" s="235">
        <v>9</v>
      </c>
      <c r="O1045" s="248">
        <v>42048</v>
      </c>
      <c r="P1045" s="136">
        <v>6.46</v>
      </c>
      <c r="Q1045" s="264">
        <v>42204</v>
      </c>
      <c r="V1045" s="219">
        <f t="shared" si="564"/>
        <v>20.048303481074392</v>
      </c>
      <c r="X1045">
        <v>15.55</v>
      </c>
      <c r="AB1045" s="220">
        <f t="shared" si="565"/>
        <v>5.6695180172076949</v>
      </c>
      <c r="AD1045" s="221">
        <f t="shared" si="566"/>
        <v>90876.205787781335</v>
      </c>
      <c r="AF1045" s="220">
        <f t="shared" si="567"/>
        <v>38.531511254019293</v>
      </c>
      <c r="AH1045" s="220">
        <f t="shared" si="568"/>
        <v>43.206449040165161</v>
      </c>
      <c r="AJ1045">
        <v>4.24</v>
      </c>
      <c r="AK1045" s="285" t="s">
        <v>8398</v>
      </c>
      <c r="AL1045" s="260">
        <v>170</v>
      </c>
      <c r="AN1045" s="235">
        <v>65</v>
      </c>
      <c r="AO1045" s="242">
        <v>42069</v>
      </c>
      <c r="AP1045" s="235">
        <v>104</v>
      </c>
      <c r="AQ1045" s="242">
        <v>42108</v>
      </c>
      <c r="AR1045" s="136">
        <v>128</v>
      </c>
      <c r="AS1045" s="297">
        <f t="shared" si="569"/>
        <v>128</v>
      </c>
      <c r="AT1045" s="290">
        <v>42132</v>
      </c>
      <c r="AU1045" s="298"/>
      <c r="BF1045" s="282">
        <v>-2.6726610660552979</v>
      </c>
      <c r="BG1045" s="283">
        <v>42235</v>
      </c>
      <c r="BL1045" s="296">
        <v>64.218132019042969</v>
      </c>
      <c r="BM1045" s="283">
        <v>42235</v>
      </c>
      <c r="BP1045" s="282">
        <v>3.0721080303192139</v>
      </c>
      <c r="BQ1045" s="283">
        <v>42235</v>
      </c>
      <c r="BR1045" s="282">
        <v>52.030929565429688</v>
      </c>
      <c r="BS1045" s="283">
        <v>42235</v>
      </c>
      <c r="BT1045" s="282">
        <v>14.713977813720703</v>
      </c>
      <c r="BU1045" s="283">
        <v>42235</v>
      </c>
      <c r="BV1045" s="282">
        <v>12.808876991271973</v>
      </c>
      <c r="BW1045" s="283">
        <v>42235</v>
      </c>
      <c r="BX1045" s="282">
        <v>5.6012115478515625</v>
      </c>
      <c r="BY1045" s="283">
        <v>42235</v>
      </c>
      <c r="CB1045" s="267">
        <v>5.31</v>
      </c>
      <c r="CD1045" s="282">
        <v>5.3571428571428541</v>
      </c>
      <c r="CE1045" s="291" t="s">
        <v>8398</v>
      </c>
      <c r="CH1045" s="136">
        <v>2</v>
      </c>
      <c r="CI1045" s="136">
        <v>5</v>
      </c>
      <c r="CL1045" s="136">
        <v>1</v>
      </c>
      <c r="CM1045" s="259">
        <v>42161</v>
      </c>
      <c r="CN1045" s="137" t="s">
        <v>8406</v>
      </c>
    </row>
    <row r="1046" spans="1:93">
      <c r="A1046" s="258">
        <v>1733</v>
      </c>
      <c r="B1046" s="235">
        <v>857</v>
      </c>
      <c r="C1046" s="235" t="s">
        <v>7688</v>
      </c>
      <c r="D1046" s="235" t="s">
        <v>7514</v>
      </c>
      <c r="E1046" s="235" t="s">
        <v>7688</v>
      </c>
      <c r="F1046" s="235" t="s">
        <v>8435</v>
      </c>
      <c r="G1046" s="235" t="str">
        <f t="shared" si="563"/>
        <v>Rapsodyn</v>
      </c>
      <c r="H1046" s="235" t="s">
        <v>267</v>
      </c>
      <c r="I1046" s="235">
        <v>2</v>
      </c>
      <c r="J1046" s="235">
        <v>9070</v>
      </c>
      <c r="K1046" s="235">
        <v>20</v>
      </c>
      <c r="L1046" s="235">
        <f t="shared" si="562"/>
        <v>92</v>
      </c>
      <c r="M1046" s="235">
        <v>12</v>
      </c>
      <c r="N1046" s="235">
        <v>7</v>
      </c>
      <c r="O1046" s="248">
        <v>42048</v>
      </c>
      <c r="P1046" s="136">
        <v>5.31</v>
      </c>
      <c r="Q1046" s="264">
        <v>42204</v>
      </c>
      <c r="V1046" s="219">
        <f t="shared" si="564"/>
        <v>15.519439499370712</v>
      </c>
      <c r="X1046">
        <v>15.55</v>
      </c>
      <c r="AB1046" s="220">
        <f t="shared" si="565"/>
        <v>5.1109769411175563</v>
      </c>
      <c r="AD1046" s="221">
        <f t="shared" si="566"/>
        <v>76393.321064800781</v>
      </c>
      <c r="AF1046" s="220">
        <f t="shared" si="567"/>
        <v>30.939295031244313</v>
      </c>
      <c r="AH1046" s="220">
        <f t="shared" si="568"/>
        <v>34.693087050060903</v>
      </c>
      <c r="AJ1046">
        <v>4.05</v>
      </c>
      <c r="AK1046" s="285" t="s">
        <v>8398</v>
      </c>
      <c r="AL1046" s="260">
        <v>160</v>
      </c>
      <c r="AN1046" s="235">
        <v>70</v>
      </c>
      <c r="AO1046" s="242">
        <v>42074</v>
      </c>
      <c r="AP1046" s="235">
        <v>110</v>
      </c>
      <c r="AQ1046" s="242">
        <v>42114</v>
      </c>
      <c r="AR1046" s="136">
        <v>141</v>
      </c>
      <c r="AS1046" s="297">
        <f t="shared" si="569"/>
        <v>141</v>
      </c>
      <c r="AT1046" s="290">
        <v>42145</v>
      </c>
      <c r="AU1046" s="298"/>
      <c r="BF1046" s="282">
        <v>-2.4403820037841797</v>
      </c>
      <c r="BG1046" s="283">
        <v>42235</v>
      </c>
      <c r="BL1046" s="296">
        <v>64.5738525390625</v>
      </c>
      <c r="BM1046" s="283">
        <v>42235</v>
      </c>
      <c r="BP1046" s="282">
        <v>3.7726659774780273</v>
      </c>
      <c r="BQ1046" s="283">
        <v>42235</v>
      </c>
      <c r="BR1046" s="282">
        <v>50.160934448242188</v>
      </c>
      <c r="BS1046" s="283">
        <v>42235</v>
      </c>
      <c r="BT1046" s="282">
        <v>16.519371032714844</v>
      </c>
      <c r="BU1046" s="283">
        <v>42235</v>
      </c>
      <c r="BV1046" s="282">
        <v>17.970172882080078</v>
      </c>
      <c r="BW1046" s="283">
        <v>42235</v>
      </c>
      <c r="BX1046" s="282">
        <v>5.6052703857421875</v>
      </c>
      <c r="BY1046" s="283">
        <v>42235</v>
      </c>
      <c r="CB1046" s="267">
        <v>5.59</v>
      </c>
      <c r="CD1046" s="282">
        <v>7.547169811320745</v>
      </c>
      <c r="CE1046" s="291" t="s">
        <v>8398</v>
      </c>
      <c r="CH1046" s="136">
        <v>2</v>
      </c>
      <c r="CI1046" s="136">
        <v>4</v>
      </c>
      <c r="CL1046" s="136">
        <v>2</v>
      </c>
      <c r="CM1046" s="259">
        <v>42161</v>
      </c>
      <c r="CN1046" s="137" t="s">
        <v>8406</v>
      </c>
    </row>
    <row r="1047" spans="1:93">
      <c r="A1047" s="258">
        <v>1734</v>
      </c>
      <c r="B1047" s="235">
        <v>858</v>
      </c>
      <c r="C1047" s="235" t="s">
        <v>7699</v>
      </c>
      <c r="D1047" s="235" t="s">
        <v>7525</v>
      </c>
      <c r="E1047" s="235" t="s">
        <v>7699</v>
      </c>
      <c r="F1047" s="235" t="s">
        <v>8434</v>
      </c>
      <c r="G1047" s="235" t="str">
        <f t="shared" si="563"/>
        <v>Rapsodyn</v>
      </c>
      <c r="H1047" s="235" t="s">
        <v>267</v>
      </c>
      <c r="I1047" s="235">
        <v>2</v>
      </c>
      <c r="J1047" s="235">
        <v>9081</v>
      </c>
      <c r="K1047" s="235">
        <v>19</v>
      </c>
      <c r="L1047" s="235">
        <f t="shared" si="562"/>
        <v>91</v>
      </c>
      <c r="M1047" s="235">
        <v>12</v>
      </c>
      <c r="N1047" s="236">
        <v>9</v>
      </c>
      <c r="O1047" s="248">
        <v>42048</v>
      </c>
      <c r="P1047" s="136">
        <v>5.46</v>
      </c>
      <c r="Q1047" s="264">
        <v>42204</v>
      </c>
      <c r="V1047" s="219">
        <f t="shared" si="564"/>
        <v>16.964997057266743</v>
      </c>
      <c r="X1047">
        <v>15.55</v>
      </c>
      <c r="AB1047" s="220">
        <f t="shared" si="565"/>
        <v>5.5490510931552466</v>
      </c>
      <c r="AD1047" s="221">
        <f t="shared" si="566"/>
        <v>81294.816774276886</v>
      </c>
      <c r="AF1047" s="220">
        <f t="shared" si="567"/>
        <v>32.599221526485032</v>
      </c>
      <c r="AH1047" s="220">
        <f t="shared" si="568"/>
        <v>36.554408529361993</v>
      </c>
      <c r="AJ1047">
        <v>4.01</v>
      </c>
      <c r="AK1047" s="285" t="s">
        <v>8398</v>
      </c>
      <c r="AL1047" s="260">
        <v>165</v>
      </c>
      <c r="AN1047" s="235">
        <v>72</v>
      </c>
      <c r="AO1047" s="242">
        <v>42076</v>
      </c>
      <c r="AP1047" s="235">
        <v>104</v>
      </c>
      <c r="AQ1047" s="242">
        <v>42108</v>
      </c>
      <c r="AR1047" s="136">
        <v>127</v>
      </c>
      <c r="AS1047" s="297">
        <f t="shared" si="569"/>
        <v>127</v>
      </c>
      <c r="AT1047" s="290">
        <v>42131</v>
      </c>
      <c r="AU1047" s="298"/>
      <c r="BF1047" s="282">
        <v>-7.4839057922363281</v>
      </c>
      <c r="BG1047" s="283">
        <v>42235</v>
      </c>
      <c r="BL1047" s="296">
        <v>68.145217895507813</v>
      </c>
      <c r="BM1047" s="283">
        <v>42235</v>
      </c>
      <c r="BP1047" s="282">
        <v>2.8163630962371826</v>
      </c>
      <c r="BQ1047" s="283">
        <v>42235</v>
      </c>
      <c r="BR1047" s="282">
        <v>52.041110992431641</v>
      </c>
      <c r="BS1047" s="283">
        <v>42235</v>
      </c>
      <c r="BT1047" s="282">
        <v>17.022035598754883</v>
      </c>
      <c r="BU1047" s="283">
        <v>42235</v>
      </c>
      <c r="BV1047" s="282">
        <v>9.642359733581543</v>
      </c>
      <c r="BW1047" s="283">
        <v>42235</v>
      </c>
      <c r="BX1047" s="282">
        <v>5.3963775634765625</v>
      </c>
      <c r="BY1047" s="283">
        <v>42235</v>
      </c>
      <c r="CB1047" s="267">
        <v>5.72</v>
      </c>
      <c r="CD1047" s="282">
        <v>5.2631578947368389</v>
      </c>
      <c r="CE1047" s="291" t="s">
        <v>8398</v>
      </c>
      <c r="CH1047" s="136">
        <v>2</v>
      </c>
      <c r="CI1047" s="136">
        <v>3</v>
      </c>
      <c r="CL1047" s="136">
        <v>1</v>
      </c>
      <c r="CM1047" s="259">
        <v>42161</v>
      </c>
      <c r="CN1047" s="137" t="s">
        <v>8406</v>
      </c>
    </row>
    <row r="1048" spans="1:93">
      <c r="A1048" s="258">
        <v>1735</v>
      </c>
      <c r="B1048" s="235">
        <v>859</v>
      </c>
      <c r="C1048" s="235" t="s">
        <v>7708</v>
      </c>
      <c r="D1048" s="235" t="s">
        <v>7534</v>
      </c>
      <c r="E1048" s="235" t="s">
        <v>7708</v>
      </c>
      <c r="F1048" s="235" t="s">
        <v>8433</v>
      </c>
      <c r="G1048" s="235" t="str">
        <f t="shared" si="563"/>
        <v>Rapsodyn</v>
      </c>
      <c r="H1048" s="235" t="s">
        <v>267</v>
      </c>
      <c r="I1048" s="235">
        <v>2</v>
      </c>
      <c r="J1048" s="235">
        <v>9090</v>
      </c>
      <c r="K1048" s="235">
        <v>18</v>
      </c>
      <c r="L1048" s="235">
        <f t="shared" si="562"/>
        <v>90</v>
      </c>
      <c r="M1048" s="235">
        <v>12</v>
      </c>
      <c r="N1048" s="235">
        <v>7</v>
      </c>
      <c r="O1048" s="248">
        <v>42048</v>
      </c>
      <c r="P1048" s="136">
        <v>6.28</v>
      </c>
      <c r="Q1048" s="264">
        <v>42204</v>
      </c>
      <c r="V1048" s="219">
        <f t="shared" si="564"/>
        <v>18.561972828389745</v>
      </c>
      <c r="X1048">
        <v>15.55</v>
      </c>
      <c r="AB1048" s="220">
        <f t="shared" si="565"/>
        <v>6.1236487130781461</v>
      </c>
      <c r="AD1048" s="221">
        <f t="shared" si="566"/>
        <v>79025.058678280213</v>
      </c>
      <c r="AF1048" s="220">
        <f t="shared" si="567"/>
        <v>37.457877813504822</v>
      </c>
      <c r="AH1048" s="220">
        <f t="shared" si="568"/>
        <v>42.002554175268919</v>
      </c>
      <c r="AJ1048">
        <v>4.74</v>
      </c>
      <c r="AK1048" s="285" t="s">
        <v>8398</v>
      </c>
      <c r="AL1048" s="260">
        <v>160</v>
      </c>
      <c r="AN1048" s="235">
        <v>72</v>
      </c>
      <c r="AO1048" s="242">
        <v>42076</v>
      </c>
      <c r="AP1048" s="235">
        <v>106</v>
      </c>
      <c r="AQ1048" s="242">
        <v>42110</v>
      </c>
      <c r="AR1048" s="136">
        <v>127</v>
      </c>
      <c r="AS1048" s="297">
        <f t="shared" si="569"/>
        <v>127</v>
      </c>
      <c r="AT1048" s="290">
        <v>42131</v>
      </c>
      <c r="AU1048" s="298"/>
      <c r="BF1048" s="282">
        <v>-6.7527098655700684</v>
      </c>
      <c r="BG1048" s="283">
        <v>42235</v>
      </c>
      <c r="BL1048" s="296">
        <v>62.454967498779297</v>
      </c>
      <c r="BM1048" s="283">
        <v>42235</v>
      </c>
      <c r="BP1048" s="282">
        <v>3.9026451110839844</v>
      </c>
      <c r="BQ1048" s="283">
        <v>42235</v>
      </c>
      <c r="BR1048" s="282">
        <v>49.554256439208984</v>
      </c>
      <c r="BS1048" s="283">
        <v>42235</v>
      </c>
      <c r="BT1048" s="282">
        <v>16.348093032836914</v>
      </c>
      <c r="BU1048" s="283">
        <v>42235</v>
      </c>
      <c r="BV1048" s="282">
        <v>8.6773529052734375</v>
      </c>
      <c r="BW1048" s="283">
        <v>42235</v>
      </c>
      <c r="BX1048" s="282">
        <v>5.6786117553710938</v>
      </c>
      <c r="BY1048" s="283">
        <v>42235</v>
      </c>
      <c r="CB1048" s="267">
        <v>6.49</v>
      </c>
      <c r="CD1048" s="282">
        <v>5.3571428571428541</v>
      </c>
      <c r="CE1048" s="291" t="s">
        <v>8398</v>
      </c>
      <c r="CH1048" s="136">
        <v>2</v>
      </c>
      <c r="CI1048" s="136">
        <v>2</v>
      </c>
      <c r="CL1048" s="136">
        <v>1</v>
      </c>
      <c r="CM1048" s="259">
        <v>42161</v>
      </c>
      <c r="CN1048" s="137" t="s">
        <v>8406</v>
      </c>
    </row>
    <row r="1049" spans="1:93">
      <c r="A1049" s="258">
        <v>1736</v>
      </c>
      <c r="B1049" s="235">
        <v>860</v>
      </c>
      <c r="C1049" s="235" t="s">
        <v>7679</v>
      </c>
      <c r="D1049" s="235" t="s">
        <v>7506</v>
      </c>
      <c r="E1049" s="235" t="s">
        <v>7679</v>
      </c>
      <c r="F1049" s="235" t="s">
        <v>8432</v>
      </c>
      <c r="G1049" s="235" t="str">
        <f t="shared" si="563"/>
        <v>Rapsodyn</v>
      </c>
      <c r="H1049" s="235" t="s">
        <v>267</v>
      </c>
      <c r="I1049" s="235">
        <v>2</v>
      </c>
      <c r="J1049" s="235">
        <v>9061</v>
      </c>
      <c r="K1049" s="235">
        <v>17</v>
      </c>
      <c r="L1049" s="235">
        <f t="shared" si="562"/>
        <v>89</v>
      </c>
      <c r="M1049" s="235">
        <v>12</v>
      </c>
      <c r="N1049" s="235">
        <v>5</v>
      </c>
      <c r="O1049" s="248">
        <v>42048</v>
      </c>
      <c r="P1049" s="136">
        <v>6.78</v>
      </c>
      <c r="Q1049" s="264">
        <v>42204</v>
      </c>
      <c r="V1049" s="219">
        <f t="shared" si="564"/>
        <v>21.05165683786436</v>
      </c>
      <c r="X1049">
        <v>15.55</v>
      </c>
      <c r="AB1049" s="220">
        <f t="shared" si="565"/>
        <v>6.215313307835352</v>
      </c>
      <c r="AD1049" s="221">
        <f t="shared" si="566"/>
        <v>94610.242427437101</v>
      </c>
      <c r="AF1049" s="220">
        <f t="shared" si="567"/>
        <v>40.39857351651564</v>
      </c>
      <c r="AH1049" s="220">
        <f t="shared" si="568"/>
        <v>45.300037582995792</v>
      </c>
      <c r="AJ1049">
        <v>4.2699999999999996</v>
      </c>
      <c r="AK1049" s="285" t="s">
        <v>8398</v>
      </c>
      <c r="AL1049" s="260">
        <v>175</v>
      </c>
      <c r="AN1049" s="235">
        <v>70</v>
      </c>
      <c r="AO1049" s="242">
        <v>42074</v>
      </c>
      <c r="AP1049" s="235">
        <v>106</v>
      </c>
      <c r="AQ1049" s="242">
        <v>42110</v>
      </c>
      <c r="AR1049" s="136">
        <v>129</v>
      </c>
      <c r="AS1049" s="297">
        <f t="shared" si="569"/>
        <v>129</v>
      </c>
      <c r="AT1049" s="290">
        <v>42133</v>
      </c>
      <c r="AU1049" s="298"/>
      <c r="BF1049" s="282">
        <v>-7.9438738822937012</v>
      </c>
      <c r="BG1049" s="283">
        <v>42235</v>
      </c>
      <c r="BL1049" s="296">
        <v>67.438552856445313</v>
      </c>
      <c r="BM1049" s="283">
        <v>42235</v>
      </c>
      <c r="BP1049" s="282">
        <v>3.3778679370880127</v>
      </c>
      <c r="BQ1049" s="283">
        <v>42235</v>
      </c>
      <c r="BR1049" s="282">
        <v>52.109901428222656</v>
      </c>
      <c r="BS1049" s="283">
        <v>42235</v>
      </c>
      <c r="BT1049" s="282">
        <v>15.384982109069824</v>
      </c>
      <c r="BU1049" s="283">
        <v>42235</v>
      </c>
      <c r="BV1049" s="282">
        <v>11.868061065673828</v>
      </c>
      <c r="BW1049" s="283">
        <v>42235</v>
      </c>
      <c r="BX1049" s="282">
        <v>5.5652999877929687</v>
      </c>
      <c r="BY1049" s="283">
        <v>42235</v>
      </c>
      <c r="CB1049" s="267">
        <v>5.21</v>
      </c>
      <c r="CD1049" s="282">
        <v>5.4545454545454515</v>
      </c>
      <c r="CE1049" s="291" t="s">
        <v>8398</v>
      </c>
      <c r="CH1049" s="136">
        <v>2</v>
      </c>
      <c r="CI1049" s="136">
        <v>4</v>
      </c>
      <c r="CL1049" s="136">
        <v>1</v>
      </c>
      <c r="CM1049" s="259">
        <v>42161</v>
      </c>
      <c r="CN1049" s="137" t="s">
        <v>8406</v>
      </c>
    </row>
    <row r="1050" spans="1:93">
      <c r="A1050" s="258">
        <v>1738</v>
      </c>
      <c r="B1050" s="235">
        <v>862</v>
      </c>
      <c r="C1050" s="235" t="s">
        <v>7653</v>
      </c>
      <c r="D1050" s="235" t="s">
        <v>7484</v>
      </c>
      <c r="E1050" s="235" t="s">
        <v>7653</v>
      </c>
      <c r="F1050" s="235" t="s">
        <v>8431</v>
      </c>
      <c r="G1050" s="235" t="str">
        <f t="shared" si="563"/>
        <v>Rapsodyn</v>
      </c>
      <c r="H1050" s="235" t="s">
        <v>267</v>
      </c>
      <c r="I1050" s="235">
        <v>2</v>
      </c>
      <c r="J1050" s="235">
        <v>9037</v>
      </c>
      <c r="K1050" s="235">
        <v>15</v>
      </c>
      <c r="L1050" s="235">
        <f t="shared" si="562"/>
        <v>87</v>
      </c>
      <c r="M1050" s="235">
        <v>12</v>
      </c>
      <c r="N1050" s="235">
        <v>7</v>
      </c>
      <c r="O1050" s="248">
        <v>42048</v>
      </c>
      <c r="P1050" s="136">
        <v>4.3099999999999996</v>
      </c>
      <c r="Q1050" s="264">
        <v>42204</v>
      </c>
      <c r="V1050" s="219">
        <f t="shared" si="564"/>
        <v>11.839580105095026</v>
      </c>
      <c r="X1050">
        <v>15.55</v>
      </c>
      <c r="AB1050" s="220">
        <f t="shared" si="565"/>
        <v>5.3139919596717844</v>
      </c>
      <c r="AD1050" s="221">
        <f t="shared" si="566"/>
        <v>46790.465840822311</v>
      </c>
      <c r="AF1050" s="220">
        <f t="shared" si="567"/>
        <v>25.781546678293093</v>
      </c>
      <c r="AH1050" s="220">
        <f t="shared" si="568"/>
        <v>28.909561200149238</v>
      </c>
      <c r="AJ1050">
        <v>5.51</v>
      </c>
      <c r="AK1050" s="285" t="s">
        <v>8398</v>
      </c>
      <c r="AL1050" s="260">
        <v>185</v>
      </c>
      <c r="AN1050" s="235">
        <v>70</v>
      </c>
      <c r="AO1050" s="242">
        <v>42074</v>
      </c>
      <c r="AP1050" s="235">
        <v>106</v>
      </c>
      <c r="AQ1050" s="242">
        <v>42110</v>
      </c>
      <c r="AR1050" s="136">
        <v>127</v>
      </c>
      <c r="AS1050" s="297">
        <f t="shared" si="569"/>
        <v>127</v>
      </c>
      <c r="AT1050" s="290">
        <v>42131</v>
      </c>
      <c r="AU1050" s="298"/>
      <c r="BF1050" s="282">
        <v>-6.0750479698181152</v>
      </c>
      <c r="BG1050" s="283">
        <v>42234</v>
      </c>
      <c r="BL1050" s="296">
        <v>56.124229431152344</v>
      </c>
      <c r="BM1050" s="283">
        <v>42234</v>
      </c>
      <c r="BP1050" s="282">
        <v>3.5495660305023193</v>
      </c>
      <c r="BQ1050" s="283">
        <v>42234</v>
      </c>
      <c r="BR1050" s="282">
        <v>45.922691345214844</v>
      </c>
      <c r="BS1050" s="283">
        <v>42234</v>
      </c>
      <c r="BT1050" s="282">
        <v>20.611610412597656</v>
      </c>
      <c r="BU1050" s="283">
        <v>42234</v>
      </c>
      <c r="BV1050" s="282">
        <v>28.075843811035156</v>
      </c>
      <c r="BW1050" s="283">
        <v>42234</v>
      </c>
      <c r="BX1050" s="282">
        <v>5.7592926025390625</v>
      </c>
      <c r="BY1050" s="283">
        <v>42234</v>
      </c>
      <c r="CB1050" s="267">
        <v>5.88</v>
      </c>
      <c r="CD1050" s="282">
        <v>5.0847457627118757</v>
      </c>
      <c r="CE1050" s="291" t="s">
        <v>8398</v>
      </c>
      <c r="CH1050" s="136">
        <v>3</v>
      </c>
      <c r="CI1050" s="136">
        <v>7</v>
      </c>
      <c r="CL1050" s="136">
        <v>3</v>
      </c>
      <c r="CM1050" s="259">
        <v>42161</v>
      </c>
      <c r="CO1050" s="137" t="s">
        <v>8405</v>
      </c>
    </row>
    <row r="1051" spans="1:93">
      <c r="A1051" s="258">
        <v>1740</v>
      </c>
      <c r="B1051" s="235">
        <v>864</v>
      </c>
      <c r="C1051" s="235" t="s">
        <v>7640</v>
      </c>
      <c r="D1051" s="235" t="s">
        <v>7472</v>
      </c>
      <c r="E1051" s="235" t="s">
        <v>7640</v>
      </c>
      <c r="F1051" s="235" t="s">
        <v>8430</v>
      </c>
      <c r="G1051" s="235" t="str">
        <f t="shared" si="563"/>
        <v>Rapsodyn</v>
      </c>
      <c r="H1051" s="235" t="s">
        <v>267</v>
      </c>
      <c r="I1051" s="235">
        <v>2</v>
      </c>
      <c r="J1051" s="235">
        <v>9028</v>
      </c>
      <c r="K1051" s="235">
        <v>13</v>
      </c>
      <c r="L1051" s="235">
        <f t="shared" si="562"/>
        <v>85</v>
      </c>
      <c r="M1051" s="235">
        <v>12</v>
      </c>
      <c r="N1051" s="235">
        <v>7</v>
      </c>
      <c r="O1051" s="248">
        <v>42048</v>
      </c>
      <c r="P1051" s="136">
        <v>2.77</v>
      </c>
      <c r="Q1051" s="264">
        <v>42204</v>
      </c>
      <c r="V1051" s="219">
        <f t="shared" si="564"/>
        <v>7.9322285380187729</v>
      </c>
      <c r="X1051">
        <v>15.55</v>
      </c>
      <c r="AB1051" s="220">
        <f t="shared" si="565"/>
        <v>3.1255963098345307</v>
      </c>
      <c r="AD1051" s="221">
        <f t="shared" si="566"/>
        <v>34256.740044521393</v>
      </c>
      <c r="AF1051" s="220">
        <f t="shared" si="567"/>
        <v>16.785802621815481</v>
      </c>
      <c r="AH1051" s="220">
        <f t="shared" si="568"/>
        <v>18.82238463984692</v>
      </c>
      <c r="AJ1051">
        <v>4.9000000000000004</v>
      </c>
      <c r="AK1051" s="285" t="s">
        <v>8398</v>
      </c>
      <c r="AL1051" s="260">
        <v>145</v>
      </c>
      <c r="AN1051" s="235">
        <v>75</v>
      </c>
      <c r="AO1051" s="242">
        <v>42079</v>
      </c>
      <c r="AP1051" s="235">
        <v>104</v>
      </c>
      <c r="AQ1051" s="242">
        <v>42108</v>
      </c>
      <c r="AR1051" s="136">
        <v>126</v>
      </c>
      <c r="AS1051" s="297">
        <f t="shared" si="569"/>
        <v>126</v>
      </c>
      <c r="AT1051" s="290">
        <v>42130</v>
      </c>
      <c r="AU1051" s="298"/>
      <c r="BF1051" s="282">
        <v>-8.0816364288330078</v>
      </c>
      <c r="BG1051" s="283">
        <v>42235</v>
      </c>
      <c r="BL1051" s="296">
        <v>60.62127685546875</v>
      </c>
      <c r="BM1051" s="283">
        <v>42235</v>
      </c>
      <c r="BP1051" s="282">
        <v>2.895733118057251</v>
      </c>
      <c r="BQ1051" s="283">
        <v>42235</v>
      </c>
      <c r="BR1051" s="282">
        <v>47.255580902099609</v>
      </c>
      <c r="BS1051" s="283">
        <v>42235</v>
      </c>
      <c r="BT1051" s="282">
        <v>18.620475769042969</v>
      </c>
      <c r="BU1051" s="283">
        <v>42235</v>
      </c>
      <c r="BV1051" s="282">
        <v>54.69610595703125</v>
      </c>
      <c r="BW1051" s="283">
        <v>42235</v>
      </c>
      <c r="BX1051" s="282">
        <v>5.6883773803710938</v>
      </c>
      <c r="BY1051" s="283">
        <v>42235</v>
      </c>
      <c r="CB1051" s="267">
        <v>5.16</v>
      </c>
      <c r="CD1051" s="282">
        <v>3.8461538461538494</v>
      </c>
      <c r="CE1051" s="291" t="s">
        <v>8398</v>
      </c>
      <c r="CH1051" s="136">
        <v>1</v>
      </c>
      <c r="CI1051" s="136">
        <v>5</v>
      </c>
      <c r="CL1051" s="136">
        <v>4</v>
      </c>
      <c r="CM1051" s="259">
        <v>42161</v>
      </c>
      <c r="CN1051" s="137" t="s">
        <v>8406</v>
      </c>
    </row>
    <row r="1052" spans="1:93">
      <c r="A1052" s="258">
        <v>1741</v>
      </c>
      <c r="B1052" s="235">
        <v>865</v>
      </c>
      <c r="C1052" s="235" t="s">
        <v>7784</v>
      </c>
      <c r="D1052" s="235" t="s">
        <v>7582</v>
      </c>
      <c r="E1052" s="235" t="s">
        <v>7784</v>
      </c>
      <c r="F1052" s="235" t="s">
        <v>8429</v>
      </c>
      <c r="G1052" s="235" t="str">
        <f t="shared" si="563"/>
        <v>Rapsodyn</v>
      </c>
      <c r="H1052" s="235" t="s">
        <v>267</v>
      </c>
      <c r="I1052" s="235">
        <v>2</v>
      </c>
      <c r="J1052" s="235">
        <v>9155</v>
      </c>
      <c r="K1052" s="235">
        <v>12</v>
      </c>
      <c r="L1052" s="235">
        <f t="shared" si="562"/>
        <v>84</v>
      </c>
      <c r="M1052" s="235">
        <v>12</v>
      </c>
      <c r="N1052" s="235">
        <v>7</v>
      </c>
      <c r="O1052" s="248">
        <v>42048</v>
      </c>
      <c r="P1052" s="136">
        <v>7.82</v>
      </c>
      <c r="Q1052" s="264">
        <v>42204</v>
      </c>
      <c r="V1052" s="219">
        <f t="shared" si="564"/>
        <v>25.126472633455396</v>
      </c>
      <c r="X1052">
        <v>15.55</v>
      </c>
      <c r="AB1052" s="220">
        <f t="shared" si="565"/>
        <v>7.2214689045776925</v>
      </c>
      <c r="AD1052" s="221">
        <f t="shared" si="566"/>
        <v>108105.42760824386</v>
      </c>
      <c r="AF1052" s="220">
        <f t="shared" si="567"/>
        <v>47.458282720019049</v>
      </c>
      <c r="AH1052" s="220">
        <f t="shared" si="568"/>
        <v>53.216284727538742</v>
      </c>
      <c r="AJ1052">
        <v>4.3899999999999997</v>
      </c>
      <c r="AK1052" s="285" t="s">
        <v>8398</v>
      </c>
      <c r="AL1052" s="260">
        <v>170</v>
      </c>
      <c r="AN1052" s="235">
        <v>72</v>
      </c>
      <c r="AO1052" s="242">
        <v>42076</v>
      </c>
      <c r="AP1052" s="235">
        <v>106</v>
      </c>
      <c r="AQ1052" s="242">
        <v>42110</v>
      </c>
      <c r="AR1052" s="136">
        <v>132</v>
      </c>
      <c r="AS1052" s="297">
        <f t="shared" si="569"/>
        <v>132</v>
      </c>
      <c r="AT1052" s="290">
        <v>42136</v>
      </c>
      <c r="AU1052" s="298"/>
      <c r="BF1052" s="282">
        <v>-4.3882060050964355</v>
      </c>
      <c r="BG1052" s="283">
        <v>42235</v>
      </c>
      <c r="BL1052" s="296">
        <v>65.701751708984375</v>
      </c>
      <c r="BM1052" s="283">
        <v>42235</v>
      </c>
      <c r="BP1052" s="282">
        <v>2.8660581111907959</v>
      </c>
      <c r="BQ1052" s="283">
        <v>42235</v>
      </c>
      <c r="BR1052" s="282">
        <v>52.9443359375</v>
      </c>
      <c r="BS1052" s="283">
        <v>42235</v>
      </c>
      <c r="BT1052" s="282">
        <v>15.216456413269043</v>
      </c>
      <c r="BU1052" s="283">
        <v>42235</v>
      </c>
      <c r="BV1052" s="282">
        <v>11.797703742980957</v>
      </c>
      <c r="BW1052" s="283">
        <v>42235</v>
      </c>
      <c r="BX1052" s="282">
        <v>5.3805770874023437</v>
      </c>
      <c r="BY1052" s="283">
        <v>42235</v>
      </c>
      <c r="CB1052" s="267">
        <v>6.04</v>
      </c>
      <c r="CD1052" s="282">
        <v>3.7037037037037068</v>
      </c>
      <c r="CE1052" s="291" t="s">
        <v>8398</v>
      </c>
      <c r="CH1052" s="136">
        <v>2</v>
      </c>
      <c r="CI1052" s="136">
        <v>4</v>
      </c>
      <c r="CL1052" s="136">
        <v>1</v>
      </c>
      <c r="CM1052" s="259">
        <v>42161</v>
      </c>
      <c r="CN1052" s="137" t="s">
        <v>8406</v>
      </c>
    </row>
    <row r="1053" spans="1:93">
      <c r="A1053" s="258">
        <v>1743</v>
      </c>
      <c r="B1053" s="235">
        <v>867</v>
      </c>
      <c r="C1053" s="235" t="s">
        <v>7625</v>
      </c>
      <c r="D1053" s="235" t="s">
        <v>7816</v>
      </c>
      <c r="E1053" s="235" t="s">
        <v>7625</v>
      </c>
      <c r="F1053" s="235" t="s">
        <v>8428</v>
      </c>
      <c r="G1053" s="235" t="str">
        <f t="shared" si="563"/>
        <v>Rapsodyn</v>
      </c>
      <c r="H1053" s="235" t="s">
        <v>267</v>
      </c>
      <c r="I1053" s="235">
        <v>2</v>
      </c>
      <c r="J1053" s="235">
        <v>9017</v>
      </c>
      <c r="K1053" s="235">
        <v>10</v>
      </c>
      <c r="L1053" s="235">
        <f t="shared" si="562"/>
        <v>82</v>
      </c>
      <c r="M1053" s="235">
        <v>12</v>
      </c>
      <c r="N1053" s="235">
        <v>9</v>
      </c>
      <c r="O1053" s="248">
        <v>42048</v>
      </c>
      <c r="P1053" s="136">
        <v>4.5199999999999996</v>
      </c>
      <c r="Q1053" s="264">
        <v>42204</v>
      </c>
      <c r="V1053" s="219">
        <f t="shared" si="564"/>
        <v>13.347958961423549</v>
      </c>
      <c r="X1053">
        <v>15.55</v>
      </c>
      <c r="AB1053" s="220">
        <f t="shared" si="565"/>
        <v>4.8133591346295272</v>
      </c>
      <c r="AD1053" s="221">
        <f t="shared" si="566"/>
        <v>65661.560430519807</v>
      </c>
      <c r="AF1053" s="220">
        <f t="shared" si="567"/>
        <v>26.986901336943642</v>
      </c>
      <c r="AH1053" s="220">
        <f t="shared" si="568"/>
        <v>30.261158709288679</v>
      </c>
      <c r="AJ1053">
        <v>4.1100000000000003</v>
      </c>
      <c r="AK1053" s="285" t="s">
        <v>8401</v>
      </c>
      <c r="AL1053" s="260">
        <v>165</v>
      </c>
      <c r="AN1053" s="235">
        <v>82</v>
      </c>
      <c r="AO1053" s="242">
        <v>42086</v>
      </c>
      <c r="AP1053" s="235">
        <v>110</v>
      </c>
      <c r="AQ1053" s="242">
        <v>42114</v>
      </c>
      <c r="AR1053" s="136">
        <v>149</v>
      </c>
      <c r="AS1053" s="297">
        <f t="shared" si="569"/>
        <v>149</v>
      </c>
      <c r="AT1053" s="290">
        <v>42153</v>
      </c>
      <c r="AU1053" s="298"/>
      <c r="BF1053" s="282">
        <v>32.116447448730469</v>
      </c>
      <c r="BG1053" s="283">
        <v>42234</v>
      </c>
      <c r="BL1053" s="296">
        <v>62.042263031005859</v>
      </c>
      <c r="BM1053" s="283">
        <v>42234</v>
      </c>
      <c r="BP1053" s="282">
        <v>2.9698400497436523</v>
      </c>
      <c r="BQ1053" s="283">
        <v>42234</v>
      </c>
      <c r="BR1053" s="282">
        <v>49.460880279541016</v>
      </c>
      <c r="BS1053" s="283">
        <v>42234</v>
      </c>
      <c r="BT1053" s="282">
        <v>17.835908889770508</v>
      </c>
      <c r="BU1053" s="283">
        <v>42234</v>
      </c>
      <c r="BV1053" s="282">
        <v>52.792327880859375</v>
      </c>
      <c r="BW1053" s="283">
        <v>42234</v>
      </c>
      <c r="BX1053" s="282">
        <v>5.4058990478515625</v>
      </c>
      <c r="BY1053" s="283">
        <v>42234</v>
      </c>
      <c r="CB1053" s="267">
        <v>7.11</v>
      </c>
      <c r="CD1053" s="282">
        <v>5.2631578947368389</v>
      </c>
      <c r="CE1053" s="291" t="s">
        <v>8401</v>
      </c>
      <c r="CH1053" s="136">
        <v>3</v>
      </c>
      <c r="CI1053" s="136">
        <v>2</v>
      </c>
      <c r="CL1053" s="136">
        <v>3</v>
      </c>
      <c r="CM1053" s="259">
        <v>42161</v>
      </c>
      <c r="CN1053" s="137" t="s">
        <v>8406</v>
      </c>
    </row>
    <row r="1054" spans="1:93">
      <c r="A1054" s="258">
        <v>1745</v>
      </c>
      <c r="B1054" s="235">
        <v>869</v>
      </c>
      <c r="C1054" s="235" t="s">
        <v>7576</v>
      </c>
      <c r="D1054" s="235"/>
      <c r="E1054" s="235"/>
      <c r="F1054" s="235"/>
      <c r="G1054" s="235"/>
      <c r="H1054" s="235" t="s">
        <v>267</v>
      </c>
      <c r="I1054" s="235">
        <v>2</v>
      </c>
      <c r="K1054" s="235">
        <v>8</v>
      </c>
      <c r="L1054" s="235">
        <f t="shared" si="562"/>
        <v>80</v>
      </c>
      <c r="M1054" s="235">
        <v>12</v>
      </c>
      <c r="O1054" s="248">
        <v>42048</v>
      </c>
      <c r="V1054" s="219"/>
      <c r="X1054">
        <v>15.55</v>
      </c>
      <c r="AB1054" s="220"/>
      <c r="AD1054" s="221"/>
      <c r="AF1054" s="220"/>
      <c r="AH1054" s="220"/>
      <c r="AJ1054" s="286"/>
      <c r="AK1054" s="285"/>
      <c r="AL1054" s="260"/>
      <c r="AN1054" s="235">
        <v>70</v>
      </c>
      <c r="AO1054" s="242">
        <v>42074</v>
      </c>
      <c r="AP1054" s="235">
        <v>106</v>
      </c>
      <c r="AQ1054" s="242">
        <v>42110</v>
      </c>
      <c r="AS1054" s="297"/>
      <c r="AT1054" s="290"/>
      <c r="AU1054" s="298"/>
      <c r="BF1054" s="282"/>
      <c r="BG1054" s="235"/>
      <c r="BL1054" s="296"/>
      <c r="BM1054" s="235"/>
      <c r="BP1054" s="282"/>
      <c r="BQ1054" s="235"/>
      <c r="BR1054" s="282"/>
      <c r="BS1054" s="235"/>
      <c r="BT1054" s="282"/>
      <c r="BU1054" s="235"/>
      <c r="BV1054" s="282"/>
      <c r="BW1054" s="235"/>
      <c r="BX1054" s="282"/>
      <c r="BY1054" s="235"/>
      <c r="CB1054" s="267"/>
      <c r="CD1054" s="282"/>
      <c r="CE1054" s="291"/>
      <c r="CL1054" s="136">
        <v>3</v>
      </c>
      <c r="CM1054" s="259">
        <v>42161</v>
      </c>
    </row>
    <row r="1055" spans="1:93">
      <c r="A1055" s="258">
        <v>1746</v>
      </c>
      <c r="B1055" s="235">
        <v>870</v>
      </c>
      <c r="C1055" s="235" t="s">
        <v>7744</v>
      </c>
      <c r="D1055" s="235" t="s">
        <v>7876</v>
      </c>
      <c r="E1055" s="235" t="s">
        <v>7744</v>
      </c>
      <c r="F1055" s="235" t="s">
        <v>8427</v>
      </c>
      <c r="G1055" s="235" t="str">
        <f t="shared" ref="G1055:G1058" si="570">IF(MID(C1055,1,3)="BGA","Complement","Rapsodyn")</f>
        <v>Rapsodyn</v>
      </c>
      <c r="H1055" s="235" t="s">
        <v>267</v>
      </c>
      <c r="I1055" s="235">
        <v>2</v>
      </c>
      <c r="J1055" s="235">
        <v>9377</v>
      </c>
      <c r="K1055" s="235">
        <v>7</v>
      </c>
      <c r="L1055" s="235">
        <f t="shared" si="562"/>
        <v>79</v>
      </c>
      <c r="M1055" s="235">
        <v>12</v>
      </c>
      <c r="N1055" s="235">
        <v>7</v>
      </c>
      <c r="O1055" s="248">
        <v>42048</v>
      </c>
      <c r="P1055" s="136">
        <v>2.35</v>
      </c>
      <c r="Q1055" s="264">
        <v>42204</v>
      </c>
      <c r="V1055" s="219">
        <f>+BR1055*AF1055/100</f>
        <v>6.8052923663874774</v>
      </c>
      <c r="X1055">
        <v>15.55</v>
      </c>
      <c r="AB1055" s="220">
        <f>+AF1055*BT1055/100</f>
        <v>2.6212798584175072</v>
      </c>
      <c r="AD1055" s="221">
        <f>+(AF1055/AJ1055)*10000</f>
        <v>37258.589658031502</v>
      </c>
      <c r="AF1055" s="220">
        <f>($P1055/$X1055)*(((100-$CD1055)/100*(100-2)/100))*100</f>
        <v>13.971971121761815</v>
      </c>
      <c r="AH1055" s="220">
        <f>($P1055/$X1055)*(((100-$CD1055)/(100-9)*(100-2)/(100-2))*100)</f>
        <v>15.667157570937222</v>
      </c>
      <c r="AJ1055">
        <v>3.75</v>
      </c>
      <c r="AK1055" s="285" t="s">
        <v>8400</v>
      </c>
      <c r="AL1055" s="260">
        <v>165</v>
      </c>
      <c r="AN1055" s="235">
        <v>70</v>
      </c>
      <c r="AO1055" s="242">
        <v>42074</v>
      </c>
      <c r="AP1055" s="235">
        <v>106</v>
      </c>
      <c r="AQ1055" s="242">
        <v>42110</v>
      </c>
      <c r="AR1055" s="136">
        <v>132</v>
      </c>
      <c r="AS1055" s="297">
        <f>IF(AR1055=0,,AR1055)</f>
        <v>132</v>
      </c>
      <c r="AT1055" s="290">
        <v>42136</v>
      </c>
      <c r="AU1055" s="298"/>
      <c r="BF1055" s="282">
        <v>40.879570007324219</v>
      </c>
      <c r="BG1055" s="283">
        <v>42236</v>
      </c>
      <c r="BL1055" s="296">
        <v>58.541233062744141</v>
      </c>
      <c r="BM1055" s="283">
        <v>42236</v>
      </c>
      <c r="BP1055" s="282">
        <v>2.6110780239105225</v>
      </c>
      <c r="BQ1055" s="283">
        <v>42236</v>
      </c>
      <c r="BR1055" s="282">
        <v>48.706745147705078</v>
      </c>
      <c r="BS1055" s="283">
        <v>42236</v>
      </c>
      <c r="BT1055" s="282">
        <v>18.760988235473633</v>
      </c>
      <c r="BU1055" s="283">
        <v>42236</v>
      </c>
      <c r="BV1055" s="282">
        <v>70.9793701171875</v>
      </c>
      <c r="BW1055" s="283">
        <v>42236</v>
      </c>
      <c r="BX1055" s="282">
        <v>5.5704727172851562</v>
      </c>
      <c r="BY1055" s="283">
        <v>42236</v>
      </c>
      <c r="CB1055" s="267">
        <v>6.53</v>
      </c>
      <c r="CD1055" s="282">
        <v>5.660377358490563</v>
      </c>
      <c r="CE1055" s="291" t="s">
        <v>8400</v>
      </c>
      <c r="CH1055" s="136">
        <v>2</v>
      </c>
      <c r="CI1055" s="136">
        <v>5</v>
      </c>
      <c r="CL1055" s="136">
        <v>7</v>
      </c>
      <c r="CM1055" s="259">
        <v>42161</v>
      </c>
      <c r="CN1055" s="137" t="s">
        <v>8406</v>
      </c>
    </row>
    <row r="1056" spans="1:93">
      <c r="A1056" s="258">
        <v>1747</v>
      </c>
      <c r="B1056" s="235">
        <v>871</v>
      </c>
      <c r="C1056" s="235" t="s">
        <v>7742</v>
      </c>
      <c r="D1056" s="235" t="s">
        <v>7878</v>
      </c>
      <c r="E1056" s="235" t="s">
        <v>7742</v>
      </c>
      <c r="F1056" s="235" t="s">
        <v>8426</v>
      </c>
      <c r="G1056" s="235" t="str">
        <f t="shared" si="570"/>
        <v>Rapsodyn</v>
      </c>
      <c r="H1056" s="235" t="s">
        <v>267</v>
      </c>
      <c r="I1056" s="235">
        <v>2</v>
      </c>
      <c r="J1056" s="235">
        <v>9376</v>
      </c>
      <c r="K1056" s="235">
        <v>6</v>
      </c>
      <c r="L1056" s="235">
        <f t="shared" si="562"/>
        <v>78</v>
      </c>
      <c r="M1056" s="235">
        <v>12</v>
      </c>
      <c r="N1056" s="235">
        <v>7</v>
      </c>
      <c r="O1056" s="248">
        <v>42048</v>
      </c>
      <c r="P1056" s="136">
        <v>3.05</v>
      </c>
      <c r="Q1056" s="264">
        <v>42204</v>
      </c>
      <c r="V1056" s="219">
        <f>+BR1056*AF1056/100</f>
        <v>8.5786118038077994</v>
      </c>
      <c r="X1056">
        <v>15.55</v>
      </c>
      <c r="AB1056" s="220">
        <f>+AF1056*BT1056/100</f>
        <v>3.7749965890555264</v>
      </c>
      <c r="AD1056" s="221">
        <f>+(AF1056/AJ1056)*10000</f>
        <v>46193.342406002863</v>
      </c>
      <c r="AF1056" s="220">
        <f>($P1056/$X1056)*(((100-$CD1056)/100*(100-2)/100))*100</f>
        <v>18.153983565559127</v>
      </c>
      <c r="AH1056" s="220">
        <f>($P1056/$X1056)*(((100-$CD1056)/(100-9)*(100-2)/(100-2))*100)</f>
        <v>20.356563764923891</v>
      </c>
      <c r="AJ1056">
        <v>3.93</v>
      </c>
      <c r="AK1056" s="285" t="s">
        <v>8400</v>
      </c>
      <c r="AL1056" s="260">
        <v>185</v>
      </c>
      <c r="AN1056" s="235">
        <v>75</v>
      </c>
      <c r="AO1056" s="242">
        <v>42079</v>
      </c>
      <c r="AP1056" s="235">
        <v>110</v>
      </c>
      <c r="AQ1056" s="242">
        <v>42114</v>
      </c>
      <c r="AR1056" s="136">
        <v>133</v>
      </c>
      <c r="AS1056" s="297">
        <f>IF(AR1056=0,,AR1056)</f>
        <v>133</v>
      </c>
      <c r="AT1056" s="290">
        <v>42137</v>
      </c>
      <c r="AU1056" s="298"/>
      <c r="BF1056" s="282">
        <v>36.434379577636719</v>
      </c>
      <c r="BG1056" s="283">
        <v>42236</v>
      </c>
      <c r="BL1056" s="296">
        <v>60.249870300292969</v>
      </c>
      <c r="BM1056" s="283">
        <v>42236</v>
      </c>
      <c r="BP1056" s="282">
        <v>3.7251489162445068</v>
      </c>
      <c r="BQ1056" s="283">
        <v>42236</v>
      </c>
      <c r="BR1056" s="282">
        <v>47.254707336425781</v>
      </c>
      <c r="BS1056" s="283">
        <v>42236</v>
      </c>
      <c r="BT1056" s="282">
        <v>20.794315338134766</v>
      </c>
      <c r="BU1056" s="283">
        <v>42236</v>
      </c>
      <c r="BV1056" s="282">
        <v>74.703681945800781</v>
      </c>
      <c r="BW1056" s="283">
        <v>42236</v>
      </c>
      <c r="BX1056" s="282">
        <v>5.831817626953125</v>
      </c>
      <c r="BY1056" s="283">
        <v>42236</v>
      </c>
      <c r="CB1056" s="267">
        <v>6.27</v>
      </c>
      <c r="CD1056" s="282">
        <v>5.5555555555555687</v>
      </c>
      <c r="CE1056" s="291" t="s">
        <v>8400</v>
      </c>
      <c r="CH1056" s="136">
        <v>3</v>
      </c>
      <c r="CI1056" s="136">
        <v>5</v>
      </c>
      <c r="CL1056" s="136">
        <v>7</v>
      </c>
      <c r="CM1056" s="259">
        <v>42161</v>
      </c>
      <c r="CN1056" s="137" t="s">
        <v>8406</v>
      </c>
    </row>
    <row r="1057" spans="1:92">
      <c r="A1057" s="258">
        <v>1748</v>
      </c>
      <c r="B1057" s="235">
        <v>872</v>
      </c>
      <c r="C1057" s="235" t="s">
        <v>7611</v>
      </c>
      <c r="D1057" s="235" t="s">
        <v>7449</v>
      </c>
      <c r="E1057" s="235" t="s">
        <v>7611</v>
      </c>
      <c r="F1057" s="235" t="s">
        <v>8425</v>
      </c>
      <c r="G1057" s="235" t="str">
        <f t="shared" si="570"/>
        <v>Rapsodyn</v>
      </c>
      <c r="H1057" s="235" t="s">
        <v>267</v>
      </c>
      <c r="I1057" s="235">
        <v>2</v>
      </c>
      <c r="J1057" s="235">
        <v>9363</v>
      </c>
      <c r="K1057" s="235">
        <v>5</v>
      </c>
      <c r="L1057" s="235">
        <f t="shared" si="562"/>
        <v>77</v>
      </c>
      <c r="M1057" s="235">
        <v>12</v>
      </c>
      <c r="N1057" s="235">
        <v>7</v>
      </c>
      <c r="O1057" s="248">
        <v>42048</v>
      </c>
      <c r="P1057" s="136">
        <v>2.5</v>
      </c>
      <c r="Q1057" s="264">
        <v>42204</v>
      </c>
      <c r="V1057" s="219">
        <f>+BR1057*AF1057/100</f>
        <v>7.086649265623727</v>
      </c>
      <c r="X1057">
        <v>15.55</v>
      </c>
      <c r="AB1057" s="220">
        <f>+AF1057*BT1057/100</f>
        <v>2.8405056194158926</v>
      </c>
      <c r="AD1057" s="221">
        <f>+(AF1057/AJ1057)*10000</f>
        <v>29250.04635419674</v>
      </c>
      <c r="AF1057" s="220">
        <f>($P1057/$X1057)*(((100-$CD1057)/100*(100-2)/100))*100</f>
        <v>14.56652308438998</v>
      </c>
      <c r="AH1057" s="220">
        <f>($P1057/$X1057)*(((100-$CD1057)/(100-9)*(100-2)/(100-2))*100)</f>
        <v>16.333845127147317</v>
      </c>
      <c r="AJ1057">
        <v>4.9800000000000004</v>
      </c>
      <c r="AK1057" s="285" t="s">
        <v>8398</v>
      </c>
      <c r="AL1057" s="260">
        <v>175</v>
      </c>
      <c r="AN1057" s="235">
        <v>63</v>
      </c>
      <c r="AO1057" s="242">
        <v>42067</v>
      </c>
      <c r="AP1057" s="235">
        <v>100</v>
      </c>
      <c r="AQ1057" s="242">
        <v>42104</v>
      </c>
      <c r="AR1057" s="136">
        <v>125</v>
      </c>
      <c r="AS1057" s="297">
        <f>IF(AR1057=0,,AR1057)</f>
        <v>125</v>
      </c>
      <c r="AT1057" s="290">
        <v>42129</v>
      </c>
      <c r="AU1057" s="298"/>
      <c r="BF1057" s="282">
        <v>36.617576599121094</v>
      </c>
      <c r="BG1057" s="283">
        <v>42236</v>
      </c>
      <c r="BL1057" s="296">
        <v>60.803218841552734</v>
      </c>
      <c r="BM1057" s="283">
        <v>42236</v>
      </c>
      <c r="BP1057" s="282">
        <v>3.650784969329834</v>
      </c>
      <c r="BQ1057" s="283">
        <v>42236</v>
      </c>
      <c r="BR1057" s="282">
        <v>48.650245666503906</v>
      </c>
      <c r="BS1057" s="283">
        <v>42236</v>
      </c>
      <c r="BT1057" s="282">
        <v>19.50023078918457</v>
      </c>
      <c r="BU1057" s="283">
        <v>42236</v>
      </c>
      <c r="BV1057" s="282">
        <v>69.617630004882813</v>
      </c>
      <c r="BW1057" s="283">
        <v>42236</v>
      </c>
      <c r="BX1057" s="282">
        <v>5.5495529174804687</v>
      </c>
      <c r="BY1057" s="283">
        <v>42236</v>
      </c>
      <c r="CB1057" s="267">
        <v>7.83</v>
      </c>
      <c r="CD1057" s="282">
        <v>7.547169811320745</v>
      </c>
      <c r="CE1057" s="291" t="s">
        <v>8398</v>
      </c>
      <c r="CH1057" s="136">
        <v>4</v>
      </c>
      <c r="CI1057" s="136">
        <v>3</v>
      </c>
      <c r="CL1057" s="136">
        <v>7</v>
      </c>
      <c r="CM1057" s="259">
        <v>42161</v>
      </c>
      <c r="CN1057" s="137" t="s">
        <v>8406</v>
      </c>
    </row>
    <row r="1058" spans="1:92">
      <c r="A1058" s="258">
        <v>1749</v>
      </c>
      <c r="B1058" s="235">
        <v>873</v>
      </c>
      <c r="C1058" s="235" t="s">
        <v>7605</v>
      </c>
      <c r="D1058" s="235" t="s">
        <v>7446</v>
      </c>
      <c r="E1058" s="235" t="s">
        <v>7605</v>
      </c>
      <c r="F1058" s="235" t="s">
        <v>8424</v>
      </c>
      <c r="G1058" s="235" t="str">
        <f t="shared" si="570"/>
        <v>Rapsodyn</v>
      </c>
      <c r="H1058" s="235" t="s">
        <v>267</v>
      </c>
      <c r="I1058" s="235">
        <v>2</v>
      </c>
      <c r="J1058" s="235">
        <v>9361</v>
      </c>
      <c r="K1058" s="235">
        <v>4</v>
      </c>
      <c r="L1058" s="235">
        <f t="shared" si="562"/>
        <v>76</v>
      </c>
      <c r="M1058" s="235">
        <v>12</v>
      </c>
      <c r="N1058" s="235">
        <v>7</v>
      </c>
      <c r="O1058" s="248">
        <v>42048</v>
      </c>
      <c r="P1058" s="136">
        <v>2.85</v>
      </c>
      <c r="Q1058" s="264">
        <v>42204</v>
      </c>
      <c r="V1058" s="219">
        <f>+BR1058*AF1058/100</f>
        <v>7.7990855797770724</v>
      </c>
      <c r="X1058">
        <v>15.55</v>
      </c>
      <c r="AB1058" s="220">
        <f>+AF1058*BT1058/100</f>
        <v>3.7244344397296483</v>
      </c>
      <c r="AD1058" s="221">
        <f>+(AF1058/AJ1058)*10000</f>
        <v>33671.299657711861</v>
      </c>
      <c r="AF1058" s="220">
        <f>($P1058/$X1058)*(((100-$CD1058)/100*(100-2)/100))*100</f>
        <v>16.700964630225084</v>
      </c>
      <c r="AH1058" s="220">
        <f>($P1058/$X1058)*(((100-$CD1058)/(100-9)*(100-2)/(100-2))*100)</f>
        <v>18.727253453941557</v>
      </c>
      <c r="AJ1058">
        <v>4.96</v>
      </c>
      <c r="AK1058" s="285" t="s">
        <v>8398</v>
      </c>
      <c r="AL1058" s="260">
        <v>175</v>
      </c>
      <c r="AN1058" s="235">
        <v>70</v>
      </c>
      <c r="AO1058" s="242">
        <v>42074</v>
      </c>
      <c r="AP1058" s="235">
        <v>106</v>
      </c>
      <c r="AQ1058" s="242">
        <v>42110</v>
      </c>
      <c r="AR1058" s="136">
        <v>146</v>
      </c>
      <c r="AS1058" s="297">
        <f>IF(AR1058=0,,AR1058)</f>
        <v>146</v>
      </c>
      <c r="AT1058" s="290">
        <v>42150</v>
      </c>
      <c r="AU1058" s="298"/>
      <c r="BF1058" s="282">
        <v>42.254592895507812</v>
      </c>
      <c r="BG1058" s="283">
        <v>42236</v>
      </c>
      <c r="BL1058" s="296">
        <v>59.961746215820313</v>
      </c>
      <c r="BM1058" s="283">
        <v>42236</v>
      </c>
      <c r="BP1058" s="282">
        <v>3.4103960990905762</v>
      </c>
      <c r="BQ1058" s="283">
        <v>42236</v>
      </c>
      <c r="BR1058" s="282">
        <v>46.698413848876953</v>
      </c>
      <c r="BS1058" s="283">
        <v>42236</v>
      </c>
      <c r="BT1058" s="282">
        <v>22.300714492797852</v>
      </c>
      <c r="BU1058" s="283">
        <v>42236</v>
      </c>
      <c r="BV1058" s="282">
        <v>85.433929443359375</v>
      </c>
      <c r="BW1058" s="283">
        <v>42236</v>
      </c>
      <c r="BX1058" s="282">
        <v>5.6296463012695312</v>
      </c>
      <c r="BY1058" s="283">
        <v>42236</v>
      </c>
      <c r="CB1058" s="267">
        <v>7.89</v>
      </c>
      <c r="CD1058" s="282">
        <v>7.0175438596491295</v>
      </c>
      <c r="CE1058" s="291" t="s">
        <v>8398</v>
      </c>
      <c r="CH1058" s="136">
        <v>3</v>
      </c>
      <c r="CI1058" s="136">
        <v>3</v>
      </c>
      <c r="CL1058" s="136">
        <v>3</v>
      </c>
      <c r="CM1058" s="259">
        <v>42161</v>
      </c>
      <c r="CN1058" s="137" t="s">
        <v>8406</v>
      </c>
    </row>
    <row r="1059" spans="1:92">
      <c r="A1059" s="258">
        <v>1750</v>
      </c>
      <c r="B1059" s="235">
        <v>874</v>
      </c>
      <c r="C1059" s="235" t="s">
        <v>7576</v>
      </c>
      <c r="D1059" s="235"/>
      <c r="E1059" s="235"/>
      <c r="F1059" s="235"/>
      <c r="G1059" s="235"/>
      <c r="H1059" s="235" t="s">
        <v>267</v>
      </c>
      <c r="I1059" s="235">
        <v>2</v>
      </c>
      <c r="K1059" s="235">
        <v>3</v>
      </c>
      <c r="L1059" s="235">
        <f t="shared" si="562"/>
        <v>75</v>
      </c>
      <c r="M1059" s="235">
        <v>12</v>
      </c>
      <c r="O1059" s="248">
        <v>42048</v>
      </c>
      <c r="V1059" s="219"/>
      <c r="X1059">
        <v>15.55</v>
      </c>
      <c r="AB1059" s="220"/>
      <c r="AD1059" s="221"/>
      <c r="AF1059" s="220"/>
      <c r="AH1059" s="220"/>
      <c r="AL1059" s="260"/>
      <c r="AN1059" s="235">
        <v>70</v>
      </c>
      <c r="AO1059" s="242">
        <v>42074</v>
      </c>
      <c r="AP1059" s="235">
        <v>106</v>
      </c>
      <c r="AQ1059" s="242">
        <v>42110</v>
      </c>
      <c r="AS1059" s="297"/>
      <c r="BG1059" s="136"/>
      <c r="BL1059" s="296"/>
      <c r="BP1059" s="282"/>
      <c r="BR1059" s="282"/>
      <c r="BT1059" s="282"/>
      <c r="BX1059" s="282"/>
      <c r="CB1059" s="267"/>
      <c r="CD1059" s="282"/>
      <c r="CE1059" s="285"/>
      <c r="CL1059" s="136">
        <v>2</v>
      </c>
      <c r="CM1059" s="259">
        <v>42161</v>
      </c>
    </row>
    <row r="1060" spans="1:92">
      <c r="A1060" s="258">
        <v>1751</v>
      </c>
      <c r="B1060" s="235">
        <v>875</v>
      </c>
      <c r="C1060" s="235" t="s">
        <v>7576</v>
      </c>
      <c r="D1060" s="235"/>
      <c r="E1060" s="235"/>
      <c r="F1060" s="235"/>
      <c r="G1060" s="235"/>
      <c r="H1060" s="235" t="s">
        <v>267</v>
      </c>
      <c r="I1060" s="235">
        <v>2</v>
      </c>
      <c r="K1060" s="235">
        <v>2</v>
      </c>
      <c r="L1060" s="235">
        <f t="shared" si="562"/>
        <v>74</v>
      </c>
      <c r="M1060" s="235">
        <v>12</v>
      </c>
      <c r="O1060" s="248">
        <v>42048</v>
      </c>
      <c r="V1060" s="219"/>
      <c r="X1060">
        <v>15.55</v>
      </c>
      <c r="AB1060" s="220"/>
      <c r="AD1060" s="221"/>
      <c r="AF1060" s="220"/>
      <c r="AH1060" s="220"/>
      <c r="AL1060" s="260"/>
      <c r="AN1060" s="235">
        <v>70</v>
      </c>
      <c r="AO1060" s="242">
        <v>42074</v>
      </c>
      <c r="AP1060" s="235">
        <v>106</v>
      </c>
      <c r="AQ1060" s="242">
        <v>42110</v>
      </c>
      <c r="AS1060" s="297"/>
      <c r="BG1060" s="136"/>
      <c r="BL1060" s="296"/>
      <c r="BP1060" s="282"/>
      <c r="BR1060" s="282"/>
      <c r="BT1060" s="282"/>
      <c r="BX1060" s="282"/>
      <c r="CB1060" s="267"/>
      <c r="CD1060" s="282"/>
      <c r="CE1060" s="285"/>
      <c r="CL1060" s="136">
        <v>2</v>
      </c>
      <c r="CM1060" s="259">
        <v>42161</v>
      </c>
    </row>
    <row r="1061" spans="1:92">
      <c r="A1061" s="258">
        <v>1752</v>
      </c>
      <c r="B1061" s="235">
        <v>876</v>
      </c>
      <c r="C1061" s="235" t="s">
        <v>7576</v>
      </c>
      <c r="D1061" s="235"/>
      <c r="E1061" s="235"/>
      <c r="F1061" s="235"/>
      <c r="G1061" s="235"/>
      <c r="H1061" s="235" t="s">
        <v>267</v>
      </c>
      <c r="I1061" s="235">
        <v>2</v>
      </c>
      <c r="K1061" s="235">
        <v>1</v>
      </c>
      <c r="L1061" s="235">
        <f t="shared" si="562"/>
        <v>73</v>
      </c>
      <c r="M1061" s="235">
        <v>12</v>
      </c>
      <c r="O1061" s="248">
        <v>42048</v>
      </c>
      <c r="V1061" s="219"/>
      <c r="X1061">
        <v>15.55</v>
      </c>
      <c r="AB1061" s="220"/>
      <c r="AD1061" s="221"/>
      <c r="AF1061" s="220"/>
      <c r="AH1061" s="220"/>
      <c r="AN1061" s="235">
        <v>70</v>
      </c>
      <c r="AO1061" s="242">
        <v>42074</v>
      </c>
      <c r="AP1061" s="235">
        <v>106</v>
      </c>
      <c r="AQ1061" s="242">
        <v>42110</v>
      </c>
      <c r="AS1061" s="297"/>
      <c r="BG1061" s="136"/>
      <c r="BL1061" s="296"/>
      <c r="BP1061" s="282"/>
      <c r="BR1061" s="282"/>
      <c r="BX1061" s="282"/>
      <c r="CB1061" s="267"/>
      <c r="CD1061" s="282"/>
      <c r="CE1061" s="285"/>
      <c r="CL1061" s="136">
        <v>2</v>
      </c>
      <c r="CM1061" s="259">
        <v>42161</v>
      </c>
    </row>
    <row r="1062" spans="1:92">
      <c r="CD1062" s="282"/>
    </row>
  </sheetData>
  <sheetProtection selectLockedCells="1" selectUnlockedCells="1"/>
  <conditionalFormatting sqref="CI2:CI1061">
    <cfRule type="cellIs" dxfId="0" priority="1" operator="greaterThanOrEqual">
      <formula>7</formula>
    </cfRule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CF1736"/>
  <sheetViews>
    <sheetView zoomScale="115" zoomScaleNormal="115" workbookViewId="0">
      <selection activeCell="B19" sqref="B19"/>
    </sheetView>
  </sheetViews>
  <sheetFormatPr baseColWidth="10" defaultColWidth="11.5703125" defaultRowHeight="12.75"/>
  <cols>
    <col min="1" max="1" width="44" style="141" bestFit="1" customWidth="1"/>
    <col min="2" max="2" width="83.285156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58" spans="84:84">
      <c r="CF258" s="144">
        <v>2</v>
      </c>
    </row>
    <row r="259" spans="84:84">
      <c r="CF259" s="144">
        <v>2</v>
      </c>
    </row>
    <row r="260" spans="84:84">
      <c r="CF260" s="144">
        <v>1</v>
      </c>
    </row>
    <row r="261" spans="84:84">
      <c r="CF261" s="144">
        <v>1</v>
      </c>
    </row>
    <row r="262" spans="84:84">
      <c r="CF262" s="144">
        <v>1</v>
      </c>
    </row>
    <row r="263" spans="84:84">
      <c r="CF263" s="144">
        <v>1</v>
      </c>
    </row>
    <row r="264" spans="84:84">
      <c r="CF264" s="144">
        <v>1</v>
      </c>
    </row>
    <row r="265" spans="84:84">
      <c r="CF265" s="144">
        <v>1</v>
      </c>
    </row>
    <row r="266" spans="84:84">
      <c r="CF266" s="144">
        <v>4</v>
      </c>
    </row>
    <row r="267" spans="84:84">
      <c r="CF267" s="144">
        <v>1</v>
      </c>
    </row>
    <row r="268" spans="84:84">
      <c r="CF268" s="144">
        <v>1</v>
      </c>
    </row>
    <row r="269" spans="84:84">
      <c r="CF269" s="144">
        <v>1</v>
      </c>
    </row>
    <row r="270" spans="84:84">
      <c r="CF270" s="144">
        <v>1</v>
      </c>
    </row>
    <row r="271" spans="84:84">
      <c r="CF271" s="144">
        <v>1</v>
      </c>
    </row>
    <row r="272" spans="84:84">
      <c r="CF272" s="144">
        <v>5</v>
      </c>
    </row>
    <row r="273" spans="84:84">
      <c r="CF273" s="144">
        <v>6</v>
      </c>
    </row>
    <row r="274" spans="84:84">
      <c r="CF274" s="144">
        <v>4</v>
      </c>
    </row>
    <row r="275" spans="84:84">
      <c r="CF275" s="144">
        <v>6</v>
      </c>
    </row>
    <row r="276" spans="84:84">
      <c r="CF276" s="144">
        <v>1</v>
      </c>
    </row>
    <row r="277" spans="84:84">
      <c r="CF277" s="144">
        <v>1</v>
      </c>
    </row>
    <row r="278" spans="84:84">
      <c r="CF278" s="144">
        <v>2</v>
      </c>
    </row>
    <row r="279" spans="84:84">
      <c r="CF279" s="144">
        <v>2</v>
      </c>
    </row>
    <row r="280" spans="84:84">
      <c r="CF280" s="144">
        <v>1</v>
      </c>
    </row>
    <row r="281" spans="84:84">
      <c r="CF281" s="144">
        <v>4</v>
      </c>
    </row>
    <row r="282" spans="84:84">
      <c r="CF282" s="144">
        <v>1</v>
      </c>
    </row>
    <row r="283" spans="84:84">
      <c r="CF283" s="144">
        <v>3</v>
      </c>
    </row>
    <row r="284" spans="84:84">
      <c r="CF284" s="144">
        <v>2</v>
      </c>
    </row>
    <row r="285" spans="84:84">
      <c r="CF285" s="144">
        <v>3</v>
      </c>
    </row>
    <row r="286" spans="84:84">
      <c r="CF286" s="144">
        <v>1</v>
      </c>
    </row>
    <row r="287" spans="84:84">
      <c r="CF287" s="144">
        <v>1</v>
      </c>
    </row>
    <row r="288" spans="84:84">
      <c r="CF288" s="144">
        <v>1</v>
      </c>
    </row>
    <row r="289" spans="84:84">
      <c r="CF289" s="144">
        <v>1</v>
      </c>
    </row>
    <row r="290" spans="84:84">
      <c r="CF290" s="144">
        <v>1</v>
      </c>
    </row>
    <row r="291" spans="84:84">
      <c r="CF291" s="144">
        <v>3</v>
      </c>
    </row>
    <row r="292" spans="84:84">
      <c r="CF292" s="144">
        <v>1</v>
      </c>
    </row>
    <row r="293" spans="84:84">
      <c r="CF293" s="144">
        <v>1</v>
      </c>
    </row>
    <row r="294" spans="84:84">
      <c r="CF294" s="144">
        <v>2</v>
      </c>
    </row>
    <row r="295" spans="84:84">
      <c r="CF295" s="144">
        <v>1</v>
      </c>
    </row>
    <row r="296" spans="84:84">
      <c r="CF296" s="144">
        <v>2</v>
      </c>
    </row>
    <row r="297" spans="84:84">
      <c r="CF297" s="144">
        <v>2</v>
      </c>
    </row>
    <row r="298" spans="84:84">
      <c r="CF298" s="144">
        <v>1</v>
      </c>
    </row>
    <row r="299" spans="84:84">
      <c r="CF299" s="144">
        <v>1</v>
      </c>
    </row>
    <row r="300" spans="84:84">
      <c r="CF300" s="144">
        <v>1</v>
      </c>
    </row>
    <row r="301" spans="84:84">
      <c r="CF301" s="144">
        <v>2</v>
      </c>
    </row>
    <row r="302" spans="84:84">
      <c r="CF302" s="144">
        <v>1</v>
      </c>
    </row>
    <row r="303" spans="84:84">
      <c r="CF303" s="144">
        <v>1</v>
      </c>
    </row>
    <row r="304" spans="84:84">
      <c r="CF304" s="144">
        <v>1</v>
      </c>
    </row>
    <row r="305" spans="84:84">
      <c r="CF305" s="144">
        <v>1</v>
      </c>
    </row>
    <row r="306" spans="84:84">
      <c r="CF306" s="144">
        <v>1</v>
      </c>
    </row>
    <row r="307" spans="84:84">
      <c r="CF307" s="144">
        <v>1</v>
      </c>
    </row>
    <row r="308" spans="84:84">
      <c r="CF308" s="144">
        <v>1</v>
      </c>
    </row>
    <row r="309" spans="84:84">
      <c r="CF309" s="144">
        <v>1</v>
      </c>
    </row>
    <row r="310" spans="84:84">
      <c r="CF310" s="144">
        <v>1</v>
      </c>
    </row>
    <row r="311" spans="84:84">
      <c r="CF311" s="144">
        <v>2</v>
      </c>
    </row>
    <row r="312" spans="84:84">
      <c r="CF312" s="144">
        <v>7</v>
      </c>
    </row>
    <row r="313" spans="84:84">
      <c r="CF313" s="144">
        <v>1</v>
      </c>
    </row>
    <row r="314" spans="84:84">
      <c r="CF314" s="144">
        <v>4</v>
      </c>
    </row>
    <row r="315" spans="84:84">
      <c r="CF315" s="144">
        <v>3</v>
      </c>
    </row>
    <row r="316" spans="84:84">
      <c r="CF316" s="144">
        <v>2</v>
      </c>
    </row>
    <row r="317" spans="84:84">
      <c r="CF317" s="144">
        <v>1</v>
      </c>
    </row>
    <row r="318" spans="84:84">
      <c r="CF318" s="144">
        <v>1</v>
      </c>
    </row>
    <row r="319" spans="84:84">
      <c r="CF319" s="144">
        <v>1</v>
      </c>
    </row>
    <row r="320" spans="84:84">
      <c r="CF320" s="144">
        <v>1</v>
      </c>
    </row>
    <row r="321" spans="84:84">
      <c r="CF321" s="144">
        <v>3</v>
      </c>
    </row>
    <row r="322" spans="84:84">
      <c r="CF322" s="144">
        <v>3</v>
      </c>
    </row>
    <row r="323" spans="84:84">
      <c r="CF323" s="144">
        <v>1</v>
      </c>
    </row>
    <row r="324" spans="84:84">
      <c r="CF324" s="144">
        <v>2</v>
      </c>
    </row>
    <row r="325" spans="84:84">
      <c r="CF325" s="144">
        <v>1</v>
      </c>
    </row>
    <row r="326" spans="84:84">
      <c r="CF326" s="144">
        <v>1</v>
      </c>
    </row>
    <row r="327" spans="84:84">
      <c r="CF327" s="144">
        <v>1</v>
      </c>
    </row>
    <row r="328" spans="84:84">
      <c r="CF328" s="144">
        <v>2</v>
      </c>
    </row>
    <row r="329" spans="84:84">
      <c r="CF329" s="144">
        <v>1</v>
      </c>
    </row>
    <row r="330" spans="84:84">
      <c r="CF330" s="144">
        <v>2</v>
      </c>
    </row>
    <row r="331" spans="84:84">
      <c r="CF331" s="144">
        <v>1</v>
      </c>
    </row>
    <row r="332" spans="84:84">
      <c r="CF332" s="144">
        <v>1</v>
      </c>
    </row>
    <row r="333" spans="84:84">
      <c r="CF333" s="144">
        <v>2</v>
      </c>
    </row>
    <row r="334" spans="84:84">
      <c r="CF334" s="144">
        <v>1</v>
      </c>
    </row>
    <row r="335" spans="84:84">
      <c r="CF335" s="144">
        <v>1</v>
      </c>
    </row>
    <row r="336" spans="84:84">
      <c r="CF336" s="144">
        <v>2</v>
      </c>
    </row>
    <row r="337" spans="84:84">
      <c r="CF337" s="144">
        <v>2</v>
      </c>
    </row>
    <row r="338" spans="84:84">
      <c r="CF338" s="144">
        <v>3</v>
      </c>
    </row>
    <row r="339" spans="84:84">
      <c r="CF339" s="144">
        <v>1</v>
      </c>
    </row>
    <row r="340" spans="84:84">
      <c r="CF340" s="144">
        <v>2</v>
      </c>
    </row>
    <row r="341" spans="84:84">
      <c r="CF341" s="144">
        <v>2</v>
      </c>
    </row>
    <row r="342" spans="84:84">
      <c r="CF342" s="144">
        <v>1</v>
      </c>
    </row>
    <row r="343" spans="84:84">
      <c r="CF343" s="144">
        <v>1</v>
      </c>
    </row>
    <row r="344" spans="84:84">
      <c r="CF344" s="144">
        <v>1</v>
      </c>
    </row>
    <row r="345" spans="84:84">
      <c r="CF345" s="144">
        <v>1</v>
      </c>
    </row>
    <row r="346" spans="84:84">
      <c r="CF346" s="144">
        <v>1</v>
      </c>
    </row>
    <row r="347" spans="84:84">
      <c r="CF347" s="144">
        <v>1</v>
      </c>
    </row>
    <row r="348" spans="84:84">
      <c r="CF348" s="144">
        <v>2</v>
      </c>
    </row>
    <row r="349" spans="84:84">
      <c r="CF349" s="144">
        <v>2</v>
      </c>
    </row>
    <row r="350" spans="84:84">
      <c r="CF350" s="144">
        <v>1</v>
      </c>
    </row>
    <row r="353" spans="84:84">
      <c r="CF353" s="144">
        <v>3</v>
      </c>
    </row>
    <row r="354" spans="84:84">
      <c r="CF354" s="144">
        <v>3</v>
      </c>
    </row>
    <row r="359" spans="84:84">
      <c r="CF359" s="144">
        <v>3</v>
      </c>
    </row>
    <row r="360" spans="84:84">
      <c r="CF360" s="144">
        <v>2</v>
      </c>
    </row>
    <row r="378" spans="84:84">
      <c r="CF378" s="144">
        <v>2</v>
      </c>
    </row>
    <row r="383" spans="84:84">
      <c r="CF383" s="144">
        <v>3</v>
      </c>
    </row>
    <row r="387" spans="84:84">
      <c r="CF387" s="144">
        <v>3</v>
      </c>
    </row>
    <row r="390" spans="84:84">
      <c r="CF390" s="144">
        <v>3</v>
      </c>
    </row>
    <row r="392" spans="84:84">
      <c r="CF392" s="144">
        <v>2</v>
      </c>
    </row>
    <row r="405" spans="84:84">
      <c r="CF405" s="144">
        <v>3</v>
      </c>
    </row>
    <row r="406" spans="84:84">
      <c r="CF406" s="144">
        <v>3</v>
      </c>
    </row>
    <row r="408" spans="84:84">
      <c r="CF408" s="144">
        <v>4</v>
      </c>
    </row>
    <row r="412" spans="84:84">
      <c r="CF412" s="144">
        <v>2</v>
      </c>
    </row>
    <row r="416" spans="84:84">
      <c r="CF416" s="144">
        <v>3</v>
      </c>
    </row>
    <row r="418" spans="84:84">
      <c r="CF418" s="144">
        <v>7</v>
      </c>
    </row>
    <row r="419" spans="84:84">
      <c r="CF419" s="144">
        <v>6</v>
      </c>
    </row>
    <row r="420" spans="84:84">
      <c r="CF420" s="144">
        <v>6</v>
      </c>
    </row>
    <row r="421" spans="84:84">
      <c r="CF421" s="144">
        <v>7</v>
      </c>
    </row>
    <row r="422" spans="84:84">
      <c r="CF422" s="144">
        <v>1</v>
      </c>
    </row>
    <row r="424" spans="84:84">
      <c r="CF424" s="144">
        <v>3</v>
      </c>
    </row>
    <row r="425" spans="84:84">
      <c r="CF425" s="144">
        <v>5</v>
      </c>
    </row>
    <row r="440" spans="84:84">
      <c r="CF440" s="144">
        <v>3</v>
      </c>
    </row>
    <row r="446" spans="84:84">
      <c r="CF446" s="144">
        <v>2</v>
      </c>
    </row>
    <row r="447" spans="84:84">
      <c r="CF447" s="144">
        <v>3</v>
      </c>
    </row>
    <row r="452" spans="84:84">
      <c r="CF452" s="144">
        <v>2</v>
      </c>
    </row>
    <row r="457" spans="84:84">
      <c r="CF457" s="144">
        <v>3</v>
      </c>
    </row>
    <row r="462" spans="84:84">
      <c r="CF462" s="144">
        <v>2</v>
      </c>
    </row>
    <row r="482" spans="84:84">
      <c r="CF482" s="144">
        <v>3</v>
      </c>
    </row>
    <row r="488" spans="84:84">
      <c r="CF488" s="144">
        <v>2</v>
      </c>
    </row>
    <row r="499" spans="84:84">
      <c r="CF499" s="144">
        <v>3</v>
      </c>
    </row>
    <row r="500" spans="84:84">
      <c r="CF500" s="144">
        <v>4</v>
      </c>
    </row>
    <row r="501" spans="84:84">
      <c r="CF501" s="144">
        <v>2</v>
      </c>
    </row>
    <row r="503" spans="84:84">
      <c r="CF503" s="144">
        <v>2</v>
      </c>
    </row>
    <row r="506" spans="84:84">
      <c r="CF506" s="144">
        <v>5</v>
      </c>
    </row>
    <row r="510" spans="84:84">
      <c r="CF510" s="144">
        <v>3</v>
      </c>
    </row>
    <row r="511" spans="84:84">
      <c r="CF511" s="144">
        <v>4</v>
      </c>
    </row>
    <row r="512" spans="84:84">
      <c r="CF512" s="144">
        <v>4</v>
      </c>
    </row>
    <row r="516" spans="84:84">
      <c r="CF516" s="144">
        <v>4</v>
      </c>
    </row>
    <row r="522" spans="84:84">
      <c r="CF522" s="144">
        <v>4</v>
      </c>
    </row>
    <row r="525" spans="84:84">
      <c r="CF525" s="144">
        <v>3</v>
      </c>
    </row>
    <row r="535" spans="84:84">
      <c r="CF535" s="144">
        <v>3</v>
      </c>
    </row>
    <row r="546" spans="84:84">
      <c r="CF546" s="144">
        <v>5</v>
      </c>
    </row>
    <row r="548" spans="84:84">
      <c r="CF548" s="144">
        <v>3</v>
      </c>
    </row>
    <row r="549" spans="84:84">
      <c r="CF549" s="144">
        <v>2</v>
      </c>
    </row>
    <row r="552" spans="84:84">
      <c r="CF552" s="144">
        <v>2</v>
      </c>
    </row>
    <row r="553" spans="84:84">
      <c r="CF553" s="144">
        <v>2</v>
      </c>
    </row>
    <row r="556" spans="84:84">
      <c r="CF556" s="144">
        <v>3</v>
      </c>
    </row>
    <row r="561" spans="84:84">
      <c r="CF561" s="144">
        <v>5</v>
      </c>
    </row>
    <row r="562" spans="84:84">
      <c r="CF562" s="144">
        <v>5</v>
      </c>
    </row>
    <row r="563" spans="84:84">
      <c r="CF563" s="144">
        <v>1</v>
      </c>
    </row>
    <row r="564" spans="84:84">
      <c r="CF564" s="144">
        <v>7</v>
      </c>
    </row>
    <row r="565" spans="84:84">
      <c r="CF565" s="144">
        <v>6</v>
      </c>
    </row>
    <row r="566" spans="84:84">
      <c r="CF566" s="144">
        <v>4</v>
      </c>
    </row>
    <row r="567" spans="84:84">
      <c r="CF567" s="144" t="s">
        <v>8377</v>
      </c>
    </row>
    <row r="570" spans="84:84">
      <c r="CF570" s="144">
        <v>5</v>
      </c>
    </row>
    <row r="571" spans="84:84">
      <c r="CF571" s="144">
        <v>7</v>
      </c>
    </row>
    <row r="572" spans="84:84">
      <c r="CF572" s="144">
        <v>5</v>
      </c>
    </row>
    <row r="573" spans="84:84">
      <c r="CF573" s="144">
        <v>6</v>
      </c>
    </row>
    <row r="574" spans="84:84">
      <c r="CF574" s="144">
        <v>2</v>
      </c>
    </row>
    <row r="575" spans="84:84">
      <c r="CF575" s="144">
        <v>3</v>
      </c>
    </row>
    <row r="576" spans="84:84">
      <c r="CF576" s="144">
        <v>4</v>
      </c>
    </row>
    <row r="577" spans="84:84">
      <c r="CF577" s="144">
        <v>4</v>
      </c>
    </row>
    <row r="578" spans="84:84">
      <c r="CF578" s="144">
        <v>2</v>
      </c>
    </row>
    <row r="579" spans="84:84">
      <c r="CF579" s="144">
        <v>1</v>
      </c>
    </row>
    <row r="580" spans="84:84">
      <c r="CF580" s="144">
        <v>3</v>
      </c>
    </row>
    <row r="581" spans="84:84">
      <c r="CF581" s="144">
        <v>3</v>
      </c>
    </row>
    <row r="582" spans="84:84">
      <c r="CF582" s="144">
        <v>1</v>
      </c>
    </row>
    <row r="585" spans="84:84">
      <c r="CF585" s="144">
        <v>1</v>
      </c>
    </row>
    <row r="588" spans="84:84">
      <c r="CF588" s="144">
        <v>3</v>
      </c>
    </row>
    <row r="590" spans="84:84">
      <c r="CF590" s="144">
        <v>3</v>
      </c>
    </row>
    <row r="592" spans="84:84">
      <c r="CF592" s="144">
        <v>4</v>
      </c>
    </row>
    <row r="602" spans="84:84">
      <c r="CF602" s="144">
        <v>3</v>
      </c>
    </row>
    <row r="608" spans="84:84">
      <c r="CF608" s="144">
        <v>3</v>
      </c>
    </row>
    <row r="612" spans="84:84">
      <c r="CF612" s="144">
        <v>2</v>
      </c>
    </row>
    <row r="613" spans="84:84">
      <c r="CF613" s="144">
        <v>2</v>
      </c>
    </row>
    <row r="614" spans="84:84">
      <c r="CF614" s="144">
        <v>2</v>
      </c>
    </row>
    <row r="619" spans="84:84">
      <c r="CF619" s="144">
        <v>2</v>
      </c>
    </row>
    <row r="625" spans="84:84">
      <c r="CF625" s="144">
        <v>4</v>
      </c>
    </row>
    <row r="632" spans="84:84">
      <c r="CF632" s="144">
        <v>3</v>
      </c>
    </row>
    <row r="637" spans="84:84">
      <c r="CF637" s="144">
        <v>3</v>
      </c>
    </row>
    <row r="645" spans="84:84">
      <c r="CF645" s="144">
        <v>2</v>
      </c>
    </row>
    <row r="646" spans="84:84">
      <c r="CF646" s="144">
        <v>2</v>
      </c>
    </row>
    <row r="648" spans="84:84">
      <c r="CF648" s="144">
        <v>3</v>
      </c>
    </row>
    <row r="650" spans="84:84">
      <c r="CF650" s="144">
        <v>3</v>
      </c>
    </row>
    <row r="651" spans="84:84">
      <c r="CF651" s="144">
        <v>2</v>
      </c>
    </row>
    <row r="653" spans="84:84">
      <c r="CF653" s="144">
        <v>2</v>
      </c>
    </row>
    <row r="655" spans="84:84">
      <c r="CF655" s="144">
        <v>3</v>
      </c>
    </row>
    <row r="657" spans="84:84">
      <c r="CF657" s="144">
        <v>2</v>
      </c>
    </row>
    <row r="670" spans="84:84">
      <c r="CF670" s="144">
        <v>2</v>
      </c>
    </row>
    <row r="671" spans="84:84">
      <c r="CF671" s="144">
        <v>3</v>
      </c>
    </row>
    <row r="673" spans="84:84">
      <c r="CF673" s="144">
        <v>2</v>
      </c>
    </row>
    <row r="674" spans="84:84">
      <c r="CF674" s="144">
        <v>2</v>
      </c>
    </row>
    <row r="676" spans="84:84">
      <c r="CF676" s="144">
        <v>3</v>
      </c>
    </row>
    <row r="682" spans="84:84">
      <c r="CF682" s="144">
        <v>2</v>
      </c>
    </row>
    <row r="683" spans="84:84">
      <c r="CF683" s="144">
        <v>2</v>
      </c>
    </row>
    <row r="685" spans="84:84">
      <c r="CF685" s="144">
        <v>2</v>
      </c>
    </row>
    <row r="693" spans="84:84">
      <c r="CF693" s="144">
        <v>2</v>
      </c>
    </row>
    <row r="695" spans="84:84">
      <c r="CF695" s="144">
        <v>2</v>
      </c>
    </row>
    <row r="700" spans="84:84">
      <c r="CF700" s="144">
        <v>1</v>
      </c>
    </row>
    <row r="701" spans="84:84">
      <c r="CF701" s="144">
        <v>3</v>
      </c>
    </row>
    <row r="704" spans="84:84">
      <c r="CF704" s="144">
        <v>1</v>
      </c>
    </row>
    <row r="705" spans="84:84">
      <c r="CF705" s="144">
        <v>2</v>
      </c>
    </row>
    <row r="706" spans="84:84">
      <c r="CF706" s="144">
        <v>2</v>
      </c>
    </row>
    <row r="709" spans="84:84">
      <c r="CF709" s="144">
        <v>1</v>
      </c>
    </row>
    <row r="710" spans="84:84">
      <c r="CF710" s="144">
        <v>4</v>
      </c>
    </row>
    <row r="711" spans="84:84">
      <c r="CF711" s="144">
        <v>4</v>
      </c>
    </row>
    <row r="712" spans="84:84">
      <c r="CF712" s="144">
        <v>1</v>
      </c>
    </row>
    <row r="713" spans="84:84">
      <c r="CF713" s="144">
        <v>4</v>
      </c>
    </row>
    <row r="714" spans="84:84">
      <c r="CF714" s="144">
        <v>1</v>
      </c>
    </row>
    <row r="716" spans="84:84">
      <c r="CF716" s="144">
        <v>7</v>
      </c>
    </row>
    <row r="717" spans="84:84">
      <c r="CF717" s="144">
        <v>3</v>
      </c>
    </row>
    <row r="718" spans="84:84">
      <c r="CF718" s="144">
        <v>5</v>
      </c>
    </row>
    <row r="719" spans="84:84">
      <c r="CF719" s="144">
        <v>3</v>
      </c>
    </row>
    <row r="721" spans="84:84">
      <c r="CF721" s="144">
        <v>2</v>
      </c>
    </row>
    <row r="722" spans="84:84">
      <c r="CF722" s="144">
        <v>2</v>
      </c>
    </row>
    <row r="723" spans="84:84">
      <c r="CF723" s="144">
        <v>2</v>
      </c>
    </row>
    <row r="730" spans="84:84">
      <c r="CF730" s="144">
        <v>2</v>
      </c>
    </row>
    <row r="733" spans="84:84">
      <c r="CF733" s="144">
        <v>2</v>
      </c>
    </row>
    <row r="734" spans="84:84">
      <c r="CF734" s="144">
        <v>3</v>
      </c>
    </row>
    <row r="739" spans="84:84">
      <c r="CF739" s="144">
        <v>3</v>
      </c>
    </row>
    <row r="743" spans="84:84">
      <c r="CF743" s="144">
        <v>3</v>
      </c>
    </row>
    <row r="745" spans="84:84">
      <c r="CF745" s="144">
        <v>4</v>
      </c>
    </row>
    <row r="746" spans="84:84">
      <c r="CF746" s="144">
        <v>2</v>
      </c>
    </row>
    <row r="751" spans="84:84">
      <c r="CF751" s="144">
        <v>3</v>
      </c>
    </row>
    <row r="757" spans="84:84">
      <c r="CF757" s="144">
        <v>2</v>
      </c>
    </row>
    <row r="760" spans="84:84">
      <c r="CF760" s="144">
        <v>2</v>
      </c>
    </row>
    <row r="764" spans="84:84">
      <c r="CF764" s="144">
        <v>1</v>
      </c>
    </row>
    <row r="765" spans="84:84">
      <c r="CF765" s="144">
        <v>4</v>
      </c>
    </row>
    <row r="767" spans="84:84">
      <c r="CF767" s="144">
        <v>5</v>
      </c>
    </row>
    <row r="770" spans="84:84">
      <c r="CF770" s="144">
        <v>3</v>
      </c>
    </row>
    <row r="772" spans="84:84">
      <c r="CF772" s="144">
        <v>2</v>
      </c>
    </row>
    <row r="773" spans="84:84">
      <c r="CF773" s="144">
        <v>3</v>
      </c>
    </row>
    <row r="775" spans="84:84">
      <c r="CF775" s="144">
        <v>3</v>
      </c>
    </row>
    <row r="777" spans="84:84">
      <c r="CF777" s="144">
        <v>4</v>
      </c>
    </row>
    <row r="783" spans="84:84">
      <c r="CF783" s="144">
        <v>2</v>
      </c>
    </row>
    <row r="787" spans="84:84">
      <c r="CF787" s="144">
        <v>1</v>
      </c>
    </row>
    <row r="789" spans="84:84">
      <c r="CF789" s="144">
        <v>2</v>
      </c>
    </row>
    <row r="790" spans="84:84">
      <c r="CF790" s="144">
        <v>3</v>
      </c>
    </row>
    <row r="791" spans="84:84">
      <c r="CF791" s="144">
        <v>1</v>
      </c>
    </row>
    <row r="792" spans="84:84">
      <c r="CF792" s="144">
        <v>3</v>
      </c>
    </row>
    <row r="793" spans="84:84">
      <c r="CF793" s="144">
        <v>2</v>
      </c>
    </row>
    <row r="794" spans="84:84">
      <c r="CF794" s="144">
        <v>2</v>
      </c>
    </row>
    <row r="795" spans="84:84">
      <c r="CF795" s="144">
        <v>3</v>
      </c>
    </row>
    <row r="796" spans="84:84">
      <c r="CF796" s="144">
        <v>2</v>
      </c>
    </row>
    <row r="797" spans="84:84">
      <c r="CF797" s="144">
        <v>2</v>
      </c>
    </row>
    <row r="798" spans="84:84">
      <c r="CF798" s="144">
        <v>2</v>
      </c>
    </row>
    <row r="799" spans="84:84">
      <c r="CF799" s="144">
        <v>1</v>
      </c>
    </row>
    <row r="800" spans="84:84">
      <c r="CF800" s="144">
        <v>2</v>
      </c>
    </row>
    <row r="801" spans="84:84">
      <c r="CF801" s="144">
        <v>2</v>
      </c>
    </row>
    <row r="802" spans="84:84">
      <c r="CF802" s="144">
        <v>5</v>
      </c>
    </row>
    <row r="803" spans="84:84">
      <c r="CF803" s="144">
        <v>2</v>
      </c>
    </row>
    <row r="804" spans="84:84">
      <c r="CF804" s="144">
        <v>3</v>
      </c>
    </row>
    <row r="805" spans="84:84">
      <c r="CF805" s="144">
        <v>1</v>
      </c>
    </row>
    <row r="806" spans="84:84">
      <c r="CF806" s="144">
        <v>3</v>
      </c>
    </row>
    <row r="807" spans="84:84">
      <c r="CF807" s="144">
        <v>3</v>
      </c>
    </row>
    <row r="808" spans="84:84">
      <c r="CF808" s="144">
        <v>1</v>
      </c>
    </row>
    <row r="809" spans="84:84">
      <c r="CF809" s="144">
        <v>3</v>
      </c>
    </row>
    <row r="810" spans="84:84">
      <c r="CF810" s="144">
        <v>1</v>
      </c>
    </row>
    <row r="811" spans="84:84">
      <c r="CF811" s="144">
        <v>2</v>
      </c>
    </row>
    <row r="812" spans="84:84">
      <c r="CF812" s="144">
        <v>1</v>
      </c>
    </row>
    <row r="813" spans="84:84">
      <c r="CF813" s="144">
        <v>1</v>
      </c>
    </row>
    <row r="814" spans="84:84">
      <c r="CF814" s="144">
        <v>3</v>
      </c>
    </row>
    <row r="815" spans="84:84">
      <c r="CF815" s="144">
        <v>2</v>
      </c>
    </row>
    <row r="816" spans="84:84">
      <c r="CF816" s="144">
        <v>1</v>
      </c>
    </row>
    <row r="817" spans="84:84">
      <c r="CF817" s="144">
        <v>1</v>
      </c>
    </row>
    <row r="818" spans="84:84">
      <c r="CF818" s="144">
        <v>3</v>
      </c>
    </row>
    <row r="819" spans="84:84">
      <c r="CF819" s="144">
        <v>2</v>
      </c>
    </row>
    <row r="820" spans="84:84">
      <c r="CF820" s="144">
        <v>3</v>
      </c>
    </row>
    <row r="821" spans="84:84">
      <c r="CF821" s="144">
        <v>5</v>
      </c>
    </row>
    <row r="822" spans="84:84">
      <c r="CF822" s="144">
        <v>1</v>
      </c>
    </row>
    <row r="823" spans="84:84">
      <c r="CF823" s="144">
        <v>1</v>
      </c>
    </row>
    <row r="824" spans="84:84">
      <c r="CF824" s="144">
        <v>1</v>
      </c>
    </row>
    <row r="825" spans="84:84">
      <c r="CF825" s="144">
        <v>2</v>
      </c>
    </row>
    <row r="826" spans="84:84">
      <c r="CF826" s="144">
        <v>2</v>
      </c>
    </row>
    <row r="827" spans="84:84">
      <c r="CF827" s="144">
        <v>2</v>
      </c>
    </row>
    <row r="828" spans="84:84">
      <c r="CF828" s="144">
        <v>1</v>
      </c>
    </row>
    <row r="829" spans="84:84">
      <c r="CF829" s="144">
        <v>1</v>
      </c>
    </row>
    <row r="830" spans="84:84">
      <c r="CF830" s="144">
        <v>5</v>
      </c>
    </row>
    <row r="831" spans="84:84">
      <c r="CF831" s="144">
        <v>2</v>
      </c>
    </row>
    <row r="832" spans="84:84">
      <c r="CF832" s="144">
        <v>5</v>
      </c>
    </row>
    <row r="833" spans="84:84">
      <c r="CF833" s="144">
        <v>3</v>
      </c>
    </row>
    <row r="834" spans="84:84">
      <c r="CF834" s="144">
        <v>3</v>
      </c>
    </row>
    <row r="835" spans="84:84">
      <c r="CF835" s="144">
        <v>1</v>
      </c>
    </row>
    <row r="836" spans="84:84">
      <c r="CF836" s="144">
        <v>1</v>
      </c>
    </row>
    <row r="837" spans="84:84">
      <c r="CF837" s="144">
        <v>2</v>
      </c>
    </row>
    <row r="838" spans="84:84">
      <c r="CF838" s="144">
        <v>1</v>
      </c>
    </row>
    <row r="839" spans="84:84">
      <c r="CF839" s="144">
        <v>2</v>
      </c>
    </row>
    <row r="840" spans="84:84">
      <c r="CF840" s="144">
        <v>1</v>
      </c>
    </row>
    <row r="841" spans="84:84">
      <c r="CF841" s="144">
        <v>1</v>
      </c>
    </row>
    <row r="842" spans="84:84">
      <c r="CF842" s="144">
        <v>2</v>
      </c>
    </row>
    <row r="843" spans="84:84">
      <c r="CF843" s="144">
        <v>1</v>
      </c>
    </row>
    <row r="844" spans="84:84">
      <c r="CF844" s="144">
        <v>3</v>
      </c>
    </row>
    <row r="845" spans="84:84">
      <c r="CF845" s="144">
        <v>3</v>
      </c>
    </row>
    <row r="846" spans="84:84">
      <c r="CF846" s="144">
        <v>2</v>
      </c>
    </row>
    <row r="847" spans="84:84">
      <c r="CF847" s="144">
        <v>3</v>
      </c>
    </row>
    <row r="848" spans="84:84">
      <c r="CF848" s="144">
        <v>1</v>
      </c>
    </row>
    <row r="849" spans="84:84">
      <c r="CF849" s="144">
        <v>4</v>
      </c>
    </row>
    <row r="850" spans="84:84">
      <c r="CF850" s="144">
        <v>4</v>
      </c>
    </row>
    <row r="851" spans="84:84">
      <c r="CF851" s="144">
        <v>4</v>
      </c>
    </row>
    <row r="852" spans="84:84">
      <c r="CF852" s="144">
        <v>2</v>
      </c>
    </row>
    <row r="853" spans="84:84">
      <c r="CF853" s="144">
        <v>1</v>
      </c>
    </row>
    <row r="854" spans="84:84">
      <c r="CF854" s="144">
        <v>3</v>
      </c>
    </row>
    <row r="855" spans="84:84">
      <c r="CF855" s="144">
        <v>3</v>
      </c>
    </row>
    <row r="856" spans="84:84">
      <c r="CF856" s="144">
        <v>6</v>
      </c>
    </row>
    <row r="857" spans="84:84">
      <c r="CF857" s="144">
        <v>8</v>
      </c>
    </row>
    <row r="858" spans="84:84">
      <c r="CF858" s="144">
        <v>8</v>
      </c>
    </row>
    <row r="859" spans="84:84">
      <c r="CF859" s="144">
        <v>5</v>
      </c>
    </row>
    <row r="860" spans="84:84">
      <c r="CF860" s="144">
        <v>3</v>
      </c>
    </row>
    <row r="861" spans="84:84">
      <c r="CF861" s="144">
        <v>1</v>
      </c>
    </row>
    <row r="862" spans="84:84">
      <c r="CF862" s="144">
        <v>1</v>
      </c>
    </row>
    <row r="863" spans="84:84">
      <c r="CF863" s="144">
        <v>2</v>
      </c>
    </row>
    <row r="864" spans="84:84">
      <c r="CF864" s="144">
        <v>4</v>
      </c>
    </row>
    <row r="865" spans="84:84">
      <c r="CF865" s="144">
        <v>7</v>
      </c>
    </row>
    <row r="866" spans="84:84">
      <c r="CF866" s="144">
        <v>6</v>
      </c>
    </row>
    <row r="867" spans="84:84">
      <c r="CF867" s="144">
        <v>7</v>
      </c>
    </row>
    <row r="868" spans="84:84">
      <c r="CF868" s="144">
        <v>4</v>
      </c>
    </row>
    <row r="869" spans="84:84">
      <c r="CF869" s="144">
        <v>3</v>
      </c>
    </row>
    <row r="870" spans="84:84">
      <c r="CF870" s="144">
        <v>3</v>
      </c>
    </row>
    <row r="871" spans="84:84">
      <c r="CF871" s="144">
        <v>2</v>
      </c>
    </row>
    <row r="872" spans="84:84">
      <c r="CF872" s="144">
        <v>1</v>
      </c>
    </row>
    <row r="873" spans="84:84">
      <c r="CF873" s="144">
        <v>2</v>
      </c>
    </row>
    <row r="874" spans="84:84">
      <c r="CF874" s="144">
        <v>6</v>
      </c>
    </row>
    <row r="875" spans="84:84">
      <c r="CF875" s="144">
        <v>6</v>
      </c>
    </row>
    <row r="876" spans="84:84">
      <c r="CF876" s="144">
        <v>5</v>
      </c>
    </row>
    <row r="877" spans="84:84">
      <c r="CF877" s="144">
        <v>7</v>
      </c>
    </row>
    <row r="878" spans="84:84">
      <c r="CF878" s="144">
        <v>4</v>
      </c>
    </row>
    <row r="879" spans="84:84">
      <c r="CF879" s="144">
        <v>4</v>
      </c>
    </row>
    <row r="880" spans="84:84">
      <c r="CF880" s="144">
        <v>3</v>
      </c>
    </row>
    <row r="881" spans="84:84">
      <c r="CF881" s="144">
        <v>3</v>
      </c>
    </row>
    <row r="882" spans="84:84">
      <c r="CF882" s="144">
        <v>3</v>
      </c>
    </row>
    <row r="883" spans="84:84">
      <c r="CF883" s="144">
        <v>2</v>
      </c>
    </row>
    <row r="884" spans="84:84">
      <c r="CF884" s="144">
        <v>4</v>
      </c>
    </row>
    <row r="885" spans="84:84">
      <c r="CF885" s="144">
        <v>1</v>
      </c>
    </row>
    <row r="886" spans="84:84">
      <c r="CF886" s="144">
        <v>2</v>
      </c>
    </row>
    <row r="887" spans="84:84">
      <c r="CF887" s="144">
        <v>2</v>
      </c>
    </row>
    <row r="888" spans="84:84">
      <c r="CF888" s="144">
        <v>3</v>
      </c>
    </row>
    <row r="889" spans="84:84">
      <c r="CF889" s="144">
        <v>2</v>
      </c>
    </row>
    <row r="890" spans="84:84">
      <c r="CF890" s="144">
        <v>3</v>
      </c>
    </row>
    <row r="891" spans="84:84">
      <c r="CF891" s="144">
        <v>1</v>
      </c>
    </row>
    <row r="892" spans="84:84">
      <c r="CF892" s="144">
        <v>1</v>
      </c>
    </row>
    <row r="893" spans="84:84">
      <c r="CF893" s="144">
        <v>7</v>
      </c>
    </row>
    <row r="894" spans="84:84">
      <c r="CF894" s="144">
        <v>3</v>
      </c>
    </row>
    <row r="895" spans="84:84">
      <c r="CF895" s="144">
        <v>1</v>
      </c>
    </row>
    <row r="896" spans="84:84">
      <c r="CF896" s="144">
        <v>1</v>
      </c>
    </row>
    <row r="897" spans="84:84">
      <c r="CF897" s="144">
        <v>4</v>
      </c>
    </row>
    <row r="898" spans="84:84">
      <c r="CF898" s="144">
        <v>1</v>
      </c>
    </row>
    <row r="899" spans="84:84">
      <c r="CF899" s="144">
        <v>2</v>
      </c>
    </row>
    <row r="900" spans="84:84">
      <c r="CF900" s="144">
        <v>4</v>
      </c>
    </row>
    <row r="901" spans="84:84">
      <c r="CF901" s="144">
        <v>2</v>
      </c>
    </row>
    <row r="902" spans="84:84">
      <c r="CF902" s="144">
        <v>1</v>
      </c>
    </row>
    <row r="903" spans="84:84">
      <c r="CF903" s="144">
        <v>1</v>
      </c>
    </row>
    <row r="904" spans="84:84">
      <c r="CF904" s="144">
        <v>1</v>
      </c>
    </row>
    <row r="905" spans="84:84">
      <c r="CF905" s="144">
        <v>2</v>
      </c>
    </row>
    <row r="906" spans="84:84">
      <c r="CF906" s="144">
        <v>1</v>
      </c>
    </row>
    <row r="907" spans="84:84">
      <c r="CF907" s="144">
        <v>1</v>
      </c>
    </row>
    <row r="908" spans="84:84">
      <c r="CF908" s="144">
        <v>2</v>
      </c>
    </row>
    <row r="909" spans="84:84">
      <c r="CF909" s="144">
        <v>1</v>
      </c>
    </row>
    <row r="910" spans="84:84">
      <c r="CF910" s="144">
        <v>4</v>
      </c>
    </row>
    <row r="911" spans="84:84">
      <c r="CF911" s="144">
        <v>2</v>
      </c>
    </row>
    <row r="912" spans="84:84">
      <c r="CF912" s="144">
        <v>3</v>
      </c>
    </row>
    <row r="913" spans="84:84">
      <c r="CF913" s="144">
        <v>3</v>
      </c>
    </row>
    <row r="914" spans="84:84">
      <c r="CF914" s="144">
        <v>1</v>
      </c>
    </row>
    <row r="915" spans="84:84">
      <c r="CF915" s="144">
        <v>6</v>
      </c>
    </row>
    <row r="916" spans="84:84">
      <c r="CF916" s="144">
        <v>4</v>
      </c>
    </row>
    <row r="917" spans="84:84">
      <c r="CF917" s="144">
        <v>3</v>
      </c>
    </row>
    <row r="918" spans="84:84">
      <c r="CF918" s="144">
        <v>3</v>
      </c>
    </row>
    <row r="919" spans="84:84">
      <c r="CF919" s="144">
        <v>3</v>
      </c>
    </row>
    <row r="920" spans="84:84">
      <c r="CF920" s="144">
        <v>3</v>
      </c>
    </row>
    <row r="921" spans="84:84">
      <c r="CF921" s="144">
        <v>6</v>
      </c>
    </row>
    <row r="922" spans="84:84">
      <c r="CF922" s="144">
        <v>1</v>
      </c>
    </row>
    <row r="923" spans="84:84">
      <c r="CF923" s="144">
        <v>2</v>
      </c>
    </row>
    <row r="924" spans="84:84">
      <c r="CF924" s="144">
        <v>3</v>
      </c>
    </row>
    <row r="925" spans="84:84">
      <c r="CF925" s="144">
        <v>2</v>
      </c>
    </row>
    <row r="926" spans="84:84">
      <c r="CF926" s="144">
        <v>2</v>
      </c>
    </row>
    <row r="927" spans="84:84">
      <c r="CF927" s="144">
        <v>1</v>
      </c>
    </row>
    <row r="928" spans="84:84">
      <c r="CF928" s="144">
        <v>2</v>
      </c>
    </row>
    <row r="929" spans="84:84">
      <c r="CF929" s="144">
        <v>3</v>
      </c>
    </row>
    <row r="930" spans="84:84">
      <c r="CF930" s="144">
        <v>1</v>
      </c>
    </row>
    <row r="931" spans="84:84">
      <c r="CF931" s="144">
        <v>1</v>
      </c>
    </row>
    <row r="932" spans="84:84">
      <c r="CF932" s="144">
        <v>1</v>
      </c>
    </row>
    <row r="933" spans="84:84">
      <c r="CF933" s="144">
        <v>2</v>
      </c>
    </row>
    <row r="934" spans="84:84">
      <c r="CF934" s="144">
        <v>2</v>
      </c>
    </row>
    <row r="935" spans="84:84">
      <c r="CF935" s="144">
        <v>1</v>
      </c>
    </row>
    <row r="936" spans="84:84">
      <c r="CF936" s="144">
        <v>1</v>
      </c>
    </row>
    <row r="937" spans="84:84">
      <c r="CF937" s="144">
        <v>1</v>
      </c>
    </row>
    <row r="938" spans="84:84">
      <c r="CF938" s="144">
        <v>2</v>
      </c>
    </row>
    <row r="939" spans="84:84">
      <c r="CF939" s="144">
        <v>3</v>
      </c>
    </row>
    <row r="940" spans="84:84">
      <c r="CF940" s="144">
        <v>2</v>
      </c>
    </row>
    <row r="941" spans="84:84">
      <c r="CF941" s="144">
        <v>4</v>
      </c>
    </row>
    <row r="942" spans="84:84">
      <c r="CF942" s="144">
        <v>3</v>
      </c>
    </row>
    <row r="943" spans="84:84">
      <c r="CF943" s="144">
        <v>3</v>
      </c>
    </row>
    <row r="944" spans="84:84">
      <c r="CF944" s="144">
        <v>4</v>
      </c>
    </row>
    <row r="945" spans="84:84">
      <c r="CF945" s="144">
        <v>3</v>
      </c>
    </row>
    <row r="946" spans="84:84">
      <c r="CF946" s="144">
        <v>2</v>
      </c>
    </row>
    <row r="947" spans="84:84">
      <c r="CF947" s="144">
        <v>2</v>
      </c>
    </row>
    <row r="948" spans="84:84">
      <c r="CF948" s="144">
        <v>1</v>
      </c>
    </row>
    <row r="949" spans="84:84">
      <c r="CF949" s="144">
        <v>2</v>
      </c>
    </row>
    <row r="950" spans="84:84">
      <c r="CF950" s="144">
        <v>1</v>
      </c>
    </row>
    <row r="951" spans="84:84">
      <c r="CF951" s="144">
        <v>3</v>
      </c>
    </row>
    <row r="952" spans="84:84">
      <c r="CF952" s="144">
        <v>1</v>
      </c>
    </row>
    <row r="953" spans="84:84">
      <c r="CF953" s="144">
        <v>4</v>
      </c>
    </row>
    <row r="954" spans="84:84">
      <c r="CF954" s="144">
        <v>4</v>
      </c>
    </row>
    <row r="955" spans="84:84">
      <c r="CF955" s="144">
        <v>3</v>
      </c>
    </row>
    <row r="956" spans="84:84">
      <c r="CF956" s="144">
        <v>3</v>
      </c>
    </row>
    <row r="957" spans="84:84">
      <c r="CF957" s="144">
        <v>6</v>
      </c>
    </row>
    <row r="958" spans="84:84">
      <c r="CF958" s="144">
        <v>4</v>
      </c>
    </row>
    <row r="959" spans="84:84">
      <c r="CF959" s="144">
        <v>3</v>
      </c>
    </row>
    <row r="960" spans="84:84">
      <c r="CF960" s="144">
        <v>2</v>
      </c>
    </row>
    <row r="961" spans="84:84">
      <c r="CF961" s="144">
        <v>3</v>
      </c>
    </row>
    <row r="962" spans="84:84">
      <c r="CF962" s="144">
        <v>4</v>
      </c>
    </row>
    <row r="963" spans="84:84">
      <c r="CF963" s="144">
        <v>2</v>
      </c>
    </row>
    <row r="964" spans="84:84">
      <c r="CF964" s="144">
        <v>2</v>
      </c>
    </row>
    <row r="965" spans="84:84">
      <c r="CF965" s="144">
        <v>2</v>
      </c>
    </row>
    <row r="966" spans="84:84">
      <c r="CF966" s="144">
        <v>3</v>
      </c>
    </row>
    <row r="967" spans="84:84">
      <c r="CF967" s="144">
        <v>3</v>
      </c>
    </row>
    <row r="968" spans="84:84">
      <c r="CF968" s="144">
        <v>5</v>
      </c>
    </row>
    <row r="969" spans="84:84">
      <c r="CF969" s="144">
        <v>4</v>
      </c>
    </row>
    <row r="970" spans="84:84">
      <c r="CF970" s="144">
        <v>6</v>
      </c>
    </row>
    <row r="971" spans="84:84">
      <c r="CF971" s="144">
        <v>4</v>
      </c>
    </row>
    <row r="972" spans="84:84">
      <c r="CF972" s="144">
        <v>3</v>
      </c>
    </row>
    <row r="973" spans="84:84">
      <c r="CF973" s="144">
        <v>1</v>
      </c>
    </row>
    <row r="974" spans="84:84">
      <c r="CF974" s="144">
        <v>1</v>
      </c>
    </row>
    <row r="975" spans="84:84">
      <c r="CF975" s="144">
        <v>1</v>
      </c>
    </row>
    <row r="976" spans="84:84">
      <c r="CF976" s="144">
        <v>2</v>
      </c>
    </row>
    <row r="977" spans="84:84">
      <c r="CF977" s="144">
        <v>3</v>
      </c>
    </row>
    <row r="978" spans="84:84">
      <c r="CF978" s="144">
        <v>3</v>
      </c>
    </row>
    <row r="979" spans="84:84">
      <c r="CF979" s="144">
        <v>1</v>
      </c>
    </row>
    <row r="980" spans="84:84">
      <c r="CF980" s="144">
        <v>2</v>
      </c>
    </row>
    <row r="981" spans="84:84">
      <c r="CF981" s="144">
        <v>1</v>
      </c>
    </row>
    <row r="982" spans="84:84">
      <c r="CF982" s="144">
        <v>3</v>
      </c>
    </row>
    <row r="983" spans="84:84">
      <c r="CF983" s="144">
        <v>1</v>
      </c>
    </row>
    <row r="984" spans="84:84">
      <c r="CF984" s="144">
        <v>3</v>
      </c>
    </row>
    <row r="985" spans="84:84">
      <c r="CF985" s="144">
        <v>2</v>
      </c>
    </row>
    <row r="986" spans="84:84">
      <c r="CF986" s="144">
        <v>1</v>
      </c>
    </row>
    <row r="987" spans="84:84">
      <c r="CF987" s="144">
        <v>3</v>
      </c>
    </row>
    <row r="988" spans="84:84">
      <c r="CF988" s="144">
        <v>1</v>
      </c>
    </row>
    <row r="989" spans="84:84">
      <c r="CF989" s="144">
        <v>2</v>
      </c>
    </row>
    <row r="990" spans="84:84">
      <c r="CF990" s="144">
        <v>1</v>
      </c>
    </row>
    <row r="991" spans="84:84">
      <c r="CF991" s="144">
        <v>3</v>
      </c>
    </row>
    <row r="992" spans="84:84">
      <c r="CF992" s="144">
        <v>2</v>
      </c>
    </row>
    <row r="993" spans="84:84">
      <c r="CF993" s="144">
        <v>1</v>
      </c>
    </row>
    <row r="994" spans="84:84">
      <c r="CF994" s="144">
        <v>4</v>
      </c>
    </row>
    <row r="995" spans="84:84">
      <c r="CF995" s="144">
        <v>3</v>
      </c>
    </row>
    <row r="996" spans="84:84">
      <c r="CF996" s="144">
        <v>1</v>
      </c>
    </row>
    <row r="997" spans="84:84">
      <c r="CF997" s="144">
        <v>2</v>
      </c>
    </row>
    <row r="998" spans="84:84">
      <c r="CF998" s="144">
        <v>2</v>
      </c>
    </row>
    <row r="999" spans="84:84">
      <c r="CF999" s="144">
        <v>3</v>
      </c>
    </row>
    <row r="1000" spans="84:84">
      <c r="CF1000" s="144">
        <v>8</v>
      </c>
    </row>
    <row r="1001" spans="84:84">
      <c r="CF1001" s="144">
        <v>7</v>
      </c>
    </row>
    <row r="1002" spans="84:84">
      <c r="CF1002" s="144">
        <v>6</v>
      </c>
    </row>
    <row r="1003" spans="84:84">
      <c r="CF1003" s="144">
        <v>5</v>
      </c>
    </row>
    <row r="1004" spans="84:84">
      <c r="CF1004" s="144">
        <v>2</v>
      </c>
    </row>
    <row r="1005" spans="84:84">
      <c r="CF1005" s="144">
        <v>1</v>
      </c>
    </row>
    <row r="1006" spans="84:84">
      <c r="CF1006" s="144">
        <v>1</v>
      </c>
    </row>
    <row r="1007" spans="84:84">
      <c r="CF1007" s="144">
        <v>1</v>
      </c>
    </row>
    <row r="1008" spans="84:84">
      <c r="CF1008" s="144">
        <v>2</v>
      </c>
    </row>
    <row r="1009" spans="84:84">
      <c r="CF1009" s="144">
        <v>2</v>
      </c>
    </row>
    <row r="1010" spans="84:84">
      <c r="CF1010" s="144">
        <v>7</v>
      </c>
    </row>
    <row r="1011" spans="84:84">
      <c r="CF1011" s="144">
        <v>5</v>
      </c>
    </row>
    <row r="1012" spans="84:84">
      <c r="CF1012" s="144">
        <v>8</v>
      </c>
    </row>
    <row r="1013" spans="84:84">
      <c r="CF1013" s="144">
        <v>4</v>
      </c>
    </row>
    <row r="1014" spans="84:84">
      <c r="CF1014" s="144">
        <v>3</v>
      </c>
    </row>
    <row r="1015" spans="84:84">
      <c r="CF1015" s="144">
        <v>1</v>
      </c>
    </row>
    <row r="1016" spans="84:84">
      <c r="CF1016" s="144">
        <v>3</v>
      </c>
    </row>
    <row r="1017" spans="84:84">
      <c r="CF1017" s="144">
        <v>4</v>
      </c>
    </row>
    <row r="1018" spans="84:84">
      <c r="CF1018" s="144">
        <v>2</v>
      </c>
    </row>
    <row r="1019" spans="84:84">
      <c r="CF1019" s="144">
        <v>2</v>
      </c>
    </row>
    <row r="1020" spans="84:84">
      <c r="CF1020" s="144">
        <v>1</v>
      </c>
    </row>
    <row r="1021" spans="84:84">
      <c r="CF1021" s="144">
        <v>4</v>
      </c>
    </row>
    <row r="1022" spans="84:84">
      <c r="CF1022" s="144">
        <v>2</v>
      </c>
    </row>
    <row r="1023" spans="84:84">
      <c r="CF1023" s="144">
        <v>1</v>
      </c>
    </row>
    <row r="1024" spans="84:84">
      <c r="CF1024" s="144">
        <v>2</v>
      </c>
    </row>
    <row r="1025" spans="84:84">
      <c r="CF1025" s="144">
        <v>3</v>
      </c>
    </row>
    <row r="1026" spans="84:84">
      <c r="CF1026" s="144">
        <v>2</v>
      </c>
    </row>
    <row r="1027" spans="84:84">
      <c r="CF1027" s="144">
        <v>2</v>
      </c>
    </row>
    <row r="1028" spans="84:84">
      <c r="CF1028" s="144">
        <v>2</v>
      </c>
    </row>
    <row r="1029" spans="84:84">
      <c r="CF1029" s="144">
        <v>1</v>
      </c>
    </row>
    <row r="1030" spans="84:84">
      <c r="CF1030" s="144">
        <v>1</v>
      </c>
    </row>
    <row r="1031" spans="84:84">
      <c r="CF1031" s="144">
        <v>1</v>
      </c>
    </row>
    <row r="1032" spans="84:84">
      <c r="CF1032" s="144">
        <v>1</v>
      </c>
    </row>
    <row r="1033" spans="84:84">
      <c r="CF1033" s="144">
        <v>3</v>
      </c>
    </row>
    <row r="1034" spans="84:84">
      <c r="CF1034" s="144">
        <v>3</v>
      </c>
    </row>
    <row r="1035" spans="84:84">
      <c r="CF1035" s="144">
        <v>2</v>
      </c>
    </row>
    <row r="1036" spans="84:84">
      <c r="CF1036" s="144">
        <v>2</v>
      </c>
    </row>
    <row r="1037" spans="84:84">
      <c r="CF1037" s="144">
        <v>1</v>
      </c>
    </row>
    <row r="1038" spans="84:84">
      <c r="CF1038" s="144">
        <v>1</v>
      </c>
    </row>
    <row r="1039" spans="84:84">
      <c r="CF1039" s="144">
        <v>2</v>
      </c>
    </row>
    <row r="1040" spans="84:84">
      <c r="CF1040" s="144">
        <v>1</v>
      </c>
    </row>
    <row r="1041" spans="84:84">
      <c r="CF1041" s="144">
        <v>1</v>
      </c>
    </row>
    <row r="1042" spans="84:84">
      <c r="CF1042" s="144">
        <v>4</v>
      </c>
    </row>
    <row r="1043" spans="84:84">
      <c r="CF1043" s="144">
        <v>3</v>
      </c>
    </row>
    <row r="1044" spans="84:84">
      <c r="CF1044" s="144">
        <v>1</v>
      </c>
    </row>
    <row r="1045" spans="84:84">
      <c r="CF1045" s="144">
        <v>2</v>
      </c>
    </row>
    <row r="1046" spans="84:84">
      <c r="CF1046" s="144">
        <v>3</v>
      </c>
    </row>
    <row r="1047" spans="84:84">
      <c r="CF1047" s="144">
        <v>3</v>
      </c>
    </row>
    <row r="1048" spans="84:84">
      <c r="CF1048" s="144">
        <v>3</v>
      </c>
    </row>
    <row r="1049" spans="84:84">
      <c r="CF1049" s="144">
        <v>1</v>
      </c>
    </row>
    <row r="1050" spans="84:84">
      <c r="CF1050" s="144">
        <v>1</v>
      </c>
    </row>
    <row r="1051" spans="84:84">
      <c r="CF1051" s="144">
        <v>2</v>
      </c>
    </row>
    <row r="1052" spans="84:84">
      <c r="CF1052" s="144">
        <v>1</v>
      </c>
    </row>
    <row r="1053" spans="84:84">
      <c r="CF1053" s="144">
        <v>1</v>
      </c>
    </row>
    <row r="1054" spans="84:84">
      <c r="CF1054" s="144">
        <v>1</v>
      </c>
    </row>
    <row r="1055" spans="84:84">
      <c r="CF1055" s="144">
        <v>2</v>
      </c>
    </row>
    <row r="1056" spans="84:84">
      <c r="CF1056" s="144">
        <v>1</v>
      </c>
    </row>
    <row r="1057" spans="84:84">
      <c r="CF1057" s="144">
        <v>2</v>
      </c>
    </row>
    <row r="1058" spans="84:84">
      <c r="CF1058" s="144">
        <v>2</v>
      </c>
    </row>
    <row r="1059" spans="84:84">
      <c r="CF1059" s="144">
        <v>1</v>
      </c>
    </row>
    <row r="1060" spans="84:84">
      <c r="CF1060" s="144">
        <v>2</v>
      </c>
    </row>
    <row r="1061" spans="84:84">
      <c r="CF1061" s="144">
        <v>1</v>
      </c>
    </row>
    <row r="1062" spans="84:84">
      <c r="CF1062" s="144">
        <v>2</v>
      </c>
    </row>
    <row r="1063" spans="84:84">
      <c r="CF1063" s="144">
        <v>1</v>
      </c>
    </row>
    <row r="1064" spans="84:84">
      <c r="CF1064" s="144">
        <v>2</v>
      </c>
    </row>
    <row r="1065" spans="84:84">
      <c r="CF1065" s="144">
        <v>1</v>
      </c>
    </row>
    <row r="1066" spans="84:84">
      <c r="CF1066" s="144">
        <v>2</v>
      </c>
    </row>
    <row r="1067" spans="84:84">
      <c r="CF1067" s="144">
        <v>3</v>
      </c>
    </row>
    <row r="1068" spans="84:84">
      <c r="CF1068" s="144">
        <v>1</v>
      </c>
    </row>
    <row r="1069" spans="84:84">
      <c r="CF1069" s="144">
        <v>3</v>
      </c>
    </row>
    <row r="1070" spans="84:84">
      <c r="CF1070" s="144">
        <v>3</v>
      </c>
    </row>
    <row r="1071" spans="84:84">
      <c r="CF1071" s="144">
        <v>2</v>
      </c>
    </row>
    <row r="1072" spans="84:84">
      <c r="CF1072" s="144">
        <v>1</v>
      </c>
    </row>
    <row r="1073" spans="84:84">
      <c r="CF1073" s="144">
        <v>2</v>
      </c>
    </row>
    <row r="1074" spans="84:84">
      <c r="CF1074" s="144">
        <v>1</v>
      </c>
    </row>
    <row r="1075" spans="84:84">
      <c r="CF1075" s="144">
        <v>1</v>
      </c>
    </row>
    <row r="1076" spans="84:84">
      <c r="CF1076" s="144">
        <v>2</v>
      </c>
    </row>
    <row r="1077" spans="84:84">
      <c r="CF1077" s="144">
        <v>3</v>
      </c>
    </row>
    <row r="1078" spans="84:84">
      <c r="CF1078" s="144">
        <v>4</v>
      </c>
    </row>
    <row r="1079" spans="84:84">
      <c r="CF1079" s="144">
        <v>3</v>
      </c>
    </row>
    <row r="1080" spans="84:84">
      <c r="CF1080" s="144">
        <v>3</v>
      </c>
    </row>
    <row r="1081" spans="84:84">
      <c r="CF1081" s="144">
        <v>3</v>
      </c>
    </row>
    <row r="1082" spans="84:84">
      <c r="CF1082" s="144">
        <v>4</v>
      </c>
    </row>
    <row r="1083" spans="84:84">
      <c r="CF1083" s="144">
        <v>3</v>
      </c>
    </row>
    <row r="1084" spans="84:84">
      <c r="CF1084" s="144">
        <v>2</v>
      </c>
    </row>
    <row r="1085" spans="84:84">
      <c r="CF1085" s="144">
        <v>1</v>
      </c>
    </row>
    <row r="1086" spans="84:84">
      <c r="CF1086" s="144">
        <v>2</v>
      </c>
    </row>
    <row r="1087" spans="84:84">
      <c r="CF1087" s="144">
        <v>4</v>
      </c>
    </row>
    <row r="1088" spans="84:84">
      <c r="CF1088" s="144">
        <v>4</v>
      </c>
    </row>
    <row r="1089" spans="84:84">
      <c r="CF1089" s="144">
        <v>6</v>
      </c>
    </row>
    <row r="1090" spans="84:84">
      <c r="CF1090" s="144">
        <v>2</v>
      </c>
    </row>
    <row r="1091" spans="84:84">
      <c r="CF1091" s="144">
        <v>2</v>
      </c>
    </row>
    <row r="1092" spans="84:84">
      <c r="CF1092" s="144">
        <v>2</v>
      </c>
    </row>
    <row r="1093" spans="84:84">
      <c r="CF1093" s="144">
        <v>3</v>
      </c>
    </row>
    <row r="1094" spans="84:84">
      <c r="CF1094" s="144">
        <v>6</v>
      </c>
    </row>
    <row r="1095" spans="84:84">
      <c r="CF1095" s="144">
        <v>4</v>
      </c>
    </row>
    <row r="1096" spans="84:84">
      <c r="CF1096" s="144">
        <v>4</v>
      </c>
    </row>
    <row r="1097" spans="84:84">
      <c r="CF1097" s="144">
        <v>3</v>
      </c>
    </row>
    <row r="1098" spans="84:84">
      <c r="CF1098" s="144">
        <v>2</v>
      </c>
    </row>
    <row r="1099" spans="84:84">
      <c r="CF1099" s="144">
        <v>7</v>
      </c>
    </row>
    <row r="1100" spans="84:84">
      <c r="CF1100" s="144">
        <v>4</v>
      </c>
    </row>
    <row r="1101" spans="84:84">
      <c r="CF1101" s="144">
        <v>3</v>
      </c>
    </row>
    <row r="1102" spans="84:84">
      <c r="CF1102" s="144">
        <v>2</v>
      </c>
    </row>
    <row r="1103" spans="84:84">
      <c r="CF1103" s="144">
        <v>3</v>
      </c>
    </row>
    <row r="1104" spans="84:84">
      <c r="CF1104" s="144">
        <v>5</v>
      </c>
    </row>
    <row r="1105" spans="84:84">
      <c r="CF1105" s="144">
        <v>1</v>
      </c>
    </row>
    <row r="1106" spans="84:84">
      <c r="CF1106" s="144">
        <v>1</v>
      </c>
    </row>
    <row r="1107" spans="84:84">
      <c r="CF1107" s="144">
        <v>1</v>
      </c>
    </row>
    <row r="1108" spans="84:84">
      <c r="CF1108" s="144">
        <v>3</v>
      </c>
    </row>
    <row r="1109" spans="84:84">
      <c r="CF1109" s="144">
        <v>2</v>
      </c>
    </row>
    <row r="1110" spans="84:84">
      <c r="CF1110" s="144">
        <v>4</v>
      </c>
    </row>
    <row r="1111" spans="84:84">
      <c r="CF1111" s="144">
        <v>2</v>
      </c>
    </row>
    <row r="1112" spans="84:84">
      <c r="CF1112" s="144">
        <v>3</v>
      </c>
    </row>
    <row r="1113" spans="84:84">
      <c r="CF1113" s="144">
        <v>4</v>
      </c>
    </row>
    <row r="1114" spans="84:84">
      <c r="CF1114" s="144">
        <v>3</v>
      </c>
    </row>
    <row r="1115" spans="84:84">
      <c r="CF1115" s="144">
        <v>3</v>
      </c>
    </row>
    <row r="1116" spans="84:84">
      <c r="CF1116" s="144">
        <v>2</v>
      </c>
    </row>
    <row r="1117" spans="84:84">
      <c r="CF1117" s="144">
        <v>5</v>
      </c>
    </row>
    <row r="1118" spans="84:84">
      <c r="CF1118" s="144">
        <v>5</v>
      </c>
    </row>
    <row r="1119" spans="84:84">
      <c r="CF1119" s="144">
        <v>3</v>
      </c>
    </row>
    <row r="1120" spans="84:84">
      <c r="CF1120" s="144">
        <v>7</v>
      </c>
    </row>
    <row r="1121" spans="84:84">
      <c r="CF1121" s="144">
        <v>1</v>
      </c>
    </row>
    <row r="1122" spans="84:84">
      <c r="CF1122" s="144">
        <v>6</v>
      </c>
    </row>
    <row r="1123" spans="84:84">
      <c r="CF1123" s="144">
        <v>3</v>
      </c>
    </row>
    <row r="1124" spans="84:84">
      <c r="CF1124" s="144">
        <v>3</v>
      </c>
    </row>
    <row r="1125" spans="84:84">
      <c r="CF1125" s="144">
        <v>1</v>
      </c>
    </row>
    <row r="1126" spans="84:84">
      <c r="CF1126" s="144">
        <v>1</v>
      </c>
    </row>
    <row r="1127" spans="84:84">
      <c r="CF1127" s="144">
        <v>8</v>
      </c>
    </row>
    <row r="1128" spans="84:84">
      <c r="CF1128" s="144">
        <v>2</v>
      </c>
    </row>
    <row r="1129" spans="84:84">
      <c r="CF1129" s="144">
        <v>1</v>
      </c>
    </row>
    <row r="1130" spans="84:84">
      <c r="CF1130" s="144">
        <v>3</v>
      </c>
    </row>
    <row r="1131" spans="84:84">
      <c r="CF1131" s="144">
        <v>3</v>
      </c>
    </row>
    <row r="1132" spans="84:84">
      <c r="CF1132" s="144">
        <v>2</v>
      </c>
    </row>
    <row r="1133" spans="84:84">
      <c r="CF1133" s="144">
        <v>2</v>
      </c>
    </row>
    <row r="1134" spans="84:84">
      <c r="CF1134" s="144">
        <v>6</v>
      </c>
    </row>
    <row r="1135" spans="84:84">
      <c r="CF1135" s="144">
        <v>1</v>
      </c>
    </row>
    <row r="1136" spans="84:84">
      <c r="CF1136" s="144">
        <v>1</v>
      </c>
    </row>
    <row r="1137" spans="84:84">
      <c r="CF1137" s="144">
        <v>1</v>
      </c>
    </row>
    <row r="1138" spans="84:84">
      <c r="CF1138" s="144">
        <v>5</v>
      </c>
    </row>
    <row r="1139" spans="84:84">
      <c r="CF1139" s="144">
        <v>3</v>
      </c>
    </row>
    <row r="1140" spans="84:84">
      <c r="CF1140" s="144">
        <v>3</v>
      </c>
    </row>
    <row r="1141" spans="84:84">
      <c r="CF1141" s="144">
        <v>2</v>
      </c>
    </row>
    <row r="1142" spans="84:84">
      <c r="CF1142" s="144">
        <v>5</v>
      </c>
    </row>
    <row r="1143" spans="84:84">
      <c r="CF1143" s="144">
        <v>2</v>
      </c>
    </row>
    <row r="1144" spans="84:84">
      <c r="CF1144" s="144">
        <v>3</v>
      </c>
    </row>
    <row r="1145" spans="84:84">
      <c r="CF1145" s="144">
        <v>3</v>
      </c>
    </row>
    <row r="1146" spans="84:84">
      <c r="CF1146" s="144">
        <v>8</v>
      </c>
    </row>
    <row r="1147" spans="84:84">
      <c r="CF1147" s="144">
        <v>4</v>
      </c>
    </row>
    <row r="1148" spans="84:84">
      <c r="CF1148" s="144">
        <v>8</v>
      </c>
    </row>
    <row r="1149" spans="84:84">
      <c r="CF1149" s="144">
        <v>4</v>
      </c>
    </row>
    <row r="1150" spans="84:84">
      <c r="CF1150" s="144">
        <v>3</v>
      </c>
    </row>
    <row r="1151" spans="84:84">
      <c r="CF1151" s="144">
        <v>3</v>
      </c>
    </row>
    <row r="1152" spans="84:84">
      <c r="CF1152" s="144">
        <v>3</v>
      </c>
    </row>
    <row r="1153" spans="84:84">
      <c r="CF1153" s="144">
        <v>2</v>
      </c>
    </row>
    <row r="1154" spans="84:84">
      <c r="CF1154" s="144">
        <v>3</v>
      </c>
    </row>
    <row r="1155" spans="84:84">
      <c r="CF1155" s="144">
        <v>1</v>
      </c>
    </row>
    <row r="1156" spans="84:84">
      <c r="CF1156" s="144">
        <v>8</v>
      </c>
    </row>
    <row r="1157" spans="84:84">
      <c r="CF1157" s="144">
        <v>3</v>
      </c>
    </row>
    <row r="1158" spans="84:84">
      <c r="CF1158" s="144">
        <v>6</v>
      </c>
    </row>
    <row r="1159" spans="84:84">
      <c r="CF1159" s="144">
        <v>7</v>
      </c>
    </row>
    <row r="1160" spans="84:84">
      <c r="CF1160" s="144">
        <v>4</v>
      </c>
    </row>
    <row r="1161" spans="84:84">
      <c r="CF1161" s="144">
        <v>5</v>
      </c>
    </row>
    <row r="1162" spans="84:84">
      <c r="CF1162" s="144">
        <v>2</v>
      </c>
    </row>
    <row r="1163" spans="84:84">
      <c r="CF1163" s="144">
        <v>1</v>
      </c>
    </row>
    <row r="1164" spans="84:84">
      <c r="CF1164" s="144">
        <v>3</v>
      </c>
    </row>
    <row r="1165" spans="84:84">
      <c r="CF1165" s="144">
        <v>5</v>
      </c>
    </row>
    <row r="1166" spans="84:84">
      <c r="CF1166" s="144">
        <v>4</v>
      </c>
    </row>
    <row r="1167" spans="84:84">
      <c r="CF1167" s="144">
        <v>6</v>
      </c>
    </row>
    <row r="1168" spans="84:84">
      <c r="CF1168" s="144">
        <v>2</v>
      </c>
    </row>
    <row r="1169" spans="84:84">
      <c r="CF1169" s="144">
        <v>1</v>
      </c>
    </row>
    <row r="1170" spans="84:84">
      <c r="CF1170" s="144">
        <v>2</v>
      </c>
    </row>
    <row r="1171" spans="84:84">
      <c r="CF1171" s="144">
        <v>2</v>
      </c>
    </row>
    <row r="1172" spans="84:84">
      <c r="CF1172" s="144">
        <v>6</v>
      </c>
    </row>
    <row r="1173" spans="84:84">
      <c r="CF1173" s="144">
        <v>2</v>
      </c>
    </row>
    <row r="1174" spans="84:84">
      <c r="CF1174" s="144">
        <v>6</v>
      </c>
    </row>
    <row r="1175" spans="84:84">
      <c r="CF1175" s="144">
        <v>5</v>
      </c>
    </row>
    <row r="1176" spans="84:84">
      <c r="CF1176" s="144">
        <v>4</v>
      </c>
    </row>
    <row r="1177" spans="84:84">
      <c r="CF1177" s="144">
        <v>2</v>
      </c>
    </row>
    <row r="1178" spans="84:84">
      <c r="CF1178" s="144">
        <v>2</v>
      </c>
    </row>
    <row r="1179" spans="84:84">
      <c r="CF1179" s="144">
        <v>2</v>
      </c>
    </row>
    <row r="1180" spans="84:84">
      <c r="CF1180" s="144">
        <v>1</v>
      </c>
    </row>
    <row r="1181" spans="84:84">
      <c r="CF1181" s="144">
        <v>2</v>
      </c>
    </row>
    <row r="1182" spans="84:84">
      <c r="CF1182" s="144">
        <v>3</v>
      </c>
    </row>
    <row r="1183" spans="84:84">
      <c r="CF1183" s="144">
        <v>3</v>
      </c>
    </row>
    <row r="1184" spans="84:84">
      <c r="CF1184" s="144">
        <v>4</v>
      </c>
    </row>
    <row r="1185" spans="84:84">
      <c r="CF1185" s="144">
        <v>5</v>
      </c>
    </row>
    <row r="1186" spans="84:84">
      <c r="CF1186" s="144">
        <v>4</v>
      </c>
    </row>
    <row r="1187" spans="84:84">
      <c r="CF1187" s="144">
        <v>3</v>
      </c>
    </row>
    <row r="1188" spans="84:84">
      <c r="CF1188" s="144">
        <v>4</v>
      </c>
    </row>
    <row r="1189" spans="84:84">
      <c r="CF1189" s="144">
        <v>2</v>
      </c>
    </row>
    <row r="1190" spans="84:84">
      <c r="CF1190" s="144">
        <v>8</v>
      </c>
    </row>
    <row r="1191" spans="84:84">
      <c r="CF1191" s="144">
        <v>5</v>
      </c>
    </row>
    <row r="1192" spans="84:84">
      <c r="CF1192" s="144">
        <v>4</v>
      </c>
    </row>
    <row r="1193" spans="84:84">
      <c r="CF1193" s="144">
        <v>3</v>
      </c>
    </row>
    <row r="1194" spans="84:84">
      <c r="CF1194" s="144">
        <v>4</v>
      </c>
    </row>
    <row r="1195" spans="84:84">
      <c r="CF1195" s="144">
        <v>4</v>
      </c>
    </row>
    <row r="1196" spans="84:84">
      <c r="CF1196" s="144">
        <v>5</v>
      </c>
    </row>
    <row r="1197" spans="84:84">
      <c r="CF1197" s="144">
        <v>4</v>
      </c>
    </row>
    <row r="1198" spans="84:84">
      <c r="CF1198" s="144">
        <v>4</v>
      </c>
    </row>
    <row r="1199" spans="84:84">
      <c r="CF1199" s="144">
        <v>5</v>
      </c>
    </row>
    <row r="1200" spans="84:84">
      <c r="CF1200" s="144">
        <v>4</v>
      </c>
    </row>
    <row r="1201" spans="84:84">
      <c r="CF1201" s="144">
        <v>3</v>
      </c>
    </row>
    <row r="1202" spans="84:84">
      <c r="CF1202" s="144">
        <v>4</v>
      </c>
    </row>
    <row r="1203" spans="84:84">
      <c r="CF1203" s="144">
        <v>3</v>
      </c>
    </row>
    <row r="1204" spans="84:84">
      <c r="CF1204" s="144">
        <v>3</v>
      </c>
    </row>
    <row r="1205" spans="84:84">
      <c r="CF1205" s="144">
        <v>3</v>
      </c>
    </row>
    <row r="1206" spans="84:84">
      <c r="CF1206" s="144">
        <v>2</v>
      </c>
    </row>
    <row r="1207" spans="84:84">
      <c r="CF1207" s="144">
        <v>1</v>
      </c>
    </row>
    <row r="1208" spans="84:84">
      <c r="CF1208" s="144">
        <v>3</v>
      </c>
    </row>
    <row r="1209" spans="84:84">
      <c r="CF1209" s="144">
        <v>2</v>
      </c>
    </row>
    <row r="1210" spans="84:84">
      <c r="CF1210" s="144">
        <v>5</v>
      </c>
    </row>
    <row r="1211" spans="84:84">
      <c r="CF1211" s="144">
        <v>5</v>
      </c>
    </row>
    <row r="1212" spans="84:84">
      <c r="CF1212" s="144">
        <v>3</v>
      </c>
    </row>
    <row r="1213" spans="84:84">
      <c r="CF1213" s="144">
        <v>3</v>
      </c>
    </row>
    <row r="1214" spans="84:84">
      <c r="CF1214" s="144">
        <v>1</v>
      </c>
    </row>
    <row r="1215" spans="84:84">
      <c r="CF1215" s="144">
        <v>5</v>
      </c>
    </row>
    <row r="1216" spans="84:84">
      <c r="CF1216" s="144">
        <v>4</v>
      </c>
    </row>
    <row r="1217" spans="84:84">
      <c r="CF1217" s="144">
        <v>3</v>
      </c>
    </row>
    <row r="1218" spans="84:84">
      <c r="CF1218" s="144">
        <v>2</v>
      </c>
    </row>
    <row r="1219" spans="84:84">
      <c r="CF1219" s="144">
        <v>3</v>
      </c>
    </row>
    <row r="1220" spans="84:84">
      <c r="CF1220" s="144">
        <v>1</v>
      </c>
    </row>
    <row r="1221" spans="84:84">
      <c r="CF1221" s="144">
        <v>1</v>
      </c>
    </row>
    <row r="1222" spans="84:84">
      <c r="CF1222" s="144">
        <v>3</v>
      </c>
    </row>
    <row r="1223" spans="84:84">
      <c r="CF1223" s="144">
        <v>4</v>
      </c>
    </row>
    <row r="1224" spans="84:84">
      <c r="CF1224" s="144">
        <v>2</v>
      </c>
    </row>
    <row r="1225" spans="84:84">
      <c r="CF1225" s="144">
        <v>3</v>
      </c>
    </row>
    <row r="1226" spans="84:84">
      <c r="CF1226" s="144">
        <v>3</v>
      </c>
    </row>
    <row r="1227" spans="84:84">
      <c r="CF1227" s="144">
        <v>4</v>
      </c>
    </row>
    <row r="1228" spans="84:84">
      <c r="CF1228" s="144">
        <v>4</v>
      </c>
    </row>
    <row r="1229" spans="84:84">
      <c r="CF1229" s="144">
        <v>2</v>
      </c>
    </row>
    <row r="1230" spans="84:84">
      <c r="CF1230" s="144">
        <v>5</v>
      </c>
    </row>
    <row r="1231" spans="84:84">
      <c r="CF1231" s="144">
        <v>6</v>
      </c>
    </row>
    <row r="1232" spans="84:84">
      <c r="CF1232" s="144">
        <v>5</v>
      </c>
    </row>
    <row r="1233" spans="84:84">
      <c r="CF1233" s="144">
        <v>4</v>
      </c>
    </row>
    <row r="1234" spans="84:84">
      <c r="CF1234" s="144">
        <v>5</v>
      </c>
    </row>
    <row r="1235" spans="84:84">
      <c r="CF1235" s="144">
        <v>5</v>
      </c>
    </row>
    <row r="1236" spans="84:84">
      <c r="CF1236" s="144">
        <v>3</v>
      </c>
    </row>
    <row r="1237" spans="84:84">
      <c r="CF1237" s="144">
        <v>3</v>
      </c>
    </row>
    <row r="1238" spans="84:84">
      <c r="CF1238" s="144">
        <v>2</v>
      </c>
    </row>
    <row r="1239" spans="84:84">
      <c r="CF1239" s="144">
        <v>4</v>
      </c>
    </row>
    <row r="1240" spans="84:84">
      <c r="CF1240" s="144">
        <v>5</v>
      </c>
    </row>
    <row r="1241" spans="84:84">
      <c r="CF1241" s="144">
        <v>4</v>
      </c>
    </row>
    <row r="1242" spans="84:84">
      <c r="CF1242" s="144">
        <v>4</v>
      </c>
    </row>
    <row r="1243" spans="84:84">
      <c r="CF1243" s="144">
        <v>7</v>
      </c>
    </row>
    <row r="1244" spans="84:84">
      <c r="CF1244" s="144">
        <v>3</v>
      </c>
    </row>
    <row r="1245" spans="84:84">
      <c r="CF1245" s="144">
        <v>4</v>
      </c>
    </row>
    <row r="1246" spans="84:84">
      <c r="CF1246" s="144">
        <v>4</v>
      </c>
    </row>
    <row r="1247" spans="84:84">
      <c r="CF1247" s="144">
        <v>4</v>
      </c>
    </row>
    <row r="1248" spans="84:84">
      <c r="CF1248" s="144">
        <v>3</v>
      </c>
    </row>
    <row r="1249" spans="84:84">
      <c r="CF1249" s="144">
        <v>3</v>
      </c>
    </row>
    <row r="1250" spans="84:84">
      <c r="CF1250" s="144">
        <v>2</v>
      </c>
    </row>
    <row r="1251" spans="84:84">
      <c r="CF1251" s="144">
        <v>5</v>
      </c>
    </row>
    <row r="1252" spans="84:84">
      <c r="CF1252" s="144">
        <v>2</v>
      </c>
    </row>
    <row r="1253" spans="84:84">
      <c r="CF1253" s="144">
        <v>2</v>
      </c>
    </row>
    <row r="1254" spans="84:84">
      <c r="CF1254" s="144">
        <v>3</v>
      </c>
    </row>
    <row r="1255" spans="84:84">
      <c r="CF1255" s="144">
        <v>3</v>
      </c>
    </row>
    <row r="1256" spans="84:84">
      <c r="CF1256" s="144">
        <v>8</v>
      </c>
    </row>
    <row r="1257" spans="84:84">
      <c r="CF1257" s="144">
        <v>2</v>
      </c>
    </row>
    <row r="1258" spans="84:84">
      <c r="CF1258" s="144">
        <v>2</v>
      </c>
    </row>
    <row r="1259" spans="84:84">
      <c r="CF1259" s="144">
        <v>3</v>
      </c>
    </row>
    <row r="1260" spans="84:84">
      <c r="CF1260" s="144">
        <v>3</v>
      </c>
    </row>
    <row r="1261" spans="84:84">
      <c r="CF1261" s="144">
        <v>4</v>
      </c>
    </row>
    <row r="1262" spans="84:84">
      <c r="CF1262" s="144">
        <v>3</v>
      </c>
    </row>
    <row r="1263" spans="84:84">
      <c r="CF1263" s="144">
        <v>4</v>
      </c>
    </row>
    <row r="1264" spans="84:84">
      <c r="CF1264" s="144">
        <v>4</v>
      </c>
    </row>
    <row r="1265" spans="84:84">
      <c r="CF1265" s="144">
        <v>2</v>
      </c>
    </row>
    <row r="1266" spans="84:84">
      <c r="CF1266" s="144">
        <v>4</v>
      </c>
    </row>
    <row r="1267" spans="84:84">
      <c r="CF1267" s="144">
        <v>6</v>
      </c>
    </row>
    <row r="1268" spans="84:84">
      <c r="CF1268" s="144">
        <v>7</v>
      </c>
    </row>
    <row r="1269" spans="84:84">
      <c r="CF1269" s="144">
        <v>3</v>
      </c>
    </row>
    <row r="1270" spans="84:84">
      <c r="CF1270" s="144">
        <v>3</v>
      </c>
    </row>
    <row r="1271" spans="84:84">
      <c r="CF1271" s="144">
        <v>3</v>
      </c>
    </row>
    <row r="1272" spans="84:84">
      <c r="CF1272" s="144">
        <v>4</v>
      </c>
    </row>
    <row r="1273" spans="84:84">
      <c r="CF1273" s="144">
        <v>3</v>
      </c>
    </row>
    <row r="1274" spans="84:84">
      <c r="CF1274" s="144">
        <v>5</v>
      </c>
    </row>
    <row r="1275" spans="84:84">
      <c r="CF1275" s="144">
        <v>4</v>
      </c>
    </row>
    <row r="1276" spans="84:84">
      <c r="CF1276" s="144">
        <v>3</v>
      </c>
    </row>
    <row r="1277" spans="84:84">
      <c r="CF1277" s="144">
        <v>3</v>
      </c>
    </row>
    <row r="1278" spans="84:84">
      <c r="CF1278" s="144">
        <v>2</v>
      </c>
    </row>
    <row r="1279" spans="84:84">
      <c r="CF1279" s="144">
        <v>2</v>
      </c>
    </row>
    <row r="1280" spans="84:84">
      <c r="CF1280" s="144">
        <v>3</v>
      </c>
    </row>
    <row r="1281" spans="84:84">
      <c r="CF1281" s="144">
        <v>4</v>
      </c>
    </row>
    <row r="1282" spans="84:84">
      <c r="CF1282" s="144">
        <v>3</v>
      </c>
    </row>
    <row r="1283" spans="84:84">
      <c r="CF1283" s="144">
        <v>2</v>
      </c>
    </row>
    <row r="1284" spans="84:84">
      <c r="CF1284" s="144">
        <v>2</v>
      </c>
    </row>
    <row r="1285" spans="84:84">
      <c r="CF1285" s="144">
        <v>3</v>
      </c>
    </row>
    <row r="1286" spans="84:84">
      <c r="CF1286" s="144">
        <v>3</v>
      </c>
    </row>
    <row r="1287" spans="84:84">
      <c r="CF1287" s="144">
        <v>3</v>
      </c>
    </row>
    <row r="1288" spans="84:84">
      <c r="CF1288" s="144">
        <v>3</v>
      </c>
    </row>
    <row r="1289" spans="84:84">
      <c r="CF1289" s="144">
        <v>5</v>
      </c>
    </row>
    <row r="1290" spans="84:84">
      <c r="CF1290" s="144">
        <v>8</v>
      </c>
    </row>
    <row r="1291" spans="84:84">
      <c r="CF1291" s="144">
        <v>3</v>
      </c>
    </row>
    <row r="1292" spans="84:84">
      <c r="CF1292" s="144">
        <v>6</v>
      </c>
    </row>
    <row r="1293" spans="84:84">
      <c r="CF1293" s="144">
        <v>7</v>
      </c>
    </row>
    <row r="1294" spans="84:84">
      <c r="CF1294" s="144">
        <v>7</v>
      </c>
    </row>
    <row r="1295" spans="84:84">
      <c r="CF1295" s="144">
        <v>9</v>
      </c>
    </row>
    <row r="1296" spans="84:84">
      <c r="CF1296" s="144">
        <v>3</v>
      </c>
    </row>
    <row r="1297" spans="84:84">
      <c r="CF1297" s="144">
        <v>1</v>
      </c>
    </row>
    <row r="1298" spans="84:84">
      <c r="CF1298" s="144">
        <v>2</v>
      </c>
    </row>
    <row r="1300" spans="84:84">
      <c r="CF1300" s="144">
        <v>3</v>
      </c>
    </row>
    <row r="1301" spans="84:84">
      <c r="CF1301" s="144">
        <v>2</v>
      </c>
    </row>
    <row r="1302" spans="84:84">
      <c r="CF1302" s="144">
        <v>2</v>
      </c>
    </row>
    <row r="1303" spans="84:84">
      <c r="CF1303" s="144">
        <v>5</v>
      </c>
    </row>
    <row r="1304" spans="84:84">
      <c r="CF1304" s="144">
        <v>7</v>
      </c>
    </row>
    <row r="1305" spans="84:84">
      <c r="CF1305" s="144">
        <v>3</v>
      </c>
    </row>
    <row r="1306" spans="84:84">
      <c r="CF1306" s="144">
        <v>3</v>
      </c>
    </row>
    <row r="1307" spans="84:84">
      <c r="CF1307" s="144">
        <v>2</v>
      </c>
    </row>
    <row r="1308" spans="84:84">
      <c r="CF1308" s="144">
        <v>3</v>
      </c>
    </row>
    <row r="1309" spans="84:84">
      <c r="CF1309" s="144">
        <v>2</v>
      </c>
    </row>
    <row r="1310" spans="84:84">
      <c r="CF1310" s="144">
        <v>3</v>
      </c>
    </row>
    <row r="1311" spans="84:84">
      <c r="CF1311" s="144">
        <v>3</v>
      </c>
    </row>
    <row r="1312" spans="84:84">
      <c r="CF1312" s="144">
        <v>3</v>
      </c>
    </row>
    <row r="1313" spans="84:84">
      <c r="CF1313" s="144">
        <v>2</v>
      </c>
    </row>
    <row r="1314" spans="84:84">
      <c r="CF1314" s="144">
        <v>1</v>
      </c>
    </row>
    <row r="1315" spans="84:84">
      <c r="CF1315" s="144">
        <v>4</v>
      </c>
    </row>
    <row r="1316" spans="84:84">
      <c r="CF1316" s="144">
        <v>4</v>
      </c>
    </row>
    <row r="1317" spans="84:84">
      <c r="CF1317" s="144">
        <v>1</v>
      </c>
    </row>
    <row r="1318" spans="84:84">
      <c r="CF1318" s="144">
        <v>7</v>
      </c>
    </row>
    <row r="1319" spans="84:84">
      <c r="CF1319" s="144">
        <v>2</v>
      </c>
    </row>
    <row r="1320" spans="84:84">
      <c r="CF1320" s="144">
        <v>3</v>
      </c>
    </row>
    <row r="1321" spans="84:84">
      <c r="CF1321" s="144">
        <v>4</v>
      </c>
    </row>
    <row r="1322" spans="84:84">
      <c r="CF1322" s="144">
        <v>4</v>
      </c>
    </row>
    <row r="1323" spans="84:84">
      <c r="CF1323" s="144">
        <v>2</v>
      </c>
    </row>
    <row r="1324" spans="84:84">
      <c r="CF1324" s="144">
        <v>5</v>
      </c>
    </row>
    <row r="1325" spans="84:84">
      <c r="CF1325" s="144">
        <v>3</v>
      </c>
    </row>
    <row r="1326" spans="84:84">
      <c r="CF1326" s="144">
        <v>2</v>
      </c>
    </row>
    <row r="1327" spans="84:84">
      <c r="CF1327" s="144">
        <v>3</v>
      </c>
    </row>
    <row r="1328" spans="84:84">
      <c r="CF1328" s="144">
        <v>3</v>
      </c>
    </row>
    <row r="1329" spans="84:84">
      <c r="CF1329" s="144">
        <v>3</v>
      </c>
    </row>
    <row r="1330" spans="84:84">
      <c r="CF1330" s="144">
        <v>5</v>
      </c>
    </row>
    <row r="1331" spans="84:84">
      <c r="CF1331" s="144">
        <v>2</v>
      </c>
    </row>
    <row r="1332" spans="84:84">
      <c r="CF1332" s="144">
        <v>6</v>
      </c>
    </row>
    <row r="1333" spans="84:84">
      <c r="CF1333" s="144">
        <v>2</v>
      </c>
    </row>
    <row r="1334" spans="84:84">
      <c r="CF1334" s="144">
        <v>1</v>
      </c>
    </row>
    <row r="1335" spans="84:84">
      <c r="CF1335" s="144">
        <v>3</v>
      </c>
    </row>
    <row r="1336" spans="84:84">
      <c r="CF1336" s="144">
        <v>7</v>
      </c>
    </row>
    <row r="1337" spans="84:84">
      <c r="CF1337" s="144">
        <v>5</v>
      </c>
    </row>
    <row r="1338" spans="84:84">
      <c r="CF1338" s="144">
        <v>6</v>
      </c>
    </row>
    <row r="1339" spans="84:84">
      <c r="CF1339" s="144">
        <v>4</v>
      </c>
    </row>
    <row r="1340" spans="84:84">
      <c r="CF1340" s="144">
        <v>1</v>
      </c>
    </row>
    <row r="1341" spans="84:84">
      <c r="CF1341" s="144">
        <v>2</v>
      </c>
    </row>
    <row r="1342" spans="84:84">
      <c r="CF1342" s="144">
        <v>1</v>
      </c>
    </row>
    <row r="1343" spans="84:84">
      <c r="CF1343" s="144">
        <v>4</v>
      </c>
    </row>
    <row r="1344" spans="84:84">
      <c r="CF1344" s="144">
        <v>3</v>
      </c>
    </row>
    <row r="1345" spans="84:84">
      <c r="CF1345" s="144">
        <v>1</v>
      </c>
    </row>
    <row r="1346" spans="84:84">
      <c r="CF1346" s="144">
        <v>6</v>
      </c>
    </row>
    <row r="1347" spans="84:84">
      <c r="CF1347" s="144">
        <v>5</v>
      </c>
    </row>
    <row r="1348" spans="84:84">
      <c r="CF1348" s="144">
        <v>7</v>
      </c>
    </row>
    <row r="1349" spans="84:84">
      <c r="CF1349" s="144">
        <v>3</v>
      </c>
    </row>
    <row r="1350" spans="84:84">
      <c r="CF1350" s="144">
        <v>3</v>
      </c>
    </row>
    <row r="1351" spans="84:84">
      <c r="CF1351" s="144">
        <v>3</v>
      </c>
    </row>
    <row r="1352" spans="84:84">
      <c r="CF1352" s="144">
        <v>3</v>
      </c>
    </row>
    <row r="1353" spans="84:84">
      <c r="CF1353" s="144">
        <v>3</v>
      </c>
    </row>
    <row r="1354" spans="84:84">
      <c r="CF1354" s="144">
        <v>4</v>
      </c>
    </row>
    <row r="1355" spans="84:84">
      <c r="CF1355" s="144">
        <v>1</v>
      </c>
    </row>
    <row r="1356" spans="84:84">
      <c r="CF1356" s="144">
        <v>2</v>
      </c>
    </row>
    <row r="1357" spans="84:84">
      <c r="CF1357" s="144">
        <v>3</v>
      </c>
    </row>
    <row r="1358" spans="84:84">
      <c r="CF1358" s="144">
        <v>4</v>
      </c>
    </row>
    <row r="1359" spans="84:84">
      <c r="CF1359" s="144">
        <v>3</v>
      </c>
    </row>
    <row r="1360" spans="84:84">
      <c r="CF1360" s="144">
        <v>2</v>
      </c>
    </row>
    <row r="1361" spans="84:84">
      <c r="CF1361" s="144">
        <v>1</v>
      </c>
    </row>
    <row r="1362" spans="84:84">
      <c r="CF1362" s="144">
        <v>2</v>
      </c>
    </row>
    <row r="1363" spans="84:84">
      <c r="CF1363" s="144">
        <v>2</v>
      </c>
    </row>
    <row r="1364" spans="84:84">
      <c r="CF1364" s="144">
        <v>6</v>
      </c>
    </row>
    <row r="1365" spans="84:84">
      <c r="CF1365" s="144">
        <v>1</v>
      </c>
    </row>
    <row r="1366" spans="84:84">
      <c r="CF1366" s="144">
        <v>3</v>
      </c>
    </row>
    <row r="1367" spans="84:84">
      <c r="CF1367" s="144">
        <v>4</v>
      </c>
    </row>
    <row r="1368" spans="84:84">
      <c r="CF1368" s="144">
        <v>3</v>
      </c>
    </row>
    <row r="1369" spans="84:84">
      <c r="CF1369" s="144">
        <v>3</v>
      </c>
    </row>
    <row r="1370" spans="84:84">
      <c r="CF1370" s="144">
        <v>4</v>
      </c>
    </row>
    <row r="1371" spans="84:84">
      <c r="CF1371" s="144">
        <v>3</v>
      </c>
    </row>
    <row r="1372" spans="84:84">
      <c r="CF1372" s="144">
        <v>4</v>
      </c>
    </row>
    <row r="1373" spans="84:84">
      <c r="CF1373" s="144">
        <v>3</v>
      </c>
    </row>
    <row r="1374" spans="84:84">
      <c r="CF1374" s="144">
        <v>3</v>
      </c>
    </row>
    <row r="1375" spans="84:84">
      <c r="CF1375" s="144">
        <v>4</v>
      </c>
    </row>
    <row r="1376" spans="84:84">
      <c r="CF1376" s="144">
        <v>7</v>
      </c>
    </row>
    <row r="1377" spans="84:84">
      <c r="CF1377" s="144">
        <v>2</v>
      </c>
    </row>
    <row r="1378" spans="84:84">
      <c r="CF1378" s="144">
        <v>2</v>
      </c>
    </row>
    <row r="1379" spans="84:84">
      <c r="CF1379" s="144">
        <v>2</v>
      </c>
    </row>
    <row r="1380" spans="84:84">
      <c r="CF1380" s="144">
        <v>2</v>
      </c>
    </row>
    <row r="1381" spans="84:84">
      <c r="CF1381" s="144">
        <v>2</v>
      </c>
    </row>
    <row r="1382" spans="84:84">
      <c r="CF1382" s="144">
        <v>4</v>
      </c>
    </row>
    <row r="1383" spans="84:84">
      <c r="CF1383" s="144">
        <v>7</v>
      </c>
    </row>
    <row r="1384" spans="84:84">
      <c r="CF1384" s="144">
        <v>6</v>
      </c>
    </row>
    <row r="1385" spans="84:84">
      <c r="CF1385" s="144">
        <v>6</v>
      </c>
    </row>
    <row r="1386" spans="84:84">
      <c r="CF1386" s="144">
        <v>2</v>
      </c>
    </row>
    <row r="1387" spans="84:84">
      <c r="CF1387" s="144">
        <v>8</v>
      </c>
    </row>
    <row r="1388" spans="84:84">
      <c r="CF1388" s="144">
        <v>3</v>
      </c>
    </row>
    <row r="1389" spans="84:84">
      <c r="CF1389" s="144">
        <v>2</v>
      </c>
    </row>
    <row r="1390" spans="84:84">
      <c r="CF1390" s="144">
        <v>2</v>
      </c>
    </row>
    <row r="1391" spans="84:84">
      <c r="CF1391" s="144">
        <v>3</v>
      </c>
    </row>
    <row r="1392" spans="84:84">
      <c r="CF1392" s="144">
        <v>2</v>
      </c>
    </row>
    <row r="1393" spans="84:84">
      <c r="CF1393" s="144">
        <v>2</v>
      </c>
    </row>
    <row r="1394" spans="84:84">
      <c r="CF1394" s="144">
        <v>3</v>
      </c>
    </row>
    <row r="1395" spans="84:84">
      <c r="CF1395" s="144">
        <v>2</v>
      </c>
    </row>
    <row r="1396" spans="84:84">
      <c r="CF1396" s="144">
        <v>2</v>
      </c>
    </row>
    <row r="1397" spans="84:84">
      <c r="CF1397" s="144">
        <v>2</v>
      </c>
    </row>
    <row r="1398" spans="84:84">
      <c r="CF1398" s="144">
        <v>7</v>
      </c>
    </row>
    <row r="1399" spans="84:84">
      <c r="CF1399" s="144">
        <v>2</v>
      </c>
    </row>
    <row r="1400" spans="84:84">
      <c r="CF1400" s="144">
        <v>4</v>
      </c>
    </row>
    <row r="1401" spans="84:84">
      <c r="CF1401" s="144">
        <v>3</v>
      </c>
    </row>
    <row r="1402" spans="84:84">
      <c r="CF1402" s="144">
        <v>3</v>
      </c>
    </row>
    <row r="1403" spans="84:84">
      <c r="CF1403" s="144">
        <v>5</v>
      </c>
    </row>
    <row r="1404" spans="84:84">
      <c r="CF1404" s="144">
        <v>4</v>
      </c>
    </row>
    <row r="1405" spans="84:84">
      <c r="CF1405" s="144">
        <v>3</v>
      </c>
    </row>
    <row r="1406" spans="84:84">
      <c r="CF1406" s="144">
        <v>4</v>
      </c>
    </row>
    <row r="1407" spans="84:84">
      <c r="CF1407" s="144">
        <v>3</v>
      </c>
    </row>
    <row r="1408" spans="84:84">
      <c r="CF1408" s="144">
        <v>2</v>
      </c>
    </row>
    <row r="1409" spans="84:84">
      <c r="CF1409" s="144">
        <v>3</v>
      </c>
    </row>
    <row r="1410" spans="84:84">
      <c r="CF1410" s="144">
        <v>4</v>
      </c>
    </row>
    <row r="1411" spans="84:84">
      <c r="CF1411" s="144">
        <v>4</v>
      </c>
    </row>
    <row r="1412" spans="84:84">
      <c r="CF1412" s="144">
        <v>3</v>
      </c>
    </row>
    <row r="1413" spans="84:84">
      <c r="CF1413" s="144">
        <v>3</v>
      </c>
    </row>
    <row r="1414" spans="84:84">
      <c r="CF1414" s="144">
        <v>3</v>
      </c>
    </row>
    <row r="1415" spans="84:84">
      <c r="CF1415" s="144">
        <v>4</v>
      </c>
    </row>
    <row r="1416" spans="84:84">
      <c r="CF1416" s="144">
        <v>3</v>
      </c>
    </row>
    <row r="1417" spans="84:84">
      <c r="CF1417" s="144">
        <v>2</v>
      </c>
    </row>
    <row r="1418" spans="84:84">
      <c r="CF1418" s="144">
        <v>3</v>
      </c>
    </row>
    <row r="1419" spans="84:84">
      <c r="CF1419" s="144">
        <v>1</v>
      </c>
    </row>
    <row r="1420" spans="84:84">
      <c r="CF1420" s="144">
        <v>5</v>
      </c>
    </row>
    <row r="1421" spans="84:84">
      <c r="CF1421" s="144">
        <v>6</v>
      </c>
    </row>
    <row r="1422" spans="84:84">
      <c r="CF1422" s="144">
        <v>6</v>
      </c>
    </row>
    <row r="1423" spans="84:84">
      <c r="CF1423" s="144">
        <v>2</v>
      </c>
    </row>
    <row r="1424" spans="84:84">
      <c r="CF1424" s="144">
        <v>2</v>
      </c>
    </row>
    <row r="1425" spans="84:84">
      <c r="CF1425" s="144">
        <v>3</v>
      </c>
    </row>
    <row r="1426" spans="84:84">
      <c r="CF1426" s="144">
        <v>2</v>
      </c>
    </row>
    <row r="1427" spans="84:84">
      <c r="CF1427" s="144">
        <v>8</v>
      </c>
    </row>
    <row r="1428" spans="84:84">
      <c r="CF1428" s="144">
        <v>3</v>
      </c>
    </row>
    <row r="1429" spans="84:84">
      <c r="CF1429" s="144">
        <v>4</v>
      </c>
    </row>
    <row r="1430" spans="84:84">
      <c r="CF1430" s="144">
        <v>3</v>
      </c>
    </row>
    <row r="1431" spans="84:84">
      <c r="CF1431" s="144">
        <v>3</v>
      </c>
    </row>
    <row r="1432" spans="84:84">
      <c r="CF1432" s="144">
        <v>4</v>
      </c>
    </row>
    <row r="1433" spans="84:84">
      <c r="CF1433" s="144">
        <v>4</v>
      </c>
    </row>
    <row r="1434" spans="84:84">
      <c r="CF1434" s="144">
        <v>4</v>
      </c>
    </row>
    <row r="1435" spans="84:84">
      <c r="CF1435" s="144">
        <v>4</v>
      </c>
    </row>
    <row r="1436" spans="84:84">
      <c r="CF1436" s="144">
        <v>1</v>
      </c>
    </row>
    <row r="1437" spans="84:84">
      <c r="CF1437" s="144">
        <v>4</v>
      </c>
    </row>
    <row r="1438" spans="84:84">
      <c r="CF1438" s="144">
        <v>9</v>
      </c>
    </row>
    <row r="1439" spans="84:84">
      <c r="CF1439" s="144">
        <v>2</v>
      </c>
    </row>
    <row r="1440" spans="84:84">
      <c r="CF1440" s="144">
        <v>8</v>
      </c>
    </row>
    <row r="1441" spans="84:84">
      <c r="CF1441" s="144">
        <v>7</v>
      </c>
    </row>
    <row r="1442" spans="84:84">
      <c r="CF1442" s="144">
        <v>3</v>
      </c>
    </row>
    <row r="1443" spans="84:84">
      <c r="CF1443" s="144">
        <v>4</v>
      </c>
    </row>
    <row r="1444" spans="84:84">
      <c r="CF1444" s="144">
        <v>2</v>
      </c>
    </row>
    <row r="1446" spans="84:84">
      <c r="CF1446" s="144">
        <v>3</v>
      </c>
    </row>
    <row r="1447" spans="84:84">
      <c r="CF1447" s="144">
        <v>3</v>
      </c>
    </row>
    <row r="1448" spans="84:84">
      <c r="CF1448" s="144">
        <v>5</v>
      </c>
    </row>
    <row r="1449" spans="84:84">
      <c r="CF1449" s="144">
        <v>8</v>
      </c>
    </row>
    <row r="1450" spans="84:84">
      <c r="CF1450" s="144">
        <v>8</v>
      </c>
    </row>
    <row r="1451" spans="84:84">
      <c r="CF1451" s="144">
        <v>7</v>
      </c>
    </row>
    <row r="1452" spans="84:84">
      <c r="CF1452" s="144">
        <v>5</v>
      </c>
    </row>
    <row r="1453" spans="84:84">
      <c r="CF1453" s="144">
        <v>5</v>
      </c>
    </row>
    <row r="1454" spans="84:84">
      <c r="CF1454" s="144">
        <v>5</v>
      </c>
    </row>
    <row r="1455" spans="84:84">
      <c r="CF1455" s="144">
        <v>3</v>
      </c>
    </row>
    <row r="1456" spans="84:84">
      <c r="CF1456" s="144">
        <v>2</v>
      </c>
    </row>
    <row r="1457" spans="84:84">
      <c r="CF1457" s="144">
        <v>2</v>
      </c>
    </row>
    <row r="1458" spans="84:84">
      <c r="CF1458" s="144">
        <v>2</v>
      </c>
    </row>
    <row r="1459" spans="84:84">
      <c r="CF1459" s="144">
        <v>2</v>
      </c>
    </row>
    <row r="1460" spans="84:84">
      <c r="CF1460" s="144">
        <v>5</v>
      </c>
    </row>
    <row r="1461" spans="84:84">
      <c r="CF1461" s="144">
        <v>2</v>
      </c>
    </row>
    <row r="1462" spans="84:84">
      <c r="CF1462" s="144">
        <v>2</v>
      </c>
    </row>
    <row r="1463" spans="84:84">
      <c r="CF1463" s="144">
        <v>1</v>
      </c>
    </row>
    <row r="1464" spans="84:84">
      <c r="CF1464" s="144">
        <v>2</v>
      </c>
    </row>
    <row r="1465" spans="84:84">
      <c r="CF1465" s="144">
        <v>4</v>
      </c>
    </row>
    <row r="1466" spans="84:84">
      <c r="CF1466" s="144">
        <v>5</v>
      </c>
    </row>
    <row r="1467" spans="84:84">
      <c r="CF1467" s="144">
        <v>3</v>
      </c>
    </row>
    <row r="1468" spans="84:84">
      <c r="CF1468" s="144">
        <v>5</v>
      </c>
    </row>
    <row r="1469" spans="84:84">
      <c r="CF1469" s="144">
        <v>1</v>
      </c>
    </row>
    <row r="1470" spans="84:84">
      <c r="CF1470" s="144">
        <v>2</v>
      </c>
    </row>
    <row r="1471" spans="84:84">
      <c r="CF1471" s="144">
        <v>4</v>
      </c>
    </row>
    <row r="1472" spans="84:84">
      <c r="CF1472" s="144">
        <v>1</v>
      </c>
    </row>
    <row r="1473" spans="84:84">
      <c r="CF1473" s="144">
        <v>2</v>
      </c>
    </row>
    <row r="1474" spans="84:84">
      <c r="CF1474" s="144">
        <v>2</v>
      </c>
    </row>
    <row r="1475" spans="84:84">
      <c r="CF1475" s="144">
        <v>3</v>
      </c>
    </row>
    <row r="1476" spans="84:84">
      <c r="CF1476" s="144">
        <v>2</v>
      </c>
    </row>
    <row r="1477" spans="84:84">
      <c r="CF1477" s="144">
        <v>2</v>
      </c>
    </row>
    <row r="1478" spans="84:84">
      <c r="CF1478" s="144">
        <v>2</v>
      </c>
    </row>
    <row r="1479" spans="84:84">
      <c r="CF1479" s="144">
        <v>2</v>
      </c>
    </row>
    <row r="1480" spans="84:84">
      <c r="CF1480" s="144">
        <v>5</v>
      </c>
    </row>
    <row r="1481" spans="84:84">
      <c r="CF1481" s="144">
        <v>5</v>
      </c>
    </row>
    <row r="1482" spans="84:84">
      <c r="CF1482" s="144">
        <v>2</v>
      </c>
    </row>
    <row r="1483" spans="84:84">
      <c r="CF1483" s="144">
        <v>1</v>
      </c>
    </row>
    <row r="1484" spans="84:84">
      <c r="CF1484" s="144">
        <v>1</v>
      </c>
    </row>
    <row r="1485" spans="84:84">
      <c r="CF1485" s="144">
        <v>1</v>
      </c>
    </row>
    <row r="1486" spans="84:84">
      <c r="CF1486" s="144">
        <v>1</v>
      </c>
    </row>
    <row r="1487" spans="84:84">
      <c r="CF1487" s="144">
        <v>2</v>
      </c>
    </row>
    <row r="1488" spans="84:84">
      <c r="CF1488" s="144">
        <v>3</v>
      </c>
    </row>
    <row r="1489" spans="84:84">
      <c r="CF1489" s="144">
        <v>2</v>
      </c>
    </row>
    <row r="1490" spans="84:84">
      <c r="CF1490" s="144">
        <v>3</v>
      </c>
    </row>
    <row r="1491" spans="84:84">
      <c r="CF1491" s="144">
        <v>2</v>
      </c>
    </row>
    <row r="1492" spans="84:84">
      <c r="CF1492" s="144">
        <v>1</v>
      </c>
    </row>
    <row r="1493" spans="84:84">
      <c r="CF1493" s="144">
        <v>1</v>
      </c>
    </row>
    <row r="1494" spans="84:84">
      <c r="CF1494" s="144">
        <v>1</v>
      </c>
    </row>
    <row r="1495" spans="84:84">
      <c r="CF1495" s="144">
        <v>3</v>
      </c>
    </row>
    <row r="1496" spans="84:84">
      <c r="CF1496" s="144">
        <v>3</v>
      </c>
    </row>
    <row r="1497" spans="84:84">
      <c r="CF1497" s="144">
        <v>4</v>
      </c>
    </row>
    <row r="1498" spans="84:84">
      <c r="CF1498" s="144">
        <v>3</v>
      </c>
    </row>
    <row r="1499" spans="84:84">
      <c r="CF1499" s="144">
        <v>2</v>
      </c>
    </row>
    <row r="1500" spans="84:84">
      <c r="CF1500" s="144">
        <v>7</v>
      </c>
    </row>
    <row r="1501" spans="84:84">
      <c r="CF1501" s="144">
        <v>5</v>
      </c>
    </row>
    <row r="1502" spans="84:84">
      <c r="CF1502" s="144">
        <v>4</v>
      </c>
    </row>
    <row r="1503" spans="84:84">
      <c r="CF1503" s="144">
        <v>2</v>
      </c>
    </row>
    <row r="1504" spans="84:84">
      <c r="CF1504" s="144">
        <v>2</v>
      </c>
    </row>
    <row r="1505" spans="84:84">
      <c r="CF1505" s="144">
        <v>6</v>
      </c>
    </row>
    <row r="1506" spans="84:84">
      <c r="CF1506" s="144">
        <v>5</v>
      </c>
    </row>
    <row r="1507" spans="84:84">
      <c r="CF1507" s="144">
        <v>4</v>
      </c>
    </row>
    <row r="1508" spans="84:84">
      <c r="CF1508" s="144">
        <v>5</v>
      </c>
    </row>
    <row r="1509" spans="84:84">
      <c r="CF1509" s="144">
        <v>4</v>
      </c>
    </row>
    <row r="1510" spans="84:84">
      <c r="CF1510" s="144">
        <v>1</v>
      </c>
    </row>
    <row r="1511" spans="84:84">
      <c r="CF1511" s="144">
        <v>1</v>
      </c>
    </row>
    <row r="1512" spans="84:84">
      <c r="CF1512" s="144">
        <v>2</v>
      </c>
    </row>
    <row r="1513" spans="84:84">
      <c r="CF1513" s="144">
        <v>4</v>
      </c>
    </row>
    <row r="1514" spans="84:84">
      <c r="CF1514" s="144">
        <v>3</v>
      </c>
    </row>
    <row r="1515" spans="84:84">
      <c r="CF1515" s="144">
        <v>3</v>
      </c>
    </row>
    <row r="1516" spans="84:84">
      <c r="CF1516" s="144">
        <v>3</v>
      </c>
    </row>
    <row r="1517" spans="84:84">
      <c r="CF1517" s="144">
        <v>3</v>
      </c>
    </row>
    <row r="1518" spans="84:84">
      <c r="CF1518" s="144">
        <v>3</v>
      </c>
    </row>
    <row r="1519" spans="84:84">
      <c r="CF1519" s="144">
        <v>2</v>
      </c>
    </row>
    <row r="1520" spans="84:84">
      <c r="CF1520" s="144">
        <v>2</v>
      </c>
    </row>
    <row r="1521" spans="84:84">
      <c r="CF1521" s="144">
        <v>2</v>
      </c>
    </row>
    <row r="1522" spans="84:84">
      <c r="CF1522" s="144">
        <v>4</v>
      </c>
    </row>
    <row r="1523" spans="84:84">
      <c r="CF1523" s="144">
        <v>6</v>
      </c>
    </row>
    <row r="1524" spans="84:84">
      <c r="CF1524" s="144">
        <v>4</v>
      </c>
    </row>
    <row r="1525" spans="84:84">
      <c r="CF1525" s="144">
        <v>3</v>
      </c>
    </row>
    <row r="1526" spans="84:84">
      <c r="CF1526" s="144">
        <v>2</v>
      </c>
    </row>
    <row r="1527" spans="84:84">
      <c r="CF1527" s="144">
        <v>7</v>
      </c>
    </row>
    <row r="1528" spans="84:84">
      <c r="CF1528" s="144">
        <v>2</v>
      </c>
    </row>
    <row r="1529" spans="84:84">
      <c r="CF1529" s="144">
        <v>6</v>
      </c>
    </row>
    <row r="1530" spans="84:84">
      <c r="CF1530" s="144">
        <v>5</v>
      </c>
    </row>
    <row r="1531" spans="84:84">
      <c r="CF1531" s="144">
        <v>2</v>
      </c>
    </row>
    <row r="1532" spans="84:84">
      <c r="CF1532" s="144">
        <v>3</v>
      </c>
    </row>
    <row r="1533" spans="84:84">
      <c r="CF1533" s="144">
        <v>2</v>
      </c>
    </row>
    <row r="1534" spans="84:84">
      <c r="CF1534" s="144">
        <v>3</v>
      </c>
    </row>
    <row r="1535" spans="84:84">
      <c r="CF1535" s="144">
        <v>4</v>
      </c>
    </row>
    <row r="1536" spans="84:84">
      <c r="CF1536" s="144">
        <v>4</v>
      </c>
    </row>
    <row r="1537" spans="84:84">
      <c r="CF1537" s="144">
        <v>3</v>
      </c>
    </row>
    <row r="1538" spans="84:84">
      <c r="CF1538" s="144">
        <v>3</v>
      </c>
    </row>
    <row r="1539" spans="84:84">
      <c r="CF1539" s="144">
        <v>3</v>
      </c>
    </row>
    <row r="1540" spans="84:84">
      <c r="CF1540" s="144">
        <v>3</v>
      </c>
    </row>
    <row r="1541" spans="84:84">
      <c r="CF1541" s="144">
        <v>3</v>
      </c>
    </row>
    <row r="1542" spans="84:84">
      <c r="CF1542" s="144">
        <v>2</v>
      </c>
    </row>
    <row r="1543" spans="84:84">
      <c r="CF1543" s="144">
        <v>3</v>
      </c>
    </row>
    <row r="1544" spans="84:84">
      <c r="CF1544" s="144">
        <v>3</v>
      </c>
    </row>
    <row r="1545" spans="84:84">
      <c r="CF1545" s="144">
        <v>2</v>
      </c>
    </row>
    <row r="1546" spans="84:84">
      <c r="CF1546" s="144">
        <v>8</v>
      </c>
    </row>
    <row r="1547" spans="84:84">
      <c r="CF1547" s="144">
        <v>2</v>
      </c>
    </row>
    <row r="1548" spans="84:84">
      <c r="CF1548" s="144">
        <v>7</v>
      </c>
    </row>
    <row r="1549" spans="84:84">
      <c r="CF1549" s="144">
        <v>2</v>
      </c>
    </row>
    <row r="1550" spans="84:84">
      <c r="CF1550" s="144">
        <v>3</v>
      </c>
    </row>
    <row r="1551" spans="84:84">
      <c r="CF1551" s="144">
        <v>2</v>
      </c>
    </row>
    <row r="1552" spans="84:84">
      <c r="CF1552" s="144">
        <v>3</v>
      </c>
    </row>
    <row r="1553" spans="84:84">
      <c r="CF1553" s="144">
        <v>2</v>
      </c>
    </row>
    <row r="1554" spans="84:84">
      <c r="CF1554" s="144">
        <v>3</v>
      </c>
    </row>
    <row r="1555" spans="84:84">
      <c r="CF1555" s="144">
        <v>3</v>
      </c>
    </row>
    <row r="1556" spans="84:84">
      <c r="CF1556" s="144">
        <v>2</v>
      </c>
    </row>
    <row r="1557" spans="84:84">
      <c r="CF1557" s="144">
        <v>3</v>
      </c>
    </row>
    <row r="1558" spans="84:84">
      <c r="CF1558" s="144">
        <v>2</v>
      </c>
    </row>
    <row r="1559" spans="84:84">
      <c r="CF1559" s="144">
        <v>2</v>
      </c>
    </row>
    <row r="1560" spans="84:84">
      <c r="CF1560" s="144">
        <v>6</v>
      </c>
    </row>
    <row r="1561" spans="84:84">
      <c r="CF1561" s="144">
        <v>3</v>
      </c>
    </row>
    <row r="1562" spans="84:84">
      <c r="CF1562" s="144">
        <v>3</v>
      </c>
    </row>
    <row r="1563" spans="84:84">
      <c r="CF1563" s="144">
        <v>3</v>
      </c>
    </row>
    <row r="1564" spans="84:84">
      <c r="CF1564" s="144">
        <v>3</v>
      </c>
    </row>
    <row r="1565" spans="84:84">
      <c r="CF1565" s="144">
        <v>1</v>
      </c>
    </row>
    <row r="1566" spans="84:84">
      <c r="CF1566" s="144">
        <v>2</v>
      </c>
    </row>
    <row r="1567" spans="84:84">
      <c r="CF1567" s="144">
        <v>1</v>
      </c>
    </row>
    <row r="1568" spans="84:84">
      <c r="CF1568" s="144">
        <v>1</v>
      </c>
    </row>
    <row r="1569" spans="84:84">
      <c r="CF1569" s="144">
        <v>3</v>
      </c>
    </row>
    <row r="1570" spans="84:84">
      <c r="CF1570" s="144">
        <v>3</v>
      </c>
    </row>
    <row r="1571" spans="84:84">
      <c r="CF1571" s="144">
        <v>5</v>
      </c>
    </row>
    <row r="1572" spans="84:84">
      <c r="CF1572" s="144">
        <v>2</v>
      </c>
    </row>
    <row r="1573" spans="84:84">
      <c r="CF1573" s="144">
        <v>3</v>
      </c>
    </row>
    <row r="1574" spans="84:84">
      <c r="CF1574" s="144">
        <v>2</v>
      </c>
    </row>
    <row r="1575" spans="84:84">
      <c r="CF1575" s="144">
        <v>3</v>
      </c>
    </row>
    <row r="1576" spans="84:84">
      <c r="CF1576" s="144">
        <v>2</v>
      </c>
    </row>
    <row r="1577" spans="84:84">
      <c r="CF1577" s="144">
        <v>4</v>
      </c>
    </row>
    <row r="1578" spans="84:84">
      <c r="CF1578" s="144">
        <v>8</v>
      </c>
    </row>
    <row r="1579" spans="84:84">
      <c r="CF1579" s="144">
        <v>1</v>
      </c>
    </row>
    <row r="1580" spans="84:84">
      <c r="CF1580" s="144">
        <v>1</v>
      </c>
    </row>
    <row r="1581" spans="84:84">
      <c r="CF1581" s="144">
        <v>1</v>
      </c>
    </row>
    <row r="1582" spans="84:84">
      <c r="CF1582" s="144">
        <v>2</v>
      </c>
    </row>
    <row r="1583" spans="84:84">
      <c r="CF1583" s="144">
        <v>3</v>
      </c>
    </row>
    <row r="1584" spans="84:84">
      <c r="CF1584" s="144">
        <v>8</v>
      </c>
    </row>
    <row r="1585" spans="84:84">
      <c r="CF1585" s="144">
        <v>8</v>
      </c>
    </row>
    <row r="1586" spans="84:84">
      <c r="CF1586" s="144">
        <v>9</v>
      </c>
    </row>
    <row r="1587" spans="84:84">
      <c r="CF1587" s="144">
        <v>8</v>
      </c>
    </row>
    <row r="1588" spans="84:84">
      <c r="CF1588" s="144">
        <v>1</v>
      </c>
    </row>
    <row r="1589" spans="84:84">
      <c r="CF1589" s="144">
        <v>1</v>
      </c>
    </row>
    <row r="1590" spans="84:84">
      <c r="CF1590" s="144">
        <v>1</v>
      </c>
    </row>
    <row r="1591" spans="84:84">
      <c r="CF1591" s="144">
        <v>1</v>
      </c>
    </row>
    <row r="1592" spans="84:84">
      <c r="CF1592" s="144">
        <v>1</v>
      </c>
    </row>
    <row r="1593" spans="84:84">
      <c r="CF1593" s="144">
        <v>3</v>
      </c>
    </row>
    <row r="1594" spans="84:84">
      <c r="CF1594" s="144">
        <v>5</v>
      </c>
    </row>
    <row r="1595" spans="84:84">
      <c r="CF1595" s="144">
        <v>9</v>
      </c>
    </row>
    <row r="1596" spans="84:84">
      <c r="CF1596" s="144">
        <v>9</v>
      </c>
    </row>
    <row r="1597" spans="84:84">
      <c r="CF1597" s="144">
        <v>7</v>
      </c>
    </row>
    <row r="1598" spans="84:84">
      <c r="CF1598" s="144">
        <v>3</v>
      </c>
    </row>
    <row r="1599" spans="84:84">
      <c r="CF1599" s="144">
        <v>2</v>
      </c>
    </row>
    <row r="1600" spans="84:84">
      <c r="CF1600" s="144">
        <v>3</v>
      </c>
    </row>
    <row r="1601" spans="84:84">
      <c r="CF1601" s="144">
        <v>1</v>
      </c>
    </row>
    <row r="1602" spans="84:84">
      <c r="CF1602" s="144">
        <v>5</v>
      </c>
    </row>
    <row r="1603" spans="84:84">
      <c r="CF1603" s="144">
        <v>5</v>
      </c>
    </row>
    <row r="1604" spans="84:84">
      <c r="CF1604" s="144">
        <v>2</v>
      </c>
    </row>
    <row r="1605" spans="84:84">
      <c r="CF1605" s="144">
        <v>3</v>
      </c>
    </row>
    <row r="1606" spans="84:84">
      <c r="CF1606" s="144">
        <v>4</v>
      </c>
    </row>
    <row r="1607" spans="84:84">
      <c r="CF1607" s="144">
        <v>4</v>
      </c>
    </row>
    <row r="1608" spans="84:84">
      <c r="CF1608" s="144">
        <v>6</v>
      </c>
    </row>
    <row r="1609" spans="84:84">
      <c r="CF1609" s="144">
        <v>4</v>
      </c>
    </row>
    <row r="1610" spans="84:84">
      <c r="CF1610" s="144">
        <v>4</v>
      </c>
    </row>
    <row r="1611" spans="84:84">
      <c r="CF1611" s="144">
        <v>3</v>
      </c>
    </row>
    <row r="1612" spans="84:84">
      <c r="CF1612" s="144">
        <v>3</v>
      </c>
    </row>
    <row r="1613" spans="84:84">
      <c r="CF1613" s="144">
        <v>3</v>
      </c>
    </row>
    <row r="1614" spans="84:84">
      <c r="CF1614" s="144">
        <v>3</v>
      </c>
    </row>
    <row r="1615" spans="84:84">
      <c r="CF1615" s="144">
        <v>2</v>
      </c>
    </row>
    <row r="1616" spans="84:84">
      <c r="CF1616" s="144">
        <v>4</v>
      </c>
    </row>
    <row r="1617" spans="84:84">
      <c r="CF1617" s="144">
        <v>4</v>
      </c>
    </row>
    <row r="1618" spans="84:84">
      <c r="CF1618" s="144">
        <v>1</v>
      </c>
    </row>
    <row r="1619" spans="84:84">
      <c r="CF1619" s="144">
        <v>3</v>
      </c>
    </row>
    <row r="1620" spans="84:84">
      <c r="CF1620" s="144">
        <v>4</v>
      </c>
    </row>
    <row r="1621" spans="84:84">
      <c r="CF1621" s="144">
        <v>5</v>
      </c>
    </row>
    <row r="1622" spans="84:84">
      <c r="CF1622" s="144">
        <v>2</v>
      </c>
    </row>
    <row r="1623" spans="84:84">
      <c r="CF1623" s="144">
        <v>3</v>
      </c>
    </row>
    <row r="1624" spans="84:84">
      <c r="CF1624" s="144">
        <v>3</v>
      </c>
    </row>
    <row r="1625" spans="84:84">
      <c r="CF1625" s="144">
        <v>3</v>
      </c>
    </row>
    <row r="1626" spans="84:84">
      <c r="CF1626" s="144">
        <v>5</v>
      </c>
    </row>
    <row r="1627" spans="84:84">
      <c r="CF1627" s="144">
        <v>3</v>
      </c>
    </row>
    <row r="1628" spans="84:84">
      <c r="CF1628" s="144">
        <v>3</v>
      </c>
    </row>
    <row r="1629" spans="84:84">
      <c r="CF1629" s="144">
        <v>5</v>
      </c>
    </row>
    <row r="1630" spans="84:84">
      <c r="CF1630" s="144">
        <v>4</v>
      </c>
    </row>
    <row r="1631" spans="84:84">
      <c r="CF1631" s="144">
        <v>5</v>
      </c>
    </row>
    <row r="1632" spans="84:84">
      <c r="CF1632" s="144">
        <v>3</v>
      </c>
    </row>
    <row r="1633" spans="84:84">
      <c r="CF1633" s="144">
        <v>3</v>
      </c>
    </row>
    <row r="1634" spans="84:84">
      <c r="CF1634" s="144">
        <v>4</v>
      </c>
    </row>
    <row r="1635" spans="84:84">
      <c r="CF1635" s="144">
        <v>3</v>
      </c>
    </row>
    <row r="1636" spans="84:84">
      <c r="CF1636" s="144">
        <v>5</v>
      </c>
    </row>
    <row r="1637" spans="84:84">
      <c r="CF1637" s="144">
        <v>5</v>
      </c>
    </row>
    <row r="1638" spans="84:84">
      <c r="CF1638" s="144">
        <v>2</v>
      </c>
    </row>
    <row r="1639" spans="84:84">
      <c r="CF1639" s="144">
        <v>3</v>
      </c>
    </row>
    <row r="1640" spans="84:84">
      <c r="CF1640" s="144">
        <v>4</v>
      </c>
    </row>
    <row r="1641" spans="84:84">
      <c r="CF1641" s="144">
        <v>4</v>
      </c>
    </row>
    <row r="1642" spans="84:84">
      <c r="CF1642" s="144">
        <v>3</v>
      </c>
    </row>
    <row r="1643" spans="84:84">
      <c r="CF1643" s="144">
        <v>2</v>
      </c>
    </row>
    <row r="1644" spans="84:84">
      <c r="CF1644" s="144">
        <v>3</v>
      </c>
    </row>
    <row r="1645" spans="84:84">
      <c r="CF1645" s="144">
        <v>3</v>
      </c>
    </row>
    <row r="1646" spans="84:84">
      <c r="CF1646" s="144">
        <v>4</v>
      </c>
    </row>
    <row r="1647" spans="84:84">
      <c r="CF1647" s="144">
        <v>5</v>
      </c>
    </row>
    <row r="1648" spans="84:84">
      <c r="CF1648" s="144">
        <v>3</v>
      </c>
    </row>
    <row r="1649" spans="84:84">
      <c r="CF1649" s="144">
        <v>6</v>
      </c>
    </row>
    <row r="1650" spans="84:84">
      <c r="CF1650" s="144">
        <v>3</v>
      </c>
    </row>
    <row r="1651" spans="84:84">
      <c r="CF1651" s="144">
        <v>3</v>
      </c>
    </row>
    <row r="1652" spans="84:84">
      <c r="CF1652" s="144">
        <v>3</v>
      </c>
    </row>
    <row r="1653" spans="84:84">
      <c r="CF1653" s="144">
        <v>5</v>
      </c>
    </row>
    <row r="1654" spans="84:84">
      <c r="CF1654" s="144">
        <v>4</v>
      </c>
    </row>
    <row r="1655" spans="84:84">
      <c r="CF1655" s="144">
        <v>3</v>
      </c>
    </row>
    <row r="1656" spans="84:84">
      <c r="CF1656" s="144">
        <v>4</v>
      </c>
    </row>
    <row r="1657" spans="84:84">
      <c r="CF1657" s="144">
        <v>5</v>
      </c>
    </row>
    <row r="1658" spans="84:84">
      <c r="CF1658" s="144">
        <v>3</v>
      </c>
    </row>
    <row r="1659" spans="84:84">
      <c r="CF1659" s="144">
        <v>1</v>
      </c>
    </row>
    <row r="1660" spans="84:84">
      <c r="CF1660" s="144">
        <v>2</v>
      </c>
    </row>
    <row r="1661" spans="84:84">
      <c r="CF1661" s="144">
        <v>6</v>
      </c>
    </row>
    <row r="1662" spans="84:84">
      <c r="CF1662" s="144">
        <v>4</v>
      </c>
    </row>
    <row r="1663" spans="84:84">
      <c r="CF1663" s="144">
        <v>3</v>
      </c>
    </row>
    <row r="1664" spans="84:84">
      <c r="CF1664" s="144">
        <v>3</v>
      </c>
    </row>
    <row r="1665" spans="84:84">
      <c r="CF1665" s="144">
        <v>5</v>
      </c>
    </row>
    <row r="1666" spans="84:84">
      <c r="CF1666" s="144">
        <v>4</v>
      </c>
    </row>
    <row r="1667" spans="84:84">
      <c r="CF1667" s="144">
        <v>1</v>
      </c>
    </row>
    <row r="1668" spans="84:84">
      <c r="CF1668" s="144">
        <v>4</v>
      </c>
    </row>
    <row r="1669" spans="84:84">
      <c r="CF1669" s="144">
        <v>2</v>
      </c>
    </row>
    <row r="1670" spans="84:84">
      <c r="CF1670" s="144">
        <v>3</v>
      </c>
    </row>
    <row r="1671" spans="84:84">
      <c r="CF1671" s="144">
        <v>3</v>
      </c>
    </row>
    <row r="1672" spans="84:84">
      <c r="CF1672" s="144">
        <v>2</v>
      </c>
    </row>
    <row r="1673" spans="84:84">
      <c r="CF1673" s="144">
        <v>2</v>
      </c>
    </row>
    <row r="1674" spans="84:84">
      <c r="CF1674" s="144">
        <v>2</v>
      </c>
    </row>
    <row r="1675" spans="84:84">
      <c r="CF1675" s="144">
        <v>1</v>
      </c>
    </row>
    <row r="1676" spans="84:84">
      <c r="CF1676" s="144">
        <v>1</v>
      </c>
    </row>
    <row r="1677" spans="84:84">
      <c r="CF1677" s="144">
        <v>1</v>
      </c>
    </row>
    <row r="1678" spans="84:84">
      <c r="CF1678" s="144">
        <v>1</v>
      </c>
    </row>
    <row r="1679" spans="84:84">
      <c r="CF1679" s="144">
        <v>2</v>
      </c>
    </row>
    <row r="1680" spans="84:84">
      <c r="CF1680" s="144">
        <v>2</v>
      </c>
    </row>
    <row r="1681" spans="84:84">
      <c r="CF1681" s="144">
        <v>1</v>
      </c>
    </row>
    <row r="1682" spans="84:84">
      <c r="CF1682" s="144">
        <v>1</v>
      </c>
    </row>
    <row r="1683" spans="84:84">
      <c r="CF1683" s="144">
        <v>3</v>
      </c>
    </row>
    <row r="1684" spans="84:84">
      <c r="CF1684" s="144">
        <v>1</v>
      </c>
    </row>
    <row r="1685" spans="84:84">
      <c r="CF1685" s="144">
        <v>2</v>
      </c>
    </row>
    <row r="1686" spans="84:84">
      <c r="CF1686" s="144">
        <v>2</v>
      </c>
    </row>
    <row r="1687" spans="84:84">
      <c r="CF1687" s="144">
        <v>2</v>
      </c>
    </row>
    <row r="1688" spans="84:84">
      <c r="CF1688" s="144">
        <v>1</v>
      </c>
    </row>
    <row r="1689" spans="84:84">
      <c r="CF1689" s="144">
        <v>1</v>
      </c>
    </row>
    <row r="1690" spans="84:84">
      <c r="CF1690" s="144">
        <v>2</v>
      </c>
    </row>
    <row r="1691" spans="84:84">
      <c r="CF1691" s="144">
        <v>1</v>
      </c>
    </row>
    <row r="1692" spans="84:84">
      <c r="CF1692" s="144">
        <v>2</v>
      </c>
    </row>
    <row r="1693" spans="84:84">
      <c r="CF1693" s="144">
        <v>2</v>
      </c>
    </row>
    <row r="1694" spans="84:84">
      <c r="CF1694" s="144">
        <v>3</v>
      </c>
    </row>
    <row r="1695" spans="84:84">
      <c r="CF1695" s="144">
        <v>2</v>
      </c>
    </row>
    <row r="1696" spans="84:84">
      <c r="CF1696" s="144">
        <v>3</v>
      </c>
    </row>
    <row r="1697" spans="84:84">
      <c r="CF1697" s="144">
        <v>2</v>
      </c>
    </row>
    <row r="1698" spans="84:84">
      <c r="CF1698" s="144">
        <v>2</v>
      </c>
    </row>
    <row r="1699" spans="84:84">
      <c r="CF1699" s="144">
        <v>2</v>
      </c>
    </row>
    <row r="1700" spans="84:84">
      <c r="CF1700" s="144">
        <v>2</v>
      </c>
    </row>
    <row r="1701" spans="84:84">
      <c r="CF1701" s="144">
        <v>2</v>
      </c>
    </row>
    <row r="1702" spans="84:84">
      <c r="CF1702" s="144">
        <v>5</v>
      </c>
    </row>
    <row r="1703" spans="84:84">
      <c r="CF1703" s="144">
        <v>2</v>
      </c>
    </row>
    <row r="1704" spans="84:84">
      <c r="CF1704" s="144">
        <v>2</v>
      </c>
    </row>
    <row r="1705" spans="84:84">
      <c r="CF1705" s="144">
        <v>5</v>
      </c>
    </row>
    <row r="1706" spans="84:84">
      <c r="CF1706" s="144">
        <v>4</v>
      </c>
    </row>
    <row r="1707" spans="84:84">
      <c r="CF1707" s="144">
        <v>3</v>
      </c>
    </row>
    <row r="1708" spans="84:84">
      <c r="CF1708" s="144">
        <v>4</v>
      </c>
    </row>
    <row r="1709" spans="84:84">
      <c r="CF1709" s="144">
        <v>5</v>
      </c>
    </row>
    <row r="1710" spans="84:84">
      <c r="CF1710" s="144">
        <v>2</v>
      </c>
    </row>
    <row r="1711" spans="84:84">
      <c r="CF1711" s="144">
        <v>3</v>
      </c>
    </row>
    <row r="1712" spans="84:84">
      <c r="CF1712" s="144">
        <v>1</v>
      </c>
    </row>
    <row r="1713" spans="84:84">
      <c r="CF1713" s="144">
        <v>5</v>
      </c>
    </row>
    <row r="1714" spans="84:84">
      <c r="CF1714" s="144">
        <v>7</v>
      </c>
    </row>
    <row r="1715" spans="84:84">
      <c r="CF1715" s="144">
        <v>1</v>
      </c>
    </row>
    <row r="1716" spans="84:84">
      <c r="CF1716" s="144">
        <v>3</v>
      </c>
    </row>
    <row r="1717" spans="84:84">
      <c r="CF1717" s="144">
        <v>2</v>
      </c>
    </row>
    <row r="1718" spans="84:84">
      <c r="CF1718" s="144">
        <v>1</v>
      </c>
    </row>
    <row r="1719" spans="84:84">
      <c r="CF1719" s="144">
        <v>1</v>
      </c>
    </row>
    <row r="1720" spans="84:84">
      <c r="CF1720" s="144">
        <v>1</v>
      </c>
    </row>
    <row r="1721" spans="84:84">
      <c r="CF1721" s="144">
        <v>2</v>
      </c>
    </row>
    <row r="1722" spans="84:84">
      <c r="CF1722" s="144">
        <v>3</v>
      </c>
    </row>
    <row r="1723" spans="84:84">
      <c r="CF1723" s="144">
        <v>3</v>
      </c>
    </row>
    <row r="1724" spans="84:84">
      <c r="CF1724" s="144">
        <v>4</v>
      </c>
    </row>
    <row r="1725" spans="84:84">
      <c r="CF1725" s="144">
        <v>1</v>
      </c>
    </row>
    <row r="1726" spans="84:84">
      <c r="CF1726" s="144">
        <v>2</v>
      </c>
    </row>
    <row r="1727" spans="84:84">
      <c r="CF1727" s="144">
        <v>3</v>
      </c>
    </row>
    <row r="1728" spans="84:84">
      <c r="CF1728" s="144">
        <v>1</v>
      </c>
    </row>
    <row r="1729" spans="84:84">
      <c r="CF1729" s="144">
        <v>3</v>
      </c>
    </row>
    <row r="1730" spans="84:84">
      <c r="CF1730" s="144">
        <v>7</v>
      </c>
    </row>
    <row r="1731" spans="84:84">
      <c r="CF1731" s="144">
        <v>7</v>
      </c>
    </row>
    <row r="1732" spans="84:84">
      <c r="CF1732" s="144">
        <v>7</v>
      </c>
    </row>
    <row r="1733" spans="84:84">
      <c r="CF1733" s="144">
        <v>3</v>
      </c>
    </row>
    <row r="1734" spans="84:84">
      <c r="CF1734" s="144">
        <v>2</v>
      </c>
    </row>
    <row r="1735" spans="84:84">
      <c r="CF1735" s="144">
        <v>2</v>
      </c>
    </row>
    <row r="1736" spans="84:84">
      <c r="CF1736" s="144">
        <v>2</v>
      </c>
    </row>
  </sheetData>
  <sheetProtection selectLockedCells="1" selectUnlockedCells="1"/>
  <autoFilter ref="A1:F1">
    <sortState ref="A2:F21">
      <sortCondition ref="B1"/>
    </sortState>
  </autoFilter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C1"/>
  <sheetViews>
    <sheetView zoomScale="89" zoomScaleNormal="89" workbookViewId="0">
      <selection activeCell="L39" sqref="L39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/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283</v>
      </c>
      <c r="C1" s="151" t="s">
        <v>149</v>
      </c>
      <c r="D1" s="151" t="s">
        <v>26</v>
      </c>
      <c r="E1" s="151" t="s">
        <v>65</v>
      </c>
    </row>
    <row r="2" spans="1:5">
      <c r="A2" s="151" t="s">
        <v>284</v>
      </c>
      <c r="B2" s="151" t="s">
        <v>285</v>
      </c>
      <c r="C2" s="151" t="s">
        <v>286</v>
      </c>
      <c r="D2" s="151" t="s">
        <v>287</v>
      </c>
      <c r="E2" s="151" t="s">
        <v>288</v>
      </c>
    </row>
    <row r="3" spans="1:5">
      <c r="A3" s="151" t="s">
        <v>289</v>
      </c>
      <c r="B3" s="151" t="s">
        <v>290</v>
      </c>
      <c r="C3" s="151" t="s">
        <v>291</v>
      </c>
      <c r="D3" s="151" t="s">
        <v>292</v>
      </c>
      <c r="E3" s="151" t="s">
        <v>293</v>
      </c>
    </row>
    <row r="4" spans="1:5">
      <c r="A4" s="151" t="s">
        <v>294</v>
      </c>
      <c r="B4" s="151" t="s">
        <v>295</v>
      </c>
      <c r="C4" s="151" t="s">
        <v>296</v>
      </c>
      <c r="D4" s="151" t="s">
        <v>297</v>
      </c>
      <c r="E4" s="151" t="s">
        <v>298</v>
      </c>
    </row>
    <row r="5" spans="1:5">
      <c r="A5" s="151" t="s">
        <v>299</v>
      </c>
      <c r="B5" s="151" t="s">
        <v>300</v>
      </c>
      <c r="C5" s="151" t="s">
        <v>301</v>
      </c>
      <c r="D5" s="151" t="s">
        <v>302</v>
      </c>
      <c r="E5" s="151" t="s">
        <v>303</v>
      </c>
    </row>
    <row r="6" spans="1:5">
      <c r="A6" s="151" t="s">
        <v>304</v>
      </c>
      <c r="B6" s="151" t="s">
        <v>305</v>
      </c>
      <c r="C6" s="151" t="s">
        <v>306</v>
      </c>
      <c r="D6" s="151" t="s">
        <v>307</v>
      </c>
      <c r="E6" s="151" t="s">
        <v>90</v>
      </c>
    </row>
    <row r="7" spans="1:5">
      <c r="A7" s="151" t="s">
        <v>308</v>
      </c>
      <c r="B7" s="151" t="s">
        <v>309</v>
      </c>
      <c r="C7" s="151" t="s">
        <v>310</v>
      </c>
      <c r="D7" s="151" t="s">
        <v>311</v>
      </c>
      <c r="E7" s="151" t="s">
        <v>312</v>
      </c>
    </row>
    <row r="8" spans="1:5">
      <c r="A8" s="151" t="s">
        <v>313</v>
      </c>
      <c r="B8" s="151" t="s">
        <v>314</v>
      </c>
      <c r="C8" s="151" t="s">
        <v>315</v>
      </c>
      <c r="D8" s="151" t="s">
        <v>316</v>
      </c>
      <c r="E8" s="151" t="s">
        <v>317</v>
      </c>
    </row>
    <row r="9" spans="1:5">
      <c r="A9" s="151" t="s">
        <v>318</v>
      </c>
      <c r="B9" s="151" t="s">
        <v>319</v>
      </c>
      <c r="C9" s="151" t="s">
        <v>320</v>
      </c>
      <c r="D9" s="151" t="s">
        <v>321</v>
      </c>
      <c r="E9" s="151" t="s">
        <v>322</v>
      </c>
    </row>
    <row r="10" spans="1:5">
      <c r="A10" s="151" t="s">
        <v>323</v>
      </c>
      <c r="B10" s="151" t="s">
        <v>324</v>
      </c>
      <c r="C10" s="151" t="s">
        <v>325</v>
      </c>
      <c r="D10" s="151" t="s">
        <v>326</v>
      </c>
      <c r="E10" s="151" t="s">
        <v>327</v>
      </c>
    </row>
    <row r="11" spans="1:5">
      <c r="A11" s="151" t="s">
        <v>328</v>
      </c>
      <c r="B11" s="151" t="s">
        <v>329</v>
      </c>
      <c r="C11" s="151" t="s">
        <v>330</v>
      </c>
      <c r="D11" s="151" t="s">
        <v>331</v>
      </c>
      <c r="E11" s="151" t="s">
        <v>332</v>
      </c>
    </row>
    <row r="12" spans="1:5">
      <c r="A12" s="151" t="s">
        <v>333</v>
      </c>
      <c r="B12" s="151" t="s">
        <v>334</v>
      </c>
      <c r="C12" s="151" t="s">
        <v>335</v>
      </c>
      <c r="D12" s="151" t="s">
        <v>336</v>
      </c>
      <c r="E12" s="151" t="s">
        <v>337</v>
      </c>
    </row>
    <row r="13" spans="1:5">
      <c r="A13" s="151" t="s">
        <v>338</v>
      </c>
      <c r="B13" s="151" t="s">
        <v>339</v>
      </c>
      <c r="C13" s="151" t="s">
        <v>340</v>
      </c>
      <c r="D13" s="151" t="s">
        <v>341</v>
      </c>
      <c r="E13" s="151" t="s">
        <v>342</v>
      </c>
    </row>
    <row r="14" spans="1:5">
      <c r="A14" s="151" t="s">
        <v>343</v>
      </c>
      <c r="B14" s="151" t="s">
        <v>344</v>
      </c>
      <c r="C14" s="151" t="s">
        <v>345</v>
      </c>
      <c r="D14" s="151" t="s">
        <v>346</v>
      </c>
      <c r="E14" s="151" t="s">
        <v>347</v>
      </c>
    </row>
    <row r="15" spans="1:5">
      <c r="A15" s="151" t="s">
        <v>348</v>
      </c>
      <c r="B15" s="151" t="s">
        <v>349</v>
      </c>
      <c r="C15" s="151" t="s">
        <v>350</v>
      </c>
      <c r="D15" s="151" t="s">
        <v>351</v>
      </c>
      <c r="E15" s="151" t="s">
        <v>352</v>
      </c>
    </row>
    <row r="16" spans="1:5">
      <c r="A16" s="151" t="s">
        <v>353</v>
      </c>
      <c r="B16" s="151" t="s">
        <v>354</v>
      </c>
      <c r="C16" s="151" t="s">
        <v>355</v>
      </c>
      <c r="D16" s="151" t="s">
        <v>356</v>
      </c>
      <c r="E16" s="151" t="s">
        <v>357</v>
      </c>
    </row>
    <row r="17" spans="1:5">
      <c r="A17" s="151" t="s">
        <v>358</v>
      </c>
      <c r="B17" s="151" t="s">
        <v>359</v>
      </c>
      <c r="C17" s="151" t="s">
        <v>360</v>
      </c>
      <c r="D17" s="151" t="s">
        <v>361</v>
      </c>
      <c r="E17" s="151" t="s">
        <v>362</v>
      </c>
    </row>
    <row r="18" spans="1:5">
      <c r="A18" s="151" t="s">
        <v>363</v>
      </c>
      <c r="B18" s="151" t="s">
        <v>364</v>
      </c>
      <c r="C18" s="151" t="s">
        <v>365</v>
      </c>
      <c r="D18" s="151" t="s">
        <v>366</v>
      </c>
      <c r="E18" s="151" t="s">
        <v>367</v>
      </c>
    </row>
    <row r="19" spans="1:5">
      <c r="A19" s="151" t="s">
        <v>368</v>
      </c>
      <c r="B19" s="151" t="s">
        <v>369</v>
      </c>
      <c r="C19" s="151" t="s">
        <v>370</v>
      </c>
      <c r="D19" s="151" t="s">
        <v>371</v>
      </c>
      <c r="E19" s="151" t="s">
        <v>372</v>
      </c>
    </row>
    <row r="20" spans="1:5">
      <c r="A20" s="151" t="s">
        <v>373</v>
      </c>
      <c r="B20" s="151" t="s">
        <v>374</v>
      </c>
      <c r="C20" s="151" t="s">
        <v>375</v>
      </c>
      <c r="D20" s="151" t="s">
        <v>376</v>
      </c>
      <c r="E20" s="151" t="s">
        <v>377</v>
      </c>
    </row>
    <row r="21" spans="1:5">
      <c r="A21" s="151" t="s">
        <v>378</v>
      </c>
      <c r="B21" s="151" t="s">
        <v>379</v>
      </c>
      <c r="C21" s="151" t="s">
        <v>380</v>
      </c>
      <c r="D21" s="151" t="s">
        <v>381</v>
      </c>
      <c r="E21" s="151" t="s">
        <v>382</v>
      </c>
    </row>
    <row r="22" spans="1:5">
      <c r="A22" s="151" t="s">
        <v>383</v>
      </c>
      <c r="B22" s="151" t="s">
        <v>384</v>
      </c>
      <c r="D22" s="151" t="s">
        <v>385</v>
      </c>
      <c r="E22" s="151" t="s">
        <v>386</v>
      </c>
    </row>
    <row r="23" spans="1:5">
      <c r="A23" s="151" t="s">
        <v>387</v>
      </c>
      <c r="B23" s="151" t="s">
        <v>388</v>
      </c>
      <c r="D23" s="151" t="s">
        <v>389</v>
      </c>
      <c r="E23" s="151" t="s">
        <v>390</v>
      </c>
    </row>
    <row r="24" spans="1:5">
      <c r="A24" s="151" t="s">
        <v>391</v>
      </c>
      <c r="B24" s="151" t="s">
        <v>392</v>
      </c>
      <c r="D24" s="151" t="s">
        <v>393</v>
      </c>
      <c r="E24" s="151" t="s">
        <v>394</v>
      </c>
    </row>
    <row r="25" spans="1:5">
      <c r="A25" s="151" t="s">
        <v>395</v>
      </c>
      <c r="B25" s="151" t="s">
        <v>396</v>
      </c>
      <c r="D25" s="151" t="s">
        <v>397</v>
      </c>
    </row>
    <row r="26" spans="1:5">
      <c r="A26" s="151" t="s">
        <v>398</v>
      </c>
      <c r="B26" s="151" t="s">
        <v>399</v>
      </c>
      <c r="D26" s="151" t="s">
        <v>400</v>
      </c>
    </row>
    <row r="27" spans="1:5">
      <c r="A27" s="151" t="s">
        <v>401</v>
      </c>
      <c r="B27" s="151" t="s">
        <v>402</v>
      </c>
      <c r="D27" s="151" t="s">
        <v>403</v>
      </c>
    </row>
    <row r="28" spans="1:5">
      <c r="A28" s="151" t="s">
        <v>404</v>
      </c>
      <c r="B28" s="151" t="s">
        <v>405</v>
      </c>
      <c r="D28" s="151" t="s">
        <v>406</v>
      </c>
    </row>
    <row r="29" spans="1:5">
      <c r="A29" s="151" t="s">
        <v>407</v>
      </c>
      <c r="B29" s="151" t="s">
        <v>408</v>
      </c>
      <c r="D29" s="151" t="s">
        <v>409</v>
      </c>
    </row>
    <row r="30" spans="1:5">
      <c r="A30" s="151" t="s">
        <v>410</v>
      </c>
      <c r="B30" s="151" t="s">
        <v>411</v>
      </c>
      <c r="D30" s="151" t="s">
        <v>412</v>
      </c>
    </row>
    <row r="31" spans="1:5">
      <c r="A31" s="151" t="s">
        <v>413</v>
      </c>
      <c r="B31" s="151" t="s">
        <v>414</v>
      </c>
      <c r="D31" s="151" t="s">
        <v>415</v>
      </c>
    </row>
    <row r="32" spans="1:5">
      <c r="A32" s="151" t="s">
        <v>416</v>
      </c>
      <c r="B32" s="151" t="s">
        <v>417</v>
      </c>
      <c r="D32" s="151" t="s">
        <v>418</v>
      </c>
    </row>
    <row r="33" spans="1:4">
      <c r="A33" s="151" t="s">
        <v>419</v>
      </c>
      <c r="B33" s="151" t="s">
        <v>420</v>
      </c>
      <c r="D33" s="151" t="s">
        <v>421</v>
      </c>
    </row>
    <row r="34" spans="1:4">
      <c r="A34" s="151" t="s">
        <v>422</v>
      </c>
      <c r="B34" s="151" t="s">
        <v>423</v>
      </c>
      <c r="D34" s="151" t="s">
        <v>424</v>
      </c>
    </row>
    <row r="35" spans="1:4">
      <c r="A35" s="151" t="s">
        <v>425</v>
      </c>
      <c r="B35" s="151" t="s">
        <v>426</v>
      </c>
      <c r="D35" s="151" t="s">
        <v>427</v>
      </c>
    </row>
    <row r="36" spans="1:4">
      <c r="A36" s="151" t="s">
        <v>428</v>
      </c>
      <c r="B36" s="151" t="s">
        <v>429</v>
      </c>
      <c r="D36" s="151" t="s">
        <v>430</v>
      </c>
    </row>
    <row r="37" spans="1:4">
      <c r="A37" s="151" t="s">
        <v>431</v>
      </c>
      <c r="B37" s="151" t="s">
        <v>432</v>
      </c>
      <c r="D37" s="151" t="s">
        <v>433</v>
      </c>
    </row>
    <row r="38" spans="1:4">
      <c r="A38" s="151" t="s">
        <v>434</v>
      </c>
      <c r="B38" s="151" t="s">
        <v>435</v>
      </c>
      <c r="D38" s="151" t="s">
        <v>436</v>
      </c>
    </row>
    <row r="39" spans="1:4">
      <c r="A39" s="151" t="s">
        <v>437</v>
      </c>
      <c r="B39" s="151" t="s">
        <v>438</v>
      </c>
      <c r="D39" s="151" t="s">
        <v>439</v>
      </c>
    </row>
    <row r="40" spans="1:4">
      <c r="A40" s="151" t="s">
        <v>440</v>
      </c>
      <c r="B40" s="151" t="s">
        <v>441</v>
      </c>
      <c r="D40" s="151" t="s">
        <v>442</v>
      </c>
    </row>
    <row r="41" spans="1:4">
      <c r="A41" s="151" t="s">
        <v>443</v>
      </c>
      <c r="B41" s="151" t="s">
        <v>444</v>
      </c>
      <c r="D41" s="151" t="s">
        <v>445</v>
      </c>
    </row>
    <row r="42" spans="1:4">
      <c r="A42" s="151" t="s">
        <v>446</v>
      </c>
      <c r="B42" s="151" t="s">
        <v>447</v>
      </c>
      <c r="D42" s="151" t="s">
        <v>448</v>
      </c>
    </row>
    <row r="43" spans="1:4">
      <c r="A43" s="151" t="s">
        <v>449</v>
      </c>
      <c r="B43" s="151" t="s">
        <v>450</v>
      </c>
      <c r="D43" s="151" t="s">
        <v>451</v>
      </c>
    </row>
    <row r="44" spans="1:4">
      <c r="A44" s="151" t="s">
        <v>452</v>
      </c>
      <c r="B44" s="151" t="s">
        <v>453</v>
      </c>
      <c r="D44" s="151" t="s">
        <v>454</v>
      </c>
    </row>
    <row r="45" spans="1:4">
      <c r="A45" s="151" t="s">
        <v>455</v>
      </c>
      <c r="B45" s="151" t="s">
        <v>456</v>
      </c>
      <c r="D45" s="151" t="s">
        <v>457</v>
      </c>
    </row>
    <row r="46" spans="1:4">
      <c r="A46" s="151" t="s">
        <v>458</v>
      </c>
      <c r="B46" s="151" t="s">
        <v>459</v>
      </c>
      <c r="D46" s="151" t="s">
        <v>460</v>
      </c>
    </row>
    <row r="47" spans="1:4">
      <c r="A47" s="151" t="s">
        <v>461</v>
      </c>
      <c r="B47" s="151" t="s">
        <v>462</v>
      </c>
      <c r="D47" s="151" t="s">
        <v>463</v>
      </c>
    </row>
    <row r="48" spans="1:4">
      <c r="A48" s="151" t="s">
        <v>464</v>
      </c>
      <c r="B48" s="151" t="s">
        <v>465</v>
      </c>
      <c r="D48" s="151" t="s">
        <v>466</v>
      </c>
    </row>
    <row r="49" spans="1:4">
      <c r="A49" s="151" t="s">
        <v>467</v>
      </c>
      <c r="B49" s="151" t="s">
        <v>468</v>
      </c>
      <c r="D49" s="151" t="s">
        <v>469</v>
      </c>
    </row>
    <row r="50" spans="1:4">
      <c r="A50" s="151" t="s">
        <v>470</v>
      </c>
      <c r="B50" s="151" t="s">
        <v>471</v>
      </c>
      <c r="D50" s="151" t="s">
        <v>472</v>
      </c>
    </row>
    <row r="51" spans="1:4">
      <c r="A51" s="151" t="s">
        <v>473</v>
      </c>
      <c r="B51" s="151" t="s">
        <v>474</v>
      </c>
      <c r="D51" s="151" t="s">
        <v>475</v>
      </c>
    </row>
    <row r="52" spans="1:4">
      <c r="A52" s="151" t="s">
        <v>476</v>
      </c>
      <c r="B52" s="151" t="s">
        <v>477</v>
      </c>
      <c r="D52" s="151" t="s">
        <v>478</v>
      </c>
    </row>
    <row r="53" spans="1:4">
      <c r="A53" s="151" t="s">
        <v>479</v>
      </c>
      <c r="B53" s="151" t="s">
        <v>480</v>
      </c>
      <c r="D53" s="151" t="s">
        <v>481</v>
      </c>
    </row>
    <row r="54" spans="1:4">
      <c r="A54" s="151" t="s">
        <v>482</v>
      </c>
      <c r="B54" s="151" t="s">
        <v>483</v>
      </c>
      <c r="D54" s="151" t="s">
        <v>484</v>
      </c>
    </row>
    <row r="55" spans="1:4">
      <c r="A55" s="151" t="s">
        <v>485</v>
      </c>
      <c r="B55" s="151" t="s">
        <v>486</v>
      </c>
      <c r="D55" s="151" t="s">
        <v>487</v>
      </c>
    </row>
    <row r="56" spans="1:4">
      <c r="A56" s="151" t="s">
        <v>488</v>
      </c>
      <c r="B56" s="151" t="s">
        <v>489</v>
      </c>
      <c r="D56" s="151" t="s">
        <v>490</v>
      </c>
    </row>
    <row r="57" spans="1:4">
      <c r="A57" s="151" t="s">
        <v>491</v>
      </c>
      <c r="B57" s="151" t="s">
        <v>492</v>
      </c>
      <c r="D57" s="151" t="s">
        <v>493</v>
      </c>
    </row>
    <row r="58" spans="1:4">
      <c r="A58" s="151" t="s">
        <v>494</v>
      </c>
      <c r="B58" s="151" t="s">
        <v>495</v>
      </c>
      <c r="D58" s="151" t="s">
        <v>496</v>
      </c>
    </row>
    <row r="59" spans="1:4">
      <c r="A59" s="151" t="s">
        <v>497</v>
      </c>
      <c r="B59" s="151" t="s">
        <v>498</v>
      </c>
      <c r="D59" s="151" t="s">
        <v>499</v>
      </c>
    </row>
    <row r="60" spans="1:4">
      <c r="A60" s="151" t="s">
        <v>500</v>
      </c>
      <c r="B60" s="151" t="s">
        <v>501</v>
      </c>
      <c r="D60" s="151" t="s">
        <v>502</v>
      </c>
    </row>
    <row r="61" spans="1:4">
      <c r="A61" s="151" t="s">
        <v>503</v>
      </c>
      <c r="B61" s="151" t="s">
        <v>504</v>
      </c>
      <c r="D61" s="151" t="s">
        <v>505</v>
      </c>
    </row>
    <row r="62" spans="1:4">
      <c r="A62" s="151" t="s">
        <v>506</v>
      </c>
      <c r="B62" s="151" t="s">
        <v>507</v>
      </c>
      <c r="D62" s="151" t="s">
        <v>508</v>
      </c>
    </row>
    <row r="63" spans="1:4">
      <c r="A63" s="151" t="s">
        <v>509</v>
      </c>
      <c r="B63" s="151" t="s">
        <v>510</v>
      </c>
      <c r="D63" s="151" t="s">
        <v>511</v>
      </c>
    </row>
    <row r="64" spans="1:4">
      <c r="A64" s="151" t="s">
        <v>512</v>
      </c>
      <c r="B64" s="151" t="s">
        <v>513</v>
      </c>
      <c r="D64" s="151" t="s">
        <v>514</v>
      </c>
    </row>
    <row r="65" spans="1:4">
      <c r="A65" s="151" t="s">
        <v>515</v>
      </c>
      <c r="B65" s="151" t="s">
        <v>516</v>
      </c>
      <c r="D65" s="151" t="s">
        <v>517</v>
      </c>
    </row>
    <row r="66" spans="1:4">
      <c r="A66" s="151" t="s">
        <v>518</v>
      </c>
      <c r="B66" s="151" t="s">
        <v>519</v>
      </c>
      <c r="D66" s="151" t="s">
        <v>520</v>
      </c>
    </row>
    <row r="67" spans="1:4">
      <c r="A67" s="151" t="s">
        <v>521</v>
      </c>
      <c r="B67" s="151" t="s">
        <v>522</v>
      </c>
      <c r="D67" s="151" t="s">
        <v>523</v>
      </c>
    </row>
    <row r="68" spans="1:4">
      <c r="A68" s="151" t="s">
        <v>524</v>
      </c>
      <c r="B68" s="151" t="s">
        <v>525</v>
      </c>
      <c r="D68" s="151" t="s">
        <v>526</v>
      </c>
    </row>
    <row r="69" spans="1:4">
      <c r="A69" s="151" t="s">
        <v>527</v>
      </c>
      <c r="B69" s="151" t="s">
        <v>528</v>
      </c>
      <c r="D69" s="151" t="s">
        <v>529</v>
      </c>
    </row>
    <row r="70" spans="1:4">
      <c r="A70" s="151" t="s">
        <v>530</v>
      </c>
      <c r="B70" s="151" t="s">
        <v>531</v>
      </c>
      <c r="D70" s="151" t="s">
        <v>532</v>
      </c>
    </row>
    <row r="71" spans="1:4">
      <c r="A71" s="151" t="s">
        <v>533</v>
      </c>
      <c r="B71" s="151" t="s">
        <v>534</v>
      </c>
      <c r="D71" s="151" t="s">
        <v>535</v>
      </c>
    </row>
    <row r="72" spans="1:4">
      <c r="A72" s="151" t="s">
        <v>536</v>
      </c>
      <c r="B72" s="151" t="s">
        <v>537</v>
      </c>
      <c r="D72" s="151" t="s">
        <v>538</v>
      </c>
    </row>
    <row r="73" spans="1:4">
      <c r="A73" s="151" t="s">
        <v>539</v>
      </c>
      <c r="B73" s="151" t="s">
        <v>540</v>
      </c>
      <c r="D73" s="151" t="s">
        <v>541</v>
      </c>
    </row>
    <row r="74" spans="1:4">
      <c r="A74" s="151" t="s">
        <v>542</v>
      </c>
      <c r="B74" s="151" t="s">
        <v>543</v>
      </c>
      <c r="D74" s="151" t="s">
        <v>544</v>
      </c>
    </row>
    <row r="75" spans="1:4">
      <c r="A75" s="151" t="s">
        <v>545</v>
      </c>
      <c r="B75" s="151" t="s">
        <v>546</v>
      </c>
      <c r="D75" s="151" t="s">
        <v>547</v>
      </c>
    </row>
    <row r="76" spans="1:4">
      <c r="A76" s="151" t="s">
        <v>255</v>
      </c>
      <c r="B76" s="151" t="s">
        <v>548</v>
      </c>
      <c r="D76" s="151" t="s">
        <v>549</v>
      </c>
    </row>
    <row r="77" spans="1:4">
      <c r="A77" s="151" t="s">
        <v>550</v>
      </c>
      <c r="B77" s="151" t="s">
        <v>551</v>
      </c>
      <c r="D77" s="151" t="s">
        <v>552</v>
      </c>
    </row>
    <row r="78" spans="1:4">
      <c r="A78" s="151" t="s">
        <v>553</v>
      </c>
      <c r="B78" s="151" t="s">
        <v>554</v>
      </c>
      <c r="D78" s="151" t="s">
        <v>555</v>
      </c>
    </row>
    <row r="79" spans="1:4">
      <c r="A79" s="151" t="s">
        <v>556</v>
      </c>
      <c r="B79" s="151" t="s">
        <v>557</v>
      </c>
      <c r="D79" s="151" t="s">
        <v>558</v>
      </c>
    </row>
    <row r="80" spans="1:4">
      <c r="A80" s="151" t="s">
        <v>559</v>
      </c>
      <c r="B80" s="151" t="s">
        <v>560</v>
      </c>
      <c r="D80" s="151" t="s">
        <v>561</v>
      </c>
    </row>
    <row r="81" spans="1:4">
      <c r="A81" s="151" t="s">
        <v>562</v>
      </c>
      <c r="B81" s="151" t="s">
        <v>563</v>
      </c>
      <c r="D81" s="151" t="s">
        <v>564</v>
      </c>
    </row>
    <row r="82" spans="1:4">
      <c r="A82" s="151" t="s">
        <v>565</v>
      </c>
      <c r="B82" s="151" t="s">
        <v>566</v>
      </c>
      <c r="D82" s="151" t="s">
        <v>567</v>
      </c>
    </row>
    <row r="83" spans="1:4">
      <c r="A83" s="151" t="s">
        <v>568</v>
      </c>
      <c r="B83" s="151" t="s">
        <v>569</v>
      </c>
      <c r="D83" s="151" t="s">
        <v>570</v>
      </c>
    </row>
    <row r="84" spans="1:4">
      <c r="A84" s="151" t="s">
        <v>571</v>
      </c>
      <c r="B84" s="151" t="s">
        <v>572</v>
      </c>
      <c r="D84" s="151" t="s">
        <v>573</v>
      </c>
    </row>
    <row r="85" spans="1:4">
      <c r="A85" s="151" t="s">
        <v>574</v>
      </c>
      <c r="B85" s="151" t="s">
        <v>575</v>
      </c>
      <c r="D85" s="151" t="s">
        <v>576</v>
      </c>
    </row>
    <row r="86" spans="1:4">
      <c r="A86" s="151" t="s">
        <v>577</v>
      </c>
      <c r="B86" s="151" t="s">
        <v>578</v>
      </c>
      <c r="D86" s="151" t="s">
        <v>579</v>
      </c>
    </row>
    <row r="87" spans="1:4">
      <c r="A87" s="151" t="s">
        <v>580</v>
      </c>
      <c r="B87" s="151" t="s">
        <v>581</v>
      </c>
      <c r="D87" s="151" t="s">
        <v>582</v>
      </c>
    </row>
    <row r="88" spans="1:4">
      <c r="A88" s="151" t="s">
        <v>583</v>
      </c>
      <c r="B88" s="151" t="s">
        <v>584</v>
      </c>
      <c r="D88" s="151" t="s">
        <v>585</v>
      </c>
    </row>
    <row r="89" spans="1:4">
      <c r="A89" s="151" t="s">
        <v>586</v>
      </c>
      <c r="B89" s="151" t="s">
        <v>587</v>
      </c>
      <c r="D89" s="151" t="s">
        <v>588</v>
      </c>
    </row>
    <row r="90" spans="1:4">
      <c r="A90" s="151" t="s">
        <v>589</v>
      </c>
      <c r="B90" s="151" t="s">
        <v>590</v>
      </c>
      <c r="D90" s="151" t="s">
        <v>591</v>
      </c>
    </row>
    <row r="91" spans="1:4">
      <c r="A91" s="151" t="s">
        <v>592</v>
      </c>
      <c r="B91" s="151" t="s">
        <v>593</v>
      </c>
      <c r="D91" s="151" t="s">
        <v>594</v>
      </c>
    </row>
    <row r="92" spans="1:4">
      <c r="A92" s="151" t="s">
        <v>595</v>
      </c>
      <c r="B92" s="151" t="s">
        <v>596</v>
      </c>
      <c r="D92" s="151" t="s">
        <v>597</v>
      </c>
    </row>
    <row r="93" spans="1:4">
      <c r="A93" s="151" t="s">
        <v>598</v>
      </c>
      <c r="B93" s="151" t="s">
        <v>599</v>
      </c>
      <c r="D93" s="151" t="s">
        <v>600</v>
      </c>
    </row>
    <row r="94" spans="1:4">
      <c r="A94" s="151" t="s">
        <v>601</v>
      </c>
      <c r="B94" s="151" t="s">
        <v>602</v>
      </c>
      <c r="D94" s="151" t="s">
        <v>603</v>
      </c>
    </row>
    <row r="95" spans="1:4">
      <c r="A95" s="151" t="s">
        <v>604</v>
      </c>
      <c r="B95" s="151" t="s">
        <v>605</v>
      </c>
      <c r="D95" s="151" t="s">
        <v>119</v>
      </c>
    </row>
    <row r="96" spans="1:4">
      <c r="A96" s="151" t="s">
        <v>606</v>
      </c>
      <c r="B96" s="151" t="s">
        <v>607</v>
      </c>
      <c r="D96" s="151" t="s">
        <v>608</v>
      </c>
    </row>
    <row r="97" spans="1:4">
      <c r="A97" s="151" t="s">
        <v>609</v>
      </c>
      <c r="B97" s="151" t="s">
        <v>610</v>
      </c>
      <c r="D97" s="151" t="s">
        <v>611</v>
      </c>
    </row>
    <row r="98" spans="1:4">
      <c r="A98" s="151" t="s">
        <v>612</v>
      </c>
      <c r="B98" s="151" t="s">
        <v>613</v>
      </c>
      <c r="D98" s="151" t="s">
        <v>614</v>
      </c>
    </row>
    <row r="99" spans="1:4">
      <c r="A99" s="151" t="s">
        <v>615</v>
      </c>
      <c r="B99" s="151" t="s">
        <v>616</v>
      </c>
      <c r="D99" s="151" t="s">
        <v>617</v>
      </c>
    </row>
    <row r="100" spans="1:4">
      <c r="A100" s="151" t="s">
        <v>618</v>
      </c>
      <c r="B100" s="151" t="s">
        <v>619</v>
      </c>
      <c r="D100" s="151" t="s">
        <v>620</v>
      </c>
    </row>
    <row r="101" spans="1:4">
      <c r="A101" s="151" t="s">
        <v>621</v>
      </c>
      <c r="B101" s="151" t="s">
        <v>622</v>
      </c>
      <c r="D101" s="151" t="s">
        <v>623</v>
      </c>
    </row>
    <row r="102" spans="1:4">
      <c r="A102" s="151" t="s">
        <v>624</v>
      </c>
      <c r="B102" s="151" t="s">
        <v>625</v>
      </c>
      <c r="D102" s="151" t="s">
        <v>626</v>
      </c>
    </row>
    <row r="103" spans="1:4">
      <c r="A103" s="151" t="s">
        <v>627</v>
      </c>
      <c r="B103" s="151" t="s">
        <v>628</v>
      </c>
      <c r="D103" s="151" t="s">
        <v>629</v>
      </c>
    </row>
    <row r="104" spans="1:4">
      <c r="A104" s="151" t="s">
        <v>630</v>
      </c>
      <c r="B104" s="151" t="s">
        <v>631</v>
      </c>
      <c r="D104" s="151" t="s">
        <v>632</v>
      </c>
    </row>
    <row r="105" spans="1:4">
      <c r="A105" s="151" t="s">
        <v>633</v>
      </c>
      <c r="B105" s="151" t="s">
        <v>634</v>
      </c>
      <c r="D105" s="151" t="s">
        <v>635</v>
      </c>
    </row>
    <row r="106" spans="1:4">
      <c r="A106" s="151" t="s">
        <v>636</v>
      </c>
      <c r="B106" s="151" t="s">
        <v>637</v>
      </c>
      <c r="D106" s="151" t="s">
        <v>638</v>
      </c>
    </row>
    <row r="107" spans="1:4">
      <c r="A107" s="151" t="s">
        <v>639</v>
      </c>
      <c r="B107" s="151" t="s">
        <v>640</v>
      </c>
      <c r="D107" s="151" t="s">
        <v>641</v>
      </c>
    </row>
    <row r="108" spans="1:4">
      <c r="A108" s="151" t="s">
        <v>642</v>
      </c>
      <c r="B108" s="151" t="s">
        <v>643</v>
      </c>
      <c r="D108" s="151" t="s">
        <v>644</v>
      </c>
    </row>
    <row r="109" spans="1:4">
      <c r="A109" s="151" t="s">
        <v>645</v>
      </c>
      <c r="B109" s="151" t="s">
        <v>646</v>
      </c>
      <c r="D109" s="151" t="s">
        <v>647</v>
      </c>
    </row>
    <row r="110" spans="1:4">
      <c r="A110" s="151" t="s">
        <v>648</v>
      </c>
      <c r="B110" s="151" t="s">
        <v>649</v>
      </c>
      <c r="D110" s="151" t="s">
        <v>650</v>
      </c>
    </row>
    <row r="111" spans="1:4">
      <c r="A111" s="151" t="s">
        <v>651</v>
      </c>
      <c r="B111" s="151" t="s">
        <v>652</v>
      </c>
      <c r="D111" s="151" t="s">
        <v>653</v>
      </c>
    </row>
    <row r="112" spans="1:4">
      <c r="A112" s="151" t="s">
        <v>654</v>
      </c>
      <c r="B112" s="151" t="s">
        <v>655</v>
      </c>
      <c r="D112" s="151" t="s">
        <v>656</v>
      </c>
    </row>
    <row r="113" spans="1:4">
      <c r="A113" s="151" t="s">
        <v>657</v>
      </c>
      <c r="B113" s="151" t="s">
        <v>658</v>
      </c>
      <c r="D113" s="151" t="s">
        <v>659</v>
      </c>
    </row>
    <row r="114" spans="1:4">
      <c r="A114" s="151" t="s">
        <v>660</v>
      </c>
      <c r="B114" s="151" t="s">
        <v>661</v>
      </c>
      <c r="D114" s="151" t="s">
        <v>662</v>
      </c>
    </row>
    <row r="115" spans="1:4">
      <c r="A115" s="151" t="s">
        <v>663</v>
      </c>
      <c r="B115" s="151" t="s">
        <v>664</v>
      </c>
      <c r="D115" s="151" t="s">
        <v>665</v>
      </c>
    </row>
    <row r="116" spans="1:4">
      <c r="A116" s="151" t="s">
        <v>666</v>
      </c>
      <c r="B116" s="151" t="s">
        <v>667</v>
      </c>
      <c r="D116" s="151" t="s">
        <v>668</v>
      </c>
    </row>
    <row r="117" spans="1:4">
      <c r="A117" s="151" t="s">
        <v>669</v>
      </c>
      <c r="B117" s="151" t="s">
        <v>670</v>
      </c>
      <c r="D117" s="151" t="s">
        <v>671</v>
      </c>
    </row>
    <row r="118" spans="1:4">
      <c r="A118" s="151" t="s">
        <v>672</v>
      </c>
      <c r="B118" s="151" t="s">
        <v>673</v>
      </c>
      <c r="D118" s="151" t="s">
        <v>674</v>
      </c>
    </row>
    <row r="119" spans="1:4">
      <c r="A119" s="151" t="s">
        <v>675</v>
      </c>
      <c r="B119" s="151" t="s">
        <v>676</v>
      </c>
      <c r="D119" s="151" t="s">
        <v>677</v>
      </c>
    </row>
    <row r="120" spans="1:4">
      <c r="A120" s="151" t="s">
        <v>678</v>
      </c>
      <c r="B120" s="151" t="s">
        <v>679</v>
      </c>
      <c r="D120" s="151" t="s">
        <v>680</v>
      </c>
    </row>
    <row r="121" spans="1:4">
      <c r="A121" s="151" t="s">
        <v>681</v>
      </c>
      <c r="B121" s="151" t="s">
        <v>682</v>
      </c>
      <c r="D121" s="151" t="s">
        <v>683</v>
      </c>
    </row>
    <row r="122" spans="1:4">
      <c r="A122" s="151" t="s">
        <v>684</v>
      </c>
      <c r="B122" s="151" t="s">
        <v>685</v>
      </c>
      <c r="D122" s="151" t="s">
        <v>686</v>
      </c>
    </row>
    <row r="123" spans="1:4">
      <c r="A123" s="151" t="s">
        <v>687</v>
      </c>
      <c r="B123" s="151" t="s">
        <v>688</v>
      </c>
      <c r="D123" s="151" t="s">
        <v>689</v>
      </c>
    </row>
    <row r="124" spans="1:4">
      <c r="A124" s="151" t="s">
        <v>690</v>
      </c>
      <c r="B124" s="151" t="s">
        <v>691</v>
      </c>
      <c r="D124" s="151" t="s">
        <v>692</v>
      </c>
    </row>
    <row r="125" spans="1:4">
      <c r="A125" s="151" t="s">
        <v>693</v>
      </c>
      <c r="B125" s="151" t="s">
        <v>694</v>
      </c>
      <c r="D125" s="151" t="s">
        <v>695</v>
      </c>
    </row>
    <row r="126" spans="1:4">
      <c r="A126" s="151" t="s">
        <v>696</v>
      </c>
      <c r="B126" s="151" t="s">
        <v>697</v>
      </c>
      <c r="D126" s="151" t="s">
        <v>698</v>
      </c>
    </row>
    <row r="127" spans="1:4">
      <c r="A127" s="151" t="s">
        <v>699</v>
      </c>
      <c r="B127" s="151" t="s">
        <v>700</v>
      </c>
      <c r="D127" s="151" t="s">
        <v>701</v>
      </c>
    </row>
    <row r="128" spans="1:4">
      <c r="A128" s="151" t="s">
        <v>702</v>
      </c>
      <c r="B128" s="151" t="s">
        <v>703</v>
      </c>
      <c r="D128" s="151" t="s">
        <v>704</v>
      </c>
    </row>
    <row r="129" spans="1:4">
      <c r="A129" s="151" t="s">
        <v>705</v>
      </c>
      <c r="B129" s="151" t="s">
        <v>706</v>
      </c>
      <c r="D129" s="151" t="s">
        <v>707</v>
      </c>
    </row>
    <row r="130" spans="1:4">
      <c r="A130" s="151" t="s">
        <v>708</v>
      </c>
      <c r="B130" s="151" t="s">
        <v>709</v>
      </c>
      <c r="D130" s="151" t="s">
        <v>710</v>
      </c>
    </row>
    <row r="131" spans="1:4">
      <c r="A131" s="151" t="s">
        <v>711</v>
      </c>
      <c r="B131" s="151" t="s">
        <v>712</v>
      </c>
      <c r="D131" s="151" t="s">
        <v>713</v>
      </c>
    </row>
    <row r="132" spans="1:4">
      <c r="A132" s="151" t="s">
        <v>714</v>
      </c>
      <c r="B132" s="151" t="s">
        <v>715</v>
      </c>
      <c r="D132" s="151" t="s">
        <v>716</v>
      </c>
    </row>
    <row r="133" spans="1:4">
      <c r="A133" s="151" t="s">
        <v>717</v>
      </c>
      <c r="B133" s="151" t="s">
        <v>718</v>
      </c>
      <c r="D133" s="151" t="s">
        <v>719</v>
      </c>
    </row>
    <row r="134" spans="1:4">
      <c r="A134" s="151" t="s">
        <v>720</v>
      </c>
      <c r="B134" s="151" t="s">
        <v>721</v>
      </c>
      <c r="D134" s="151" t="s">
        <v>722</v>
      </c>
    </row>
    <row r="135" spans="1:4">
      <c r="A135" s="151" t="s">
        <v>723</v>
      </c>
      <c r="B135" s="151" t="s">
        <v>724</v>
      </c>
      <c r="D135" s="151" t="s">
        <v>725</v>
      </c>
    </row>
    <row r="136" spans="1:4">
      <c r="A136" s="151" t="s">
        <v>726</v>
      </c>
      <c r="B136" s="151" t="s">
        <v>727</v>
      </c>
      <c r="D136" s="151" t="s">
        <v>728</v>
      </c>
    </row>
    <row r="137" spans="1:4">
      <c r="A137" s="151" t="s">
        <v>729</v>
      </c>
      <c r="B137" s="151" t="s">
        <v>730</v>
      </c>
      <c r="D137" s="151" t="s">
        <v>731</v>
      </c>
    </row>
    <row r="138" spans="1:4">
      <c r="A138" s="151" t="s">
        <v>732</v>
      </c>
      <c r="B138" s="151" t="s">
        <v>733</v>
      </c>
      <c r="D138" s="151" t="s">
        <v>734</v>
      </c>
    </row>
    <row r="139" spans="1:4">
      <c r="A139" s="151" t="s">
        <v>735</v>
      </c>
      <c r="B139" s="151" t="s">
        <v>736</v>
      </c>
      <c r="D139" s="151" t="s">
        <v>737</v>
      </c>
    </row>
    <row r="140" spans="1:4">
      <c r="A140" s="151" t="s">
        <v>738</v>
      </c>
      <c r="B140" s="151" t="s">
        <v>739</v>
      </c>
      <c r="D140" s="151" t="s">
        <v>740</v>
      </c>
    </row>
    <row r="141" spans="1:4">
      <c r="A141" s="151" t="s">
        <v>741</v>
      </c>
      <c r="B141" s="151" t="s">
        <v>742</v>
      </c>
      <c r="D141" s="151" t="s">
        <v>743</v>
      </c>
    </row>
    <row r="142" spans="1:4">
      <c r="A142" s="151" t="s">
        <v>744</v>
      </c>
      <c r="B142" s="151" t="s">
        <v>745</v>
      </c>
      <c r="D142" s="151" t="s">
        <v>746</v>
      </c>
    </row>
    <row r="143" spans="1:4">
      <c r="A143" s="151" t="s">
        <v>747</v>
      </c>
      <c r="B143" s="151" t="s">
        <v>748</v>
      </c>
      <c r="D143" s="151" t="s">
        <v>749</v>
      </c>
    </row>
    <row r="144" spans="1:4">
      <c r="A144" s="151" t="s">
        <v>750</v>
      </c>
      <c r="B144" s="151" t="s">
        <v>751</v>
      </c>
      <c r="D144" s="151" t="s">
        <v>752</v>
      </c>
    </row>
    <row r="145" spans="1:4">
      <c r="A145" s="151" t="s">
        <v>753</v>
      </c>
      <c r="B145" s="151" t="s">
        <v>754</v>
      </c>
      <c r="D145" s="151" t="s">
        <v>755</v>
      </c>
    </row>
    <row r="146" spans="1:4">
      <c r="A146" s="151" t="s">
        <v>756</v>
      </c>
      <c r="B146" s="151" t="s">
        <v>757</v>
      </c>
      <c r="D146" s="151" t="s">
        <v>758</v>
      </c>
    </row>
    <row r="147" spans="1:4">
      <c r="A147" s="151" t="s">
        <v>759</v>
      </c>
      <c r="B147" s="151" t="s">
        <v>760</v>
      </c>
      <c r="D147" s="151" t="s">
        <v>761</v>
      </c>
    </row>
    <row r="148" spans="1:4">
      <c r="A148" s="151" t="s">
        <v>762</v>
      </c>
      <c r="B148" s="151" t="s">
        <v>763</v>
      </c>
      <c r="D148" s="151" t="s">
        <v>764</v>
      </c>
    </row>
    <row r="149" spans="1:4">
      <c r="A149" s="151" t="s">
        <v>765</v>
      </c>
      <c r="B149" s="151" t="s">
        <v>766</v>
      </c>
      <c r="D149" s="151" t="s">
        <v>767</v>
      </c>
    </row>
    <row r="150" spans="1:4">
      <c r="A150" s="151" t="s">
        <v>768</v>
      </c>
      <c r="B150" s="151" t="s">
        <v>769</v>
      </c>
      <c r="D150" s="151" t="s">
        <v>770</v>
      </c>
    </row>
    <row r="151" spans="1:4">
      <c r="A151" s="151" t="s">
        <v>771</v>
      </c>
      <c r="B151" s="151" t="s">
        <v>772</v>
      </c>
      <c r="D151" s="151" t="s">
        <v>773</v>
      </c>
    </row>
    <row r="152" spans="1:4">
      <c r="A152" s="151" t="s">
        <v>774</v>
      </c>
      <c r="B152" s="151" t="s">
        <v>775</v>
      </c>
      <c r="D152" s="151" t="s">
        <v>776</v>
      </c>
    </row>
    <row r="153" spans="1:4">
      <c r="A153" s="151" t="s">
        <v>777</v>
      </c>
      <c r="B153" s="151" t="s">
        <v>778</v>
      </c>
      <c r="D153" s="151" t="s">
        <v>779</v>
      </c>
    </row>
    <row r="154" spans="1:4">
      <c r="A154" s="151" t="s">
        <v>780</v>
      </c>
      <c r="B154" s="151" t="s">
        <v>781</v>
      </c>
      <c r="D154" s="151" t="s">
        <v>782</v>
      </c>
    </row>
    <row r="155" spans="1:4">
      <c r="A155" s="151" t="s">
        <v>783</v>
      </c>
      <c r="B155" s="151" t="s">
        <v>784</v>
      </c>
      <c r="D155" s="151" t="s">
        <v>785</v>
      </c>
    </row>
    <row r="156" spans="1:4">
      <c r="A156" s="151" t="s">
        <v>786</v>
      </c>
      <c r="B156" s="151" t="s">
        <v>787</v>
      </c>
      <c r="D156" s="151" t="s">
        <v>788</v>
      </c>
    </row>
    <row r="157" spans="1:4">
      <c r="A157" s="151" t="s">
        <v>789</v>
      </c>
      <c r="B157" s="151" t="s">
        <v>790</v>
      </c>
      <c r="D157" s="151" t="s">
        <v>791</v>
      </c>
    </row>
    <row r="158" spans="1:4">
      <c r="A158" s="151" t="s">
        <v>792</v>
      </c>
      <c r="B158" s="151" t="s">
        <v>793</v>
      </c>
      <c r="D158" s="151" t="s">
        <v>794</v>
      </c>
    </row>
    <row r="159" spans="1:4">
      <c r="A159" s="151" t="s">
        <v>795</v>
      </c>
      <c r="B159" s="151" t="s">
        <v>796</v>
      </c>
      <c r="D159" s="151" t="s">
        <v>797</v>
      </c>
    </row>
    <row r="160" spans="1:4">
      <c r="A160" s="151" t="s">
        <v>798</v>
      </c>
      <c r="B160" s="151" t="s">
        <v>799</v>
      </c>
      <c r="D160" s="151" t="s">
        <v>800</v>
      </c>
    </row>
    <row r="161" spans="1:4">
      <c r="A161" s="151" t="s">
        <v>801</v>
      </c>
      <c r="B161" s="151" t="s">
        <v>802</v>
      </c>
      <c r="D161" s="151" t="s">
        <v>803</v>
      </c>
    </row>
    <row r="162" spans="1:4">
      <c r="A162" s="151" t="s">
        <v>804</v>
      </c>
      <c r="B162" s="151" t="s">
        <v>805</v>
      </c>
      <c r="D162" s="151" t="s">
        <v>806</v>
      </c>
    </row>
    <row r="163" spans="1:4">
      <c r="A163" s="151" t="s">
        <v>807</v>
      </c>
      <c r="B163" s="151" t="s">
        <v>808</v>
      </c>
      <c r="D163" s="151" t="s">
        <v>809</v>
      </c>
    </row>
    <row r="164" spans="1:4">
      <c r="A164" s="151" t="s">
        <v>810</v>
      </c>
      <c r="B164" s="151" t="s">
        <v>811</v>
      </c>
      <c r="D164" s="151" t="s">
        <v>812</v>
      </c>
    </row>
    <row r="165" spans="1:4">
      <c r="A165" s="151" t="s">
        <v>813</v>
      </c>
      <c r="B165" s="151" t="s">
        <v>814</v>
      </c>
      <c r="D165" s="151" t="s">
        <v>815</v>
      </c>
    </row>
    <row r="166" spans="1:4">
      <c r="A166" s="151" t="s">
        <v>816</v>
      </c>
      <c r="B166" s="151" t="s">
        <v>817</v>
      </c>
      <c r="D166" s="151" t="s">
        <v>818</v>
      </c>
    </row>
    <row r="167" spans="1:4">
      <c r="A167" s="151" t="s">
        <v>819</v>
      </c>
      <c r="B167" s="151" t="s">
        <v>820</v>
      </c>
      <c r="D167" s="151" t="s">
        <v>821</v>
      </c>
    </row>
    <row r="168" spans="1:4">
      <c r="A168" s="151" t="s">
        <v>822</v>
      </c>
      <c r="B168" s="151" t="s">
        <v>823</v>
      </c>
      <c r="D168" s="151" t="s">
        <v>824</v>
      </c>
    </row>
    <row r="169" spans="1:4">
      <c r="A169" s="151" t="s">
        <v>825</v>
      </c>
      <c r="B169" s="151" t="s">
        <v>826</v>
      </c>
      <c r="D169" s="151" t="s">
        <v>827</v>
      </c>
    </row>
    <row r="170" spans="1:4">
      <c r="A170" s="151" t="s">
        <v>828</v>
      </c>
      <c r="B170" s="151" t="s">
        <v>829</v>
      </c>
      <c r="D170" s="151" t="s">
        <v>830</v>
      </c>
    </row>
    <row r="171" spans="1:4">
      <c r="A171" s="151" t="s">
        <v>831</v>
      </c>
      <c r="B171" s="151" t="s">
        <v>832</v>
      </c>
      <c r="D171" s="151" t="s">
        <v>833</v>
      </c>
    </row>
    <row r="172" spans="1:4">
      <c r="A172" s="151" t="s">
        <v>834</v>
      </c>
      <c r="B172" s="151" t="s">
        <v>835</v>
      </c>
      <c r="D172" s="151" t="s">
        <v>836</v>
      </c>
    </row>
    <row r="173" spans="1:4">
      <c r="A173" s="151" t="s">
        <v>837</v>
      </c>
      <c r="B173" s="151" t="s">
        <v>838</v>
      </c>
      <c r="D173" s="151" t="s">
        <v>839</v>
      </c>
    </row>
    <row r="174" spans="1:4">
      <c r="A174" s="151" t="s">
        <v>840</v>
      </c>
      <c r="B174" s="151" t="s">
        <v>841</v>
      </c>
      <c r="D174" s="151" t="s">
        <v>842</v>
      </c>
    </row>
    <row r="175" spans="1:4">
      <c r="A175" s="151" t="s">
        <v>843</v>
      </c>
      <c r="B175" s="151" t="s">
        <v>844</v>
      </c>
      <c r="D175" s="151" t="s">
        <v>845</v>
      </c>
    </row>
    <row r="176" spans="1:4">
      <c r="A176" s="151" t="s">
        <v>846</v>
      </c>
      <c r="B176" s="151" t="s">
        <v>847</v>
      </c>
      <c r="D176" s="151" t="s">
        <v>848</v>
      </c>
    </row>
    <row r="177" spans="1:4">
      <c r="A177" s="151" t="s">
        <v>849</v>
      </c>
      <c r="B177" s="151" t="s">
        <v>850</v>
      </c>
      <c r="D177" s="151" t="s">
        <v>851</v>
      </c>
    </row>
    <row r="178" spans="1:4">
      <c r="A178" s="151" t="s">
        <v>852</v>
      </c>
      <c r="B178" s="151" t="s">
        <v>853</v>
      </c>
      <c r="D178" s="151" t="s">
        <v>854</v>
      </c>
    </row>
    <row r="179" spans="1:4">
      <c r="A179" s="151" t="s">
        <v>855</v>
      </c>
      <c r="B179" s="151" t="s">
        <v>856</v>
      </c>
      <c r="D179" s="151" t="s">
        <v>857</v>
      </c>
    </row>
    <row r="180" spans="1:4">
      <c r="A180" s="151" t="s">
        <v>858</v>
      </c>
      <c r="B180" s="151" t="s">
        <v>859</v>
      </c>
      <c r="D180" s="151" t="s">
        <v>860</v>
      </c>
    </row>
    <row r="181" spans="1:4">
      <c r="A181" s="151" t="s">
        <v>861</v>
      </c>
      <c r="B181" s="151" t="s">
        <v>862</v>
      </c>
      <c r="D181" s="151" t="s">
        <v>863</v>
      </c>
    </row>
    <row r="182" spans="1:4">
      <c r="A182" s="151" t="s">
        <v>864</v>
      </c>
      <c r="B182" s="151" t="s">
        <v>865</v>
      </c>
      <c r="D182" s="151" t="s">
        <v>866</v>
      </c>
    </row>
    <row r="183" spans="1:4">
      <c r="A183" s="151" t="s">
        <v>867</v>
      </c>
      <c r="B183" s="151" t="s">
        <v>868</v>
      </c>
      <c r="D183" s="151" t="s">
        <v>869</v>
      </c>
    </row>
    <row r="184" spans="1:4">
      <c r="A184" s="151" t="s">
        <v>870</v>
      </c>
      <c r="B184" s="151" t="s">
        <v>871</v>
      </c>
      <c r="D184" s="151" t="s">
        <v>872</v>
      </c>
    </row>
    <row r="185" spans="1:4">
      <c r="A185" s="151" t="s">
        <v>873</v>
      </c>
      <c r="B185" s="151" t="s">
        <v>874</v>
      </c>
      <c r="D185" s="151" t="s">
        <v>875</v>
      </c>
    </row>
    <row r="186" spans="1:4">
      <c r="A186" s="151" t="s">
        <v>876</v>
      </c>
      <c r="B186" s="151" t="s">
        <v>877</v>
      </c>
      <c r="D186" s="151" t="s">
        <v>878</v>
      </c>
    </row>
    <row r="187" spans="1:4">
      <c r="A187" s="151" t="s">
        <v>879</v>
      </c>
      <c r="B187" s="151" t="s">
        <v>880</v>
      </c>
      <c r="D187" s="151" t="s">
        <v>881</v>
      </c>
    </row>
    <row r="188" spans="1:4">
      <c r="A188" s="151" t="s">
        <v>882</v>
      </c>
      <c r="B188" s="151" t="s">
        <v>883</v>
      </c>
      <c r="D188" s="151" t="s">
        <v>884</v>
      </c>
    </row>
    <row r="189" spans="1:4">
      <c r="A189" s="151" t="s">
        <v>885</v>
      </c>
      <c r="B189" s="151" t="s">
        <v>886</v>
      </c>
      <c r="D189" s="151" t="s">
        <v>887</v>
      </c>
    </row>
    <row r="190" spans="1:4">
      <c r="A190" s="151" t="s">
        <v>888</v>
      </c>
      <c r="B190" s="151" t="s">
        <v>889</v>
      </c>
      <c r="D190" s="151" t="s">
        <v>890</v>
      </c>
    </row>
    <row r="191" spans="1:4">
      <c r="A191" s="151" t="s">
        <v>891</v>
      </c>
      <c r="B191" s="151" t="s">
        <v>892</v>
      </c>
      <c r="D191" s="151" t="s">
        <v>893</v>
      </c>
    </row>
    <row r="192" spans="1:4">
      <c r="A192" s="151" t="s">
        <v>894</v>
      </c>
      <c r="B192" s="151" t="s">
        <v>895</v>
      </c>
      <c r="D192" s="151" t="s">
        <v>896</v>
      </c>
    </row>
    <row r="193" spans="1:4">
      <c r="A193" s="151" t="s">
        <v>897</v>
      </c>
      <c r="B193" s="151" t="s">
        <v>898</v>
      </c>
      <c r="D193" s="151" t="s">
        <v>899</v>
      </c>
    </row>
    <row r="194" spans="1:4">
      <c r="A194" s="151" t="s">
        <v>900</v>
      </c>
      <c r="B194" s="151" t="s">
        <v>901</v>
      </c>
      <c r="D194" s="151" t="s">
        <v>902</v>
      </c>
    </row>
    <row r="195" spans="1:4">
      <c r="A195" s="151" t="s">
        <v>903</v>
      </c>
      <c r="B195" s="151" t="s">
        <v>904</v>
      </c>
      <c r="D195" s="151" t="s">
        <v>905</v>
      </c>
    </row>
    <row r="196" spans="1:4">
      <c r="A196" s="151" t="s">
        <v>906</v>
      </c>
      <c r="B196" s="151" t="s">
        <v>907</v>
      </c>
      <c r="D196" s="151" t="s">
        <v>908</v>
      </c>
    </row>
    <row r="197" spans="1:4">
      <c r="A197" s="151" t="s">
        <v>909</v>
      </c>
      <c r="B197" s="151" t="s">
        <v>910</v>
      </c>
      <c r="D197" s="151" t="s">
        <v>911</v>
      </c>
    </row>
    <row r="198" spans="1:4">
      <c r="A198" s="151" t="s">
        <v>912</v>
      </c>
      <c r="B198" s="151" t="s">
        <v>913</v>
      </c>
      <c r="D198" s="151" t="s">
        <v>914</v>
      </c>
    </row>
    <row r="199" spans="1:4">
      <c r="A199" s="151" t="s">
        <v>915</v>
      </c>
      <c r="B199" s="151" t="s">
        <v>916</v>
      </c>
      <c r="D199" s="151" t="s">
        <v>917</v>
      </c>
    </row>
    <row r="200" spans="1:4">
      <c r="A200" s="151" t="s">
        <v>918</v>
      </c>
      <c r="B200" s="151" t="s">
        <v>919</v>
      </c>
      <c r="D200" s="151" t="s">
        <v>920</v>
      </c>
    </row>
    <row r="201" spans="1:4">
      <c r="A201" s="151" t="s">
        <v>921</v>
      </c>
      <c r="B201" s="151" t="s">
        <v>922</v>
      </c>
      <c r="D201" s="151" t="s">
        <v>923</v>
      </c>
    </row>
    <row r="202" spans="1:4">
      <c r="A202" s="151" t="s">
        <v>924</v>
      </c>
      <c r="B202" s="151" t="s">
        <v>925</v>
      </c>
      <c r="D202" s="151" t="s">
        <v>926</v>
      </c>
    </row>
    <row r="203" spans="1:4">
      <c r="A203" s="151" t="s">
        <v>927</v>
      </c>
      <c r="B203" s="151" t="s">
        <v>928</v>
      </c>
      <c r="D203" s="151" t="s">
        <v>929</v>
      </c>
    </row>
    <row r="204" spans="1:4">
      <c r="A204" s="151" t="s">
        <v>930</v>
      </c>
      <c r="B204" s="151" t="s">
        <v>931</v>
      </c>
      <c r="D204" s="151" t="s">
        <v>932</v>
      </c>
    </row>
    <row r="205" spans="1:4">
      <c r="A205" s="151" t="s">
        <v>933</v>
      </c>
      <c r="B205" s="151" t="s">
        <v>934</v>
      </c>
      <c r="D205" s="151" t="s">
        <v>935</v>
      </c>
    </row>
    <row r="206" spans="1:4">
      <c r="A206" s="151" t="s">
        <v>936</v>
      </c>
      <c r="B206" s="151" t="s">
        <v>937</v>
      </c>
      <c r="D206" s="151" t="s">
        <v>938</v>
      </c>
    </row>
    <row r="207" spans="1:4">
      <c r="A207" s="151" t="s">
        <v>939</v>
      </c>
      <c r="B207" s="151" t="s">
        <v>940</v>
      </c>
      <c r="D207" s="151" t="s">
        <v>941</v>
      </c>
    </row>
    <row r="208" spans="1:4">
      <c r="A208" s="151" t="s">
        <v>942</v>
      </c>
      <c r="B208" s="151" t="s">
        <v>943</v>
      </c>
      <c r="D208" s="151" t="s">
        <v>944</v>
      </c>
    </row>
    <row r="209" spans="1:4">
      <c r="A209" s="151" t="s">
        <v>945</v>
      </c>
      <c r="B209" s="151" t="s">
        <v>946</v>
      </c>
      <c r="D209" s="151" t="s">
        <v>947</v>
      </c>
    </row>
    <row r="210" spans="1:4">
      <c r="A210" s="151" t="s">
        <v>948</v>
      </c>
      <c r="B210" s="151" t="s">
        <v>949</v>
      </c>
      <c r="D210" s="151" t="s">
        <v>950</v>
      </c>
    </row>
    <row r="211" spans="1:4">
      <c r="A211" s="151" t="s">
        <v>951</v>
      </c>
      <c r="B211" s="151" t="s">
        <v>952</v>
      </c>
      <c r="D211" s="151" t="s">
        <v>953</v>
      </c>
    </row>
    <row r="212" spans="1:4">
      <c r="A212" s="151" t="s">
        <v>954</v>
      </c>
      <c r="B212" s="151" t="s">
        <v>955</v>
      </c>
      <c r="D212" s="151" t="s">
        <v>956</v>
      </c>
    </row>
    <row r="213" spans="1:4">
      <c r="A213" s="151" t="s">
        <v>957</v>
      </c>
      <c r="B213" s="151" t="s">
        <v>958</v>
      </c>
      <c r="D213" s="151" t="s">
        <v>959</v>
      </c>
    </row>
    <row r="214" spans="1:4">
      <c r="A214" s="151" t="s">
        <v>960</v>
      </c>
      <c r="B214" s="151" t="s">
        <v>961</v>
      </c>
      <c r="D214" s="151" t="s">
        <v>962</v>
      </c>
    </row>
    <row r="215" spans="1:4">
      <c r="A215" s="151" t="s">
        <v>963</v>
      </c>
      <c r="B215" s="151" t="s">
        <v>964</v>
      </c>
      <c r="D215" s="151" t="s">
        <v>965</v>
      </c>
    </row>
    <row r="216" spans="1:4">
      <c r="A216" s="151" t="s">
        <v>966</v>
      </c>
      <c r="B216" s="151" t="s">
        <v>967</v>
      </c>
      <c r="D216" s="151" t="s">
        <v>968</v>
      </c>
    </row>
    <row r="217" spans="1:4">
      <c r="A217" s="151" t="s">
        <v>969</v>
      </c>
      <c r="B217" s="151" t="s">
        <v>970</v>
      </c>
      <c r="D217" s="151" t="s">
        <v>971</v>
      </c>
    </row>
    <row r="218" spans="1:4">
      <c r="A218" s="151" t="s">
        <v>972</v>
      </c>
      <c r="B218" s="151" t="s">
        <v>973</v>
      </c>
      <c r="D218" s="151" t="s">
        <v>974</v>
      </c>
    </row>
    <row r="219" spans="1:4">
      <c r="A219" s="151" t="s">
        <v>975</v>
      </c>
      <c r="B219" s="151" t="s">
        <v>976</v>
      </c>
      <c r="D219" s="151" t="s">
        <v>977</v>
      </c>
    </row>
    <row r="220" spans="1:4">
      <c r="A220" s="151" t="s">
        <v>978</v>
      </c>
      <c r="B220" s="151" t="s">
        <v>979</v>
      </c>
      <c r="D220" s="151" t="s">
        <v>980</v>
      </c>
    </row>
    <row r="221" spans="1:4">
      <c r="A221" s="151" t="s">
        <v>981</v>
      </c>
      <c r="B221" s="151" t="s">
        <v>982</v>
      </c>
      <c r="D221" s="151" t="s">
        <v>983</v>
      </c>
    </row>
    <row r="222" spans="1:4">
      <c r="A222" s="151" t="s">
        <v>984</v>
      </c>
      <c r="B222" s="151" t="s">
        <v>985</v>
      </c>
      <c r="D222" s="151" t="s">
        <v>986</v>
      </c>
    </row>
    <row r="223" spans="1:4">
      <c r="A223" s="151" t="s">
        <v>987</v>
      </c>
      <c r="B223" s="151" t="s">
        <v>988</v>
      </c>
      <c r="D223" s="151" t="s">
        <v>989</v>
      </c>
    </row>
    <row r="224" spans="1:4">
      <c r="A224" s="151" t="s">
        <v>990</v>
      </c>
      <c r="B224" s="151" t="s">
        <v>991</v>
      </c>
      <c r="D224" s="151" t="s">
        <v>992</v>
      </c>
    </row>
    <row r="225" spans="1:4">
      <c r="A225" s="151" t="s">
        <v>993</v>
      </c>
      <c r="B225" s="151" t="s">
        <v>994</v>
      </c>
      <c r="D225" s="152" t="s">
        <v>243</v>
      </c>
    </row>
    <row r="226" spans="1:4">
      <c r="A226" s="151" t="s">
        <v>995</v>
      </c>
      <c r="B226" s="151" t="s">
        <v>996</v>
      </c>
      <c r="D226" t="s">
        <v>243</v>
      </c>
    </row>
    <row r="227" spans="1:4">
      <c r="A227" s="151" t="s">
        <v>997</v>
      </c>
      <c r="B227" s="151" t="s">
        <v>998</v>
      </c>
    </row>
    <row r="228" spans="1:4">
      <c r="A228" s="151" t="s">
        <v>999</v>
      </c>
      <c r="B228" s="151" t="s">
        <v>1000</v>
      </c>
    </row>
    <row r="229" spans="1:4">
      <c r="A229" s="151" t="s">
        <v>1001</v>
      </c>
      <c r="B229" s="151" t="s">
        <v>1002</v>
      </c>
    </row>
    <row r="230" spans="1:4">
      <c r="A230" s="151" t="s">
        <v>1003</v>
      </c>
      <c r="B230" s="151" t="s">
        <v>1004</v>
      </c>
    </row>
    <row r="231" spans="1:4">
      <c r="A231" s="151" t="s">
        <v>1005</v>
      </c>
      <c r="B231" s="151" t="s">
        <v>1006</v>
      </c>
    </row>
    <row r="232" spans="1:4">
      <c r="A232" s="151" t="s">
        <v>1007</v>
      </c>
      <c r="B232" s="151" t="s">
        <v>1008</v>
      </c>
    </row>
    <row r="233" spans="1:4">
      <c r="A233" s="151" t="s">
        <v>1009</v>
      </c>
      <c r="B233" s="151" t="s">
        <v>1010</v>
      </c>
    </row>
    <row r="234" spans="1:4">
      <c r="A234" s="151" t="s">
        <v>1011</v>
      </c>
      <c r="B234" s="151" t="s">
        <v>1012</v>
      </c>
    </row>
    <row r="235" spans="1:4">
      <c r="A235" s="151" t="s">
        <v>1013</v>
      </c>
      <c r="B235" s="151" t="s">
        <v>1014</v>
      </c>
    </row>
    <row r="236" spans="1:4">
      <c r="A236" s="151" t="s">
        <v>1015</v>
      </c>
      <c r="B236" s="151" t="s">
        <v>1016</v>
      </c>
    </row>
    <row r="237" spans="1:4">
      <c r="A237" s="151" t="s">
        <v>1017</v>
      </c>
      <c r="B237" s="151" t="s">
        <v>1018</v>
      </c>
    </row>
    <row r="238" spans="1:4">
      <c r="A238" s="151" t="s">
        <v>1019</v>
      </c>
      <c r="B238" s="151" t="s">
        <v>1020</v>
      </c>
    </row>
    <row r="239" spans="1:4">
      <c r="A239" s="151" t="s">
        <v>1021</v>
      </c>
      <c r="B239" s="151" t="s">
        <v>1022</v>
      </c>
    </row>
    <row r="240" spans="1:4">
      <c r="A240" s="151" t="s">
        <v>1023</v>
      </c>
      <c r="B240" s="151" t="s">
        <v>1024</v>
      </c>
    </row>
    <row r="241" spans="1:2">
      <c r="A241" s="151" t="s">
        <v>1025</v>
      </c>
      <c r="B241" s="151" t="s">
        <v>1026</v>
      </c>
    </row>
    <row r="242" spans="1:2">
      <c r="A242" s="151" t="s">
        <v>1027</v>
      </c>
      <c r="B242" s="151" t="s">
        <v>1028</v>
      </c>
    </row>
    <row r="243" spans="1:2">
      <c r="A243" s="151" t="s">
        <v>1029</v>
      </c>
      <c r="B243" s="151" t="s">
        <v>1030</v>
      </c>
    </row>
    <row r="244" spans="1:2">
      <c r="A244" s="151" t="s">
        <v>1031</v>
      </c>
      <c r="B244" s="151" t="s">
        <v>1032</v>
      </c>
    </row>
    <row r="245" spans="1:2">
      <c r="A245" s="151" t="s">
        <v>1033</v>
      </c>
      <c r="B245" s="151" t="s">
        <v>1034</v>
      </c>
    </row>
    <row r="246" spans="1:2">
      <c r="A246" s="151" t="s">
        <v>1035</v>
      </c>
      <c r="B246" s="151" t="s">
        <v>1036</v>
      </c>
    </row>
    <row r="247" spans="1:2">
      <c r="A247" s="151" t="s">
        <v>1037</v>
      </c>
      <c r="B247" s="151" t="s">
        <v>1038</v>
      </c>
    </row>
    <row r="248" spans="1:2">
      <c r="A248" s="151" t="s">
        <v>1039</v>
      </c>
      <c r="B248" s="151" t="s">
        <v>1040</v>
      </c>
    </row>
    <row r="249" spans="1:2">
      <c r="A249" s="151" t="s">
        <v>1041</v>
      </c>
      <c r="B249" s="151" t="s">
        <v>1042</v>
      </c>
    </row>
    <row r="250" spans="1:2">
      <c r="A250" s="151" t="s">
        <v>1043</v>
      </c>
      <c r="B250" s="151" t="s">
        <v>1044</v>
      </c>
    </row>
    <row r="251" spans="1:2">
      <c r="A251" s="151" t="s">
        <v>1045</v>
      </c>
      <c r="B251" s="151" t="s">
        <v>1046</v>
      </c>
    </row>
    <row r="252" spans="1:2">
      <c r="A252" s="151" t="s">
        <v>1047</v>
      </c>
      <c r="B252" s="151" t="s">
        <v>1048</v>
      </c>
    </row>
    <row r="253" spans="1:2">
      <c r="A253" s="151" t="s">
        <v>1049</v>
      </c>
      <c r="B253" s="151" t="s">
        <v>1050</v>
      </c>
    </row>
    <row r="254" spans="1:2">
      <c r="A254" s="151" t="s">
        <v>1051</v>
      </c>
      <c r="B254" s="151" t="s">
        <v>1052</v>
      </c>
    </row>
    <row r="255" spans="1:2">
      <c r="A255" s="151" t="s">
        <v>1053</v>
      </c>
      <c r="B255" s="151" t="s">
        <v>1054</v>
      </c>
    </row>
    <row r="256" spans="1:2">
      <c r="A256" s="151" t="s">
        <v>1055</v>
      </c>
      <c r="B256" s="151" t="s">
        <v>1056</v>
      </c>
    </row>
    <row r="257" spans="1:2">
      <c r="A257" s="151" t="s">
        <v>1057</v>
      </c>
      <c r="B257" s="151" t="s">
        <v>1058</v>
      </c>
    </row>
    <row r="258" spans="1:2">
      <c r="A258" s="151" t="s">
        <v>1059</v>
      </c>
      <c r="B258" s="151" t="s">
        <v>1060</v>
      </c>
    </row>
    <row r="259" spans="1:2">
      <c r="A259" s="151" t="s">
        <v>1061</v>
      </c>
      <c r="B259" s="151" t="s">
        <v>1062</v>
      </c>
    </row>
    <row r="260" spans="1:2">
      <c r="A260" s="151" t="s">
        <v>1063</v>
      </c>
      <c r="B260" s="151" t="s">
        <v>1064</v>
      </c>
    </row>
    <row r="261" spans="1:2">
      <c r="A261" s="151" t="s">
        <v>1065</v>
      </c>
      <c r="B261" s="151" t="s">
        <v>1066</v>
      </c>
    </row>
    <row r="262" spans="1:2">
      <c r="A262" s="151" t="s">
        <v>1067</v>
      </c>
      <c r="B262" s="151" t="s">
        <v>1068</v>
      </c>
    </row>
    <row r="263" spans="1:2">
      <c r="A263" s="151" t="s">
        <v>1069</v>
      </c>
      <c r="B263" s="151" t="s">
        <v>1070</v>
      </c>
    </row>
    <row r="264" spans="1:2">
      <c r="A264" s="151" t="s">
        <v>1071</v>
      </c>
      <c r="B264" s="151" t="s">
        <v>1072</v>
      </c>
    </row>
    <row r="265" spans="1:2">
      <c r="A265" s="151" t="s">
        <v>1073</v>
      </c>
      <c r="B265" s="151" t="s">
        <v>1074</v>
      </c>
    </row>
    <row r="266" spans="1:2">
      <c r="A266" s="151" t="s">
        <v>1075</v>
      </c>
      <c r="B266" s="151" t="s">
        <v>1076</v>
      </c>
    </row>
    <row r="267" spans="1:2">
      <c r="A267" s="151" t="s">
        <v>1077</v>
      </c>
      <c r="B267" s="151" t="s">
        <v>1078</v>
      </c>
    </row>
    <row r="268" spans="1:2">
      <c r="A268" s="151" t="s">
        <v>1079</v>
      </c>
      <c r="B268" s="151" t="s">
        <v>1080</v>
      </c>
    </row>
    <row r="269" spans="1:2">
      <c r="A269" s="151" t="s">
        <v>1081</v>
      </c>
      <c r="B269" s="151" t="s">
        <v>1082</v>
      </c>
    </row>
    <row r="270" spans="1:2">
      <c r="A270" s="151" t="s">
        <v>1083</v>
      </c>
      <c r="B270" s="151" t="s">
        <v>1084</v>
      </c>
    </row>
    <row r="271" spans="1:2">
      <c r="A271" s="151" t="s">
        <v>1085</v>
      </c>
      <c r="B271" s="151" t="s">
        <v>1086</v>
      </c>
    </row>
    <row r="272" spans="1:2">
      <c r="A272" s="151" t="s">
        <v>1087</v>
      </c>
      <c r="B272" s="151" t="s">
        <v>1088</v>
      </c>
    </row>
    <row r="273" spans="1:2">
      <c r="A273" s="151" t="s">
        <v>1089</v>
      </c>
      <c r="B273" s="151" t="s">
        <v>1090</v>
      </c>
    </row>
    <row r="274" spans="1:2">
      <c r="A274" s="151" t="s">
        <v>1091</v>
      </c>
      <c r="B274" s="151" t="s">
        <v>1092</v>
      </c>
    </row>
    <row r="275" spans="1:2">
      <c r="A275" s="151" t="s">
        <v>1093</v>
      </c>
      <c r="B275" s="151" t="s">
        <v>1094</v>
      </c>
    </row>
    <row r="276" spans="1:2">
      <c r="A276" s="151" t="s">
        <v>1095</v>
      </c>
      <c r="B276" s="151" t="s">
        <v>1096</v>
      </c>
    </row>
    <row r="277" spans="1:2">
      <c r="A277" s="151" t="s">
        <v>1097</v>
      </c>
      <c r="B277" s="151" t="s">
        <v>1098</v>
      </c>
    </row>
    <row r="278" spans="1:2">
      <c r="A278" s="151" t="s">
        <v>1099</v>
      </c>
      <c r="B278" s="151" t="s">
        <v>1100</v>
      </c>
    </row>
    <row r="279" spans="1:2">
      <c r="A279" s="151" t="s">
        <v>1101</v>
      </c>
      <c r="B279" s="151" t="s">
        <v>1102</v>
      </c>
    </row>
    <row r="280" spans="1:2">
      <c r="A280" s="151" t="s">
        <v>1103</v>
      </c>
      <c r="B280" s="151" t="s">
        <v>286</v>
      </c>
    </row>
    <row r="281" spans="1:2">
      <c r="A281" s="151" t="s">
        <v>1104</v>
      </c>
      <c r="B281" s="151" t="s">
        <v>1105</v>
      </c>
    </row>
    <row r="282" spans="1:2">
      <c r="A282" s="151" t="s">
        <v>1106</v>
      </c>
      <c r="B282" s="151" t="s">
        <v>1107</v>
      </c>
    </row>
    <row r="283" spans="1:2">
      <c r="A283" s="151" t="s">
        <v>1108</v>
      </c>
      <c r="B283" s="151" t="s">
        <v>1109</v>
      </c>
    </row>
    <row r="284" spans="1:2">
      <c r="A284" s="151" t="s">
        <v>1110</v>
      </c>
      <c r="B284" s="151" t="s">
        <v>1111</v>
      </c>
    </row>
    <row r="285" spans="1:2">
      <c r="A285" s="151" t="s">
        <v>1112</v>
      </c>
      <c r="B285" s="151" t="s">
        <v>1113</v>
      </c>
    </row>
    <row r="286" spans="1:2">
      <c r="A286" s="151" t="s">
        <v>1114</v>
      </c>
      <c r="B286" s="151" t="s">
        <v>1115</v>
      </c>
    </row>
    <row r="287" spans="1:2">
      <c r="A287" s="151" t="s">
        <v>1116</v>
      </c>
      <c r="B287" s="151" t="s">
        <v>1117</v>
      </c>
    </row>
    <row r="288" spans="1:2">
      <c r="A288" s="151" t="s">
        <v>1118</v>
      </c>
      <c r="B288" s="151" t="s">
        <v>1119</v>
      </c>
    </row>
    <row r="289" spans="1:2">
      <c r="A289" s="151" t="s">
        <v>1120</v>
      </c>
      <c r="B289" s="151" t="s">
        <v>1121</v>
      </c>
    </row>
    <row r="290" spans="1:2">
      <c r="A290" s="151" t="s">
        <v>1122</v>
      </c>
      <c r="B290" s="151" t="s">
        <v>1123</v>
      </c>
    </row>
    <row r="291" spans="1:2">
      <c r="A291" s="151" t="s">
        <v>1124</v>
      </c>
      <c r="B291" s="151" t="s">
        <v>1125</v>
      </c>
    </row>
    <row r="292" spans="1:2">
      <c r="A292" s="151" t="s">
        <v>1126</v>
      </c>
      <c r="B292" s="151" t="s">
        <v>1127</v>
      </c>
    </row>
    <row r="293" spans="1:2">
      <c r="A293" s="151" t="s">
        <v>1128</v>
      </c>
      <c r="B293" s="151" t="s">
        <v>1129</v>
      </c>
    </row>
    <row r="294" spans="1:2">
      <c r="A294" s="151" t="s">
        <v>1130</v>
      </c>
      <c r="B294" s="151" t="s">
        <v>1131</v>
      </c>
    </row>
    <row r="295" spans="1:2">
      <c r="A295" s="151" t="s">
        <v>1132</v>
      </c>
      <c r="B295" s="151" t="s">
        <v>1133</v>
      </c>
    </row>
    <row r="296" spans="1:2">
      <c r="A296" s="151" t="s">
        <v>1134</v>
      </c>
      <c r="B296" s="151" t="s">
        <v>1135</v>
      </c>
    </row>
    <row r="297" spans="1:2">
      <c r="A297" s="151" t="s">
        <v>1136</v>
      </c>
      <c r="B297" s="151" t="s">
        <v>1137</v>
      </c>
    </row>
    <row r="298" spans="1:2">
      <c r="A298" s="151" t="s">
        <v>1138</v>
      </c>
      <c r="B298" s="151" t="s">
        <v>1139</v>
      </c>
    </row>
    <row r="299" spans="1:2">
      <c r="A299" s="151" t="s">
        <v>1140</v>
      </c>
      <c r="B299" s="151" t="s">
        <v>1141</v>
      </c>
    </row>
    <row r="300" spans="1:2">
      <c r="A300" s="151" t="s">
        <v>1142</v>
      </c>
      <c r="B300" s="151" t="s">
        <v>1143</v>
      </c>
    </row>
    <row r="301" spans="1:2">
      <c r="A301" s="151" t="s">
        <v>1144</v>
      </c>
      <c r="B301" s="151" t="s">
        <v>1145</v>
      </c>
    </row>
    <row r="302" spans="1:2">
      <c r="A302" s="151" t="s">
        <v>1146</v>
      </c>
      <c r="B302" s="151" t="s">
        <v>1147</v>
      </c>
    </row>
    <row r="303" spans="1:2">
      <c r="A303" s="151" t="s">
        <v>1148</v>
      </c>
      <c r="B303" s="151" t="s">
        <v>1149</v>
      </c>
    </row>
    <row r="304" spans="1:2">
      <c r="A304" s="151" t="s">
        <v>1150</v>
      </c>
      <c r="B304" s="151" t="s">
        <v>1151</v>
      </c>
    </row>
    <row r="305" spans="1:2">
      <c r="A305" s="151" t="s">
        <v>1152</v>
      </c>
      <c r="B305" s="151" t="s">
        <v>1153</v>
      </c>
    </row>
    <row r="306" spans="1:2">
      <c r="A306" s="151" t="s">
        <v>1154</v>
      </c>
      <c r="B306" s="151" t="s">
        <v>1155</v>
      </c>
    </row>
    <row r="307" spans="1:2">
      <c r="A307" s="151" t="s">
        <v>1156</v>
      </c>
      <c r="B307" s="151" t="s">
        <v>475</v>
      </c>
    </row>
    <row r="308" spans="1:2">
      <c r="A308" s="151" t="s">
        <v>1157</v>
      </c>
      <c r="B308" s="151" t="s">
        <v>1158</v>
      </c>
    </row>
    <row r="309" spans="1:2">
      <c r="A309" s="151" t="s">
        <v>1159</v>
      </c>
      <c r="B309" s="151" t="s">
        <v>1160</v>
      </c>
    </row>
    <row r="310" spans="1:2">
      <c r="A310" s="151" t="s">
        <v>1161</v>
      </c>
      <c r="B310" s="151" t="s">
        <v>1162</v>
      </c>
    </row>
    <row r="311" spans="1:2">
      <c r="A311" s="151" t="s">
        <v>1163</v>
      </c>
      <c r="B311" s="151" t="s">
        <v>1164</v>
      </c>
    </row>
    <row r="312" spans="1:2">
      <c r="A312" s="151" t="s">
        <v>1165</v>
      </c>
      <c r="B312" s="151" t="s">
        <v>1166</v>
      </c>
    </row>
    <row r="313" spans="1:2">
      <c r="A313" s="151" t="s">
        <v>1167</v>
      </c>
      <c r="B313" s="151" t="s">
        <v>1168</v>
      </c>
    </row>
    <row r="314" spans="1:2">
      <c r="A314" s="151" t="s">
        <v>1169</v>
      </c>
      <c r="B314" s="151" t="s">
        <v>1170</v>
      </c>
    </row>
    <row r="315" spans="1:2">
      <c r="A315" s="151" t="s">
        <v>1171</v>
      </c>
      <c r="B315" s="151" t="s">
        <v>1172</v>
      </c>
    </row>
    <row r="316" spans="1:2">
      <c r="A316" s="151" t="s">
        <v>1173</v>
      </c>
      <c r="B316" s="151" t="s">
        <v>1174</v>
      </c>
    </row>
    <row r="317" spans="1:2">
      <c r="A317" s="151" t="s">
        <v>1175</v>
      </c>
      <c r="B317" s="151" t="s">
        <v>1176</v>
      </c>
    </row>
    <row r="318" spans="1:2">
      <c r="A318" s="151" t="s">
        <v>1177</v>
      </c>
      <c r="B318" s="151" t="s">
        <v>1178</v>
      </c>
    </row>
    <row r="319" spans="1:2">
      <c r="A319" s="151" t="s">
        <v>1179</v>
      </c>
      <c r="B319" s="151" t="s">
        <v>1180</v>
      </c>
    </row>
    <row r="320" spans="1:2">
      <c r="A320" s="151" t="s">
        <v>1181</v>
      </c>
      <c r="B320" s="151" t="s">
        <v>1182</v>
      </c>
    </row>
    <row r="321" spans="1:2">
      <c r="A321" s="151" t="s">
        <v>1183</v>
      </c>
      <c r="B321" s="151" t="s">
        <v>1184</v>
      </c>
    </row>
    <row r="322" spans="1:2">
      <c r="A322" s="151" t="s">
        <v>1185</v>
      </c>
      <c r="B322" s="151" t="s">
        <v>1186</v>
      </c>
    </row>
    <row r="323" spans="1:2">
      <c r="A323" s="151" t="s">
        <v>1187</v>
      </c>
      <c r="B323" s="151" t="s">
        <v>1188</v>
      </c>
    </row>
    <row r="324" spans="1:2">
      <c r="A324" s="151" t="s">
        <v>1189</v>
      </c>
      <c r="B324" s="151" t="s">
        <v>1190</v>
      </c>
    </row>
    <row r="325" spans="1:2">
      <c r="A325" s="151" t="s">
        <v>1191</v>
      </c>
      <c r="B325" s="151" t="s">
        <v>1192</v>
      </c>
    </row>
    <row r="326" spans="1:2">
      <c r="A326" s="151" t="s">
        <v>1193</v>
      </c>
      <c r="B326" s="151" t="s">
        <v>1194</v>
      </c>
    </row>
    <row r="327" spans="1:2">
      <c r="A327" s="151" t="s">
        <v>1195</v>
      </c>
      <c r="B327" s="151" t="s">
        <v>1196</v>
      </c>
    </row>
    <row r="328" spans="1:2">
      <c r="A328" s="151" t="s">
        <v>1197</v>
      </c>
      <c r="B328" s="151" t="s">
        <v>1198</v>
      </c>
    </row>
    <row r="329" spans="1:2">
      <c r="A329" s="151" t="s">
        <v>1199</v>
      </c>
      <c r="B329" s="151" t="s">
        <v>1200</v>
      </c>
    </row>
    <row r="330" spans="1:2">
      <c r="A330" s="151" t="s">
        <v>1201</v>
      </c>
      <c r="B330" s="151" t="s">
        <v>1202</v>
      </c>
    </row>
    <row r="331" spans="1:2">
      <c r="A331" s="151" t="s">
        <v>1203</v>
      </c>
      <c r="B331" s="151" t="s">
        <v>1204</v>
      </c>
    </row>
    <row r="332" spans="1:2">
      <c r="A332" s="151" t="s">
        <v>1205</v>
      </c>
      <c r="B332" s="151" t="s">
        <v>1206</v>
      </c>
    </row>
    <row r="333" spans="1:2">
      <c r="A333" s="151" t="s">
        <v>1207</v>
      </c>
      <c r="B333" s="151" t="s">
        <v>1208</v>
      </c>
    </row>
    <row r="334" spans="1:2">
      <c r="A334" s="151" t="s">
        <v>1209</v>
      </c>
      <c r="B334" s="151" t="s">
        <v>1210</v>
      </c>
    </row>
    <row r="335" spans="1:2">
      <c r="A335" s="151" t="s">
        <v>1211</v>
      </c>
      <c r="B335" s="151" t="s">
        <v>1212</v>
      </c>
    </row>
    <row r="336" spans="1:2">
      <c r="A336" s="151" t="s">
        <v>1213</v>
      </c>
      <c r="B336" s="151" t="s">
        <v>1214</v>
      </c>
    </row>
    <row r="337" spans="1:2">
      <c r="A337" s="151" t="s">
        <v>1215</v>
      </c>
      <c r="B337" s="151" t="s">
        <v>1216</v>
      </c>
    </row>
    <row r="338" spans="1:2">
      <c r="A338" s="151" t="s">
        <v>1217</v>
      </c>
      <c r="B338" s="151" t="s">
        <v>1218</v>
      </c>
    </row>
    <row r="339" spans="1:2">
      <c r="A339" s="151" t="s">
        <v>1219</v>
      </c>
      <c r="B339" s="151" t="s">
        <v>1220</v>
      </c>
    </row>
    <row r="340" spans="1:2">
      <c r="A340" s="151" t="s">
        <v>1221</v>
      </c>
      <c r="B340" s="151" t="s">
        <v>1222</v>
      </c>
    </row>
    <row r="341" spans="1:2">
      <c r="A341" s="151" t="s">
        <v>1223</v>
      </c>
      <c r="B341" s="151" t="s">
        <v>1224</v>
      </c>
    </row>
    <row r="342" spans="1:2">
      <c r="A342" s="151" t="s">
        <v>1225</v>
      </c>
      <c r="B342" s="151" t="s">
        <v>1226</v>
      </c>
    </row>
    <row r="343" spans="1:2">
      <c r="A343" s="151" t="s">
        <v>1227</v>
      </c>
      <c r="B343" s="151" t="s">
        <v>1228</v>
      </c>
    </row>
    <row r="344" spans="1:2">
      <c r="A344" s="151" t="s">
        <v>1229</v>
      </c>
      <c r="B344" s="151" t="s">
        <v>1230</v>
      </c>
    </row>
    <row r="345" spans="1:2">
      <c r="A345" s="151" t="s">
        <v>1231</v>
      </c>
      <c r="B345" s="151" t="s">
        <v>1232</v>
      </c>
    </row>
    <row r="346" spans="1:2">
      <c r="A346" s="151" t="s">
        <v>1233</v>
      </c>
      <c r="B346" s="151" t="s">
        <v>1234</v>
      </c>
    </row>
    <row r="347" spans="1:2">
      <c r="A347" s="151" t="s">
        <v>1235</v>
      </c>
      <c r="B347" s="151" t="s">
        <v>1236</v>
      </c>
    </row>
    <row r="348" spans="1:2">
      <c r="A348" s="151" t="s">
        <v>1237</v>
      </c>
      <c r="B348" s="151" t="s">
        <v>1238</v>
      </c>
    </row>
    <row r="349" spans="1:2">
      <c r="A349" s="151" t="s">
        <v>1239</v>
      </c>
      <c r="B349" s="151" t="s">
        <v>1240</v>
      </c>
    </row>
    <row r="350" spans="1:2">
      <c r="A350" s="151" t="s">
        <v>1241</v>
      </c>
      <c r="B350" s="151" t="s">
        <v>1242</v>
      </c>
    </row>
    <row r="351" spans="1:2">
      <c r="A351" s="151" t="s">
        <v>1243</v>
      </c>
      <c r="B351" s="151" t="s">
        <v>1244</v>
      </c>
    </row>
    <row r="352" spans="1:2">
      <c r="A352" s="151" t="s">
        <v>1245</v>
      </c>
      <c r="B352" s="151" t="s">
        <v>1246</v>
      </c>
    </row>
    <row r="353" spans="1:2">
      <c r="A353" s="151" t="s">
        <v>1247</v>
      </c>
      <c r="B353" s="151" t="s">
        <v>1248</v>
      </c>
    </row>
    <row r="354" spans="1:2">
      <c r="A354" s="151" t="s">
        <v>1249</v>
      </c>
      <c r="B354" s="151" t="s">
        <v>1250</v>
      </c>
    </row>
    <row r="355" spans="1:2">
      <c r="A355" s="151" t="s">
        <v>1251</v>
      </c>
      <c r="B355" s="151" t="s">
        <v>1252</v>
      </c>
    </row>
    <row r="356" spans="1:2">
      <c r="A356" s="151" t="s">
        <v>1253</v>
      </c>
      <c r="B356" s="151" t="s">
        <v>1254</v>
      </c>
    </row>
    <row r="357" spans="1:2">
      <c r="A357" s="151" t="s">
        <v>1255</v>
      </c>
      <c r="B357" s="151" t="s">
        <v>1256</v>
      </c>
    </row>
    <row r="358" spans="1:2">
      <c r="A358" s="151" t="s">
        <v>1257</v>
      </c>
      <c r="B358" s="151" t="s">
        <v>1258</v>
      </c>
    </row>
    <row r="359" spans="1:2">
      <c r="A359" s="151" t="s">
        <v>1259</v>
      </c>
      <c r="B359" s="151" t="s">
        <v>1260</v>
      </c>
    </row>
    <row r="360" spans="1:2">
      <c r="A360" s="151" t="s">
        <v>1261</v>
      </c>
      <c r="B360" s="151" t="s">
        <v>1262</v>
      </c>
    </row>
    <row r="361" spans="1:2">
      <c r="A361" s="151" t="s">
        <v>1263</v>
      </c>
      <c r="B361" s="151" t="s">
        <v>1264</v>
      </c>
    </row>
    <row r="362" spans="1:2">
      <c r="A362" s="151" t="s">
        <v>1265</v>
      </c>
      <c r="B362" s="151" t="s">
        <v>1266</v>
      </c>
    </row>
    <row r="363" spans="1:2">
      <c r="A363" s="151" t="s">
        <v>1267</v>
      </c>
      <c r="B363" s="151" t="s">
        <v>1268</v>
      </c>
    </row>
    <row r="364" spans="1:2">
      <c r="A364" s="151" t="s">
        <v>1269</v>
      </c>
      <c r="B364" s="151" t="s">
        <v>1270</v>
      </c>
    </row>
    <row r="365" spans="1:2">
      <c r="A365" s="151" t="s">
        <v>1271</v>
      </c>
      <c r="B365" s="151" t="s">
        <v>1272</v>
      </c>
    </row>
    <row r="366" spans="1:2">
      <c r="A366" s="151" t="s">
        <v>1273</v>
      </c>
      <c r="B366" s="151" t="s">
        <v>1274</v>
      </c>
    </row>
    <row r="367" spans="1:2">
      <c r="A367" s="151" t="s">
        <v>1275</v>
      </c>
      <c r="B367" s="151" t="s">
        <v>1276</v>
      </c>
    </row>
    <row r="368" spans="1:2">
      <c r="A368" s="151" t="s">
        <v>1277</v>
      </c>
      <c r="B368" s="151" t="s">
        <v>1278</v>
      </c>
    </row>
    <row r="369" spans="1:2">
      <c r="A369" s="151" t="s">
        <v>1279</v>
      </c>
      <c r="B369" s="151" t="s">
        <v>1280</v>
      </c>
    </row>
    <row r="370" spans="1:2">
      <c r="A370" s="151" t="s">
        <v>1281</v>
      </c>
      <c r="B370" s="151" t="s">
        <v>1282</v>
      </c>
    </row>
    <row r="371" spans="1:2">
      <c r="A371" s="151" t="s">
        <v>1283</v>
      </c>
      <c r="B371" s="151" t="s">
        <v>1284</v>
      </c>
    </row>
    <row r="372" spans="1:2">
      <c r="A372" s="151" t="s">
        <v>1285</v>
      </c>
      <c r="B372" s="151" t="s">
        <v>1286</v>
      </c>
    </row>
    <row r="373" spans="1:2">
      <c r="A373" s="151" t="s">
        <v>1287</v>
      </c>
      <c r="B373" s="151" t="s">
        <v>1288</v>
      </c>
    </row>
    <row r="374" spans="1:2">
      <c r="A374" s="151" t="s">
        <v>1289</v>
      </c>
      <c r="B374" s="151" t="s">
        <v>1290</v>
      </c>
    </row>
    <row r="375" spans="1:2">
      <c r="A375" s="151" t="s">
        <v>1291</v>
      </c>
      <c r="B375" s="151" t="s">
        <v>1292</v>
      </c>
    </row>
    <row r="376" spans="1:2">
      <c r="A376" s="151" t="s">
        <v>1293</v>
      </c>
      <c r="B376" s="151" t="s">
        <v>1294</v>
      </c>
    </row>
    <row r="377" spans="1:2">
      <c r="A377" s="151" t="s">
        <v>1295</v>
      </c>
      <c r="B377" s="151" t="s">
        <v>1296</v>
      </c>
    </row>
    <row r="378" spans="1:2">
      <c r="A378" s="151" t="s">
        <v>1297</v>
      </c>
      <c r="B378" s="151" t="s">
        <v>1298</v>
      </c>
    </row>
    <row r="379" spans="1:2">
      <c r="A379" s="151" t="s">
        <v>1299</v>
      </c>
      <c r="B379" s="151" t="s">
        <v>1300</v>
      </c>
    </row>
    <row r="380" spans="1:2">
      <c r="A380" s="151" t="s">
        <v>1301</v>
      </c>
      <c r="B380" s="151" t="s">
        <v>1302</v>
      </c>
    </row>
    <row r="381" spans="1:2">
      <c r="A381" s="151" t="s">
        <v>1303</v>
      </c>
      <c r="B381" s="151" t="s">
        <v>1304</v>
      </c>
    </row>
    <row r="382" spans="1:2">
      <c r="A382" s="151" t="s">
        <v>1305</v>
      </c>
      <c r="B382" s="151" t="s">
        <v>1306</v>
      </c>
    </row>
    <row r="383" spans="1:2">
      <c r="A383" s="151" t="s">
        <v>1307</v>
      </c>
      <c r="B383" s="151" t="s">
        <v>1308</v>
      </c>
    </row>
    <row r="384" spans="1:2">
      <c r="A384" s="151" t="s">
        <v>1309</v>
      </c>
      <c r="B384" s="151" t="s">
        <v>1310</v>
      </c>
    </row>
    <row r="385" spans="1:2">
      <c r="A385" s="151" t="s">
        <v>1311</v>
      </c>
      <c r="B385" s="151" t="s">
        <v>1312</v>
      </c>
    </row>
    <row r="386" spans="1:2">
      <c r="A386" s="151" t="s">
        <v>1313</v>
      </c>
      <c r="B386" s="151" t="s">
        <v>1314</v>
      </c>
    </row>
    <row r="387" spans="1:2">
      <c r="A387" s="151" t="s">
        <v>1315</v>
      </c>
      <c r="B387" s="151" t="s">
        <v>1316</v>
      </c>
    </row>
    <row r="388" spans="1:2">
      <c r="A388" s="151" t="s">
        <v>1317</v>
      </c>
      <c r="B388" s="151" t="s">
        <v>1318</v>
      </c>
    </row>
    <row r="389" spans="1:2">
      <c r="A389" s="151" t="s">
        <v>1319</v>
      </c>
      <c r="B389" s="151" t="s">
        <v>1320</v>
      </c>
    </row>
    <row r="390" spans="1:2">
      <c r="A390" s="151" t="s">
        <v>1321</v>
      </c>
      <c r="B390" s="151" t="s">
        <v>1322</v>
      </c>
    </row>
    <row r="391" spans="1:2">
      <c r="A391" s="151" t="s">
        <v>1323</v>
      </c>
      <c r="B391" s="151" t="s">
        <v>1324</v>
      </c>
    </row>
    <row r="392" spans="1:2">
      <c r="A392" s="151" t="s">
        <v>1325</v>
      </c>
      <c r="B392" s="151" t="s">
        <v>1326</v>
      </c>
    </row>
    <row r="393" spans="1:2">
      <c r="A393" s="151" t="s">
        <v>1327</v>
      </c>
      <c r="B393" s="151" t="s">
        <v>1328</v>
      </c>
    </row>
    <row r="394" spans="1:2">
      <c r="A394" s="151" t="s">
        <v>1329</v>
      </c>
      <c r="B394" s="151" t="s">
        <v>1330</v>
      </c>
    </row>
    <row r="395" spans="1:2">
      <c r="A395" s="151" t="s">
        <v>1331</v>
      </c>
      <c r="B395" s="151" t="s">
        <v>1332</v>
      </c>
    </row>
    <row r="396" spans="1:2">
      <c r="A396" s="151" t="s">
        <v>1333</v>
      </c>
      <c r="B396" s="151" t="s">
        <v>1334</v>
      </c>
    </row>
    <row r="397" spans="1:2">
      <c r="A397" s="151" t="s">
        <v>1335</v>
      </c>
      <c r="B397" s="151" t="s">
        <v>1336</v>
      </c>
    </row>
    <row r="398" spans="1:2">
      <c r="A398" s="151" t="s">
        <v>1337</v>
      </c>
      <c r="B398" s="151" t="s">
        <v>1338</v>
      </c>
    </row>
    <row r="399" spans="1:2">
      <c r="A399" s="151" t="s">
        <v>1339</v>
      </c>
      <c r="B399" s="151" t="s">
        <v>1340</v>
      </c>
    </row>
    <row r="400" spans="1:2">
      <c r="A400" s="151" t="s">
        <v>1341</v>
      </c>
      <c r="B400" s="151" t="s">
        <v>1342</v>
      </c>
    </row>
    <row r="401" spans="1:2">
      <c r="A401" s="151" t="s">
        <v>1343</v>
      </c>
      <c r="B401" s="151" t="s">
        <v>1344</v>
      </c>
    </row>
    <row r="402" spans="1:2">
      <c r="A402" s="151" t="s">
        <v>1345</v>
      </c>
      <c r="B402" s="151" t="s">
        <v>1346</v>
      </c>
    </row>
    <row r="403" spans="1:2">
      <c r="A403" s="151" t="s">
        <v>1347</v>
      </c>
      <c r="B403" s="151" t="s">
        <v>1348</v>
      </c>
    </row>
    <row r="404" spans="1:2">
      <c r="A404" s="151" t="s">
        <v>1349</v>
      </c>
      <c r="B404" s="151" t="s">
        <v>1350</v>
      </c>
    </row>
    <row r="405" spans="1:2">
      <c r="A405" s="151" t="s">
        <v>1351</v>
      </c>
      <c r="B405" s="151" t="s">
        <v>1352</v>
      </c>
    </row>
    <row r="406" spans="1:2">
      <c r="A406" s="151" t="s">
        <v>1353</v>
      </c>
      <c r="B406" s="151" t="s">
        <v>1354</v>
      </c>
    </row>
    <row r="407" spans="1:2">
      <c r="A407" s="151" t="s">
        <v>1355</v>
      </c>
      <c r="B407" s="151" t="s">
        <v>1356</v>
      </c>
    </row>
    <row r="408" spans="1:2">
      <c r="A408" s="151" t="s">
        <v>1357</v>
      </c>
      <c r="B408" s="151" t="s">
        <v>1358</v>
      </c>
    </row>
    <row r="409" spans="1:2">
      <c r="A409" s="151" t="s">
        <v>1359</v>
      </c>
      <c r="B409" s="151" t="s">
        <v>1360</v>
      </c>
    </row>
    <row r="410" spans="1:2">
      <c r="A410" s="151" t="s">
        <v>1361</v>
      </c>
      <c r="B410" s="151" t="s">
        <v>1362</v>
      </c>
    </row>
    <row r="411" spans="1:2">
      <c r="A411" s="151" t="s">
        <v>1363</v>
      </c>
      <c r="B411" s="151" t="s">
        <v>1364</v>
      </c>
    </row>
    <row r="412" spans="1:2">
      <c r="A412" s="151" t="s">
        <v>1365</v>
      </c>
      <c r="B412" s="151" t="s">
        <v>1366</v>
      </c>
    </row>
    <row r="413" spans="1:2">
      <c r="A413" s="151" t="s">
        <v>1367</v>
      </c>
      <c r="B413" s="151" t="s">
        <v>1368</v>
      </c>
    </row>
    <row r="414" spans="1:2">
      <c r="A414" s="151" t="s">
        <v>1369</v>
      </c>
      <c r="B414" s="151" t="s">
        <v>1370</v>
      </c>
    </row>
    <row r="415" spans="1:2">
      <c r="A415" s="151" t="s">
        <v>1371</v>
      </c>
      <c r="B415" s="151" t="s">
        <v>1372</v>
      </c>
    </row>
    <row r="416" spans="1:2">
      <c r="A416" s="151" t="s">
        <v>1373</v>
      </c>
      <c r="B416" s="151" t="s">
        <v>1374</v>
      </c>
    </row>
    <row r="417" spans="1:2">
      <c r="A417" s="151" t="s">
        <v>1375</v>
      </c>
      <c r="B417" s="151" t="s">
        <v>1376</v>
      </c>
    </row>
    <row r="418" spans="1:2">
      <c r="A418" s="151" t="s">
        <v>1377</v>
      </c>
      <c r="B418" s="151" t="s">
        <v>1378</v>
      </c>
    </row>
    <row r="419" spans="1:2">
      <c r="A419" s="151" t="s">
        <v>1379</v>
      </c>
      <c r="B419" s="151" t="s">
        <v>1380</v>
      </c>
    </row>
    <row r="420" spans="1:2">
      <c r="A420" s="151" t="s">
        <v>1381</v>
      </c>
      <c r="B420" s="151" t="s">
        <v>1382</v>
      </c>
    </row>
    <row r="421" spans="1:2">
      <c r="A421" s="151" t="s">
        <v>1383</v>
      </c>
      <c r="B421" s="151" t="s">
        <v>1384</v>
      </c>
    </row>
    <row r="422" spans="1:2">
      <c r="A422" s="151" t="s">
        <v>1385</v>
      </c>
      <c r="B422" s="151" t="s">
        <v>1386</v>
      </c>
    </row>
    <row r="423" spans="1:2">
      <c r="A423" s="151" t="s">
        <v>1387</v>
      </c>
      <c r="B423" s="151" t="s">
        <v>1388</v>
      </c>
    </row>
    <row r="424" spans="1:2">
      <c r="A424" s="151" t="s">
        <v>1389</v>
      </c>
      <c r="B424" s="151" t="s">
        <v>1390</v>
      </c>
    </row>
    <row r="425" spans="1:2">
      <c r="A425" s="151" t="s">
        <v>1391</v>
      </c>
      <c r="B425" s="151" t="s">
        <v>1392</v>
      </c>
    </row>
    <row r="426" spans="1:2">
      <c r="A426" s="151" t="s">
        <v>1393</v>
      </c>
      <c r="B426" s="151" t="s">
        <v>1394</v>
      </c>
    </row>
    <row r="427" spans="1:2">
      <c r="A427" s="151" t="s">
        <v>1395</v>
      </c>
      <c r="B427" s="151" t="s">
        <v>1396</v>
      </c>
    </row>
    <row r="428" spans="1:2">
      <c r="A428" s="151" t="s">
        <v>1397</v>
      </c>
      <c r="B428" s="151" t="s">
        <v>1398</v>
      </c>
    </row>
    <row r="429" spans="1:2">
      <c r="A429" s="151" t="s">
        <v>1399</v>
      </c>
      <c r="B429" s="151" t="s">
        <v>1400</v>
      </c>
    </row>
    <row r="430" spans="1:2">
      <c r="A430" s="151" t="s">
        <v>1401</v>
      </c>
      <c r="B430" s="151" t="s">
        <v>1402</v>
      </c>
    </row>
    <row r="431" spans="1:2">
      <c r="A431" s="151" t="s">
        <v>1403</v>
      </c>
      <c r="B431" s="151" t="s">
        <v>1404</v>
      </c>
    </row>
    <row r="432" spans="1:2">
      <c r="A432" s="151" t="s">
        <v>1405</v>
      </c>
      <c r="B432" s="151" t="s">
        <v>1406</v>
      </c>
    </row>
    <row r="433" spans="1:2">
      <c r="A433" s="151" t="s">
        <v>1407</v>
      </c>
      <c r="B433" s="151" t="s">
        <v>1408</v>
      </c>
    </row>
    <row r="434" spans="1:2">
      <c r="A434" s="151" t="s">
        <v>1409</v>
      </c>
      <c r="B434" s="151" t="s">
        <v>1410</v>
      </c>
    </row>
    <row r="435" spans="1:2">
      <c r="A435" s="151" t="s">
        <v>1411</v>
      </c>
      <c r="B435" s="151" t="s">
        <v>1412</v>
      </c>
    </row>
    <row r="436" spans="1:2">
      <c r="A436" s="151" t="s">
        <v>1413</v>
      </c>
      <c r="B436" s="151" t="s">
        <v>1414</v>
      </c>
    </row>
    <row r="437" spans="1:2">
      <c r="A437" s="151" t="s">
        <v>1415</v>
      </c>
      <c r="B437" s="151" t="s">
        <v>1416</v>
      </c>
    </row>
    <row r="438" spans="1:2">
      <c r="A438" s="151" t="s">
        <v>1417</v>
      </c>
      <c r="B438" s="151" t="s">
        <v>1418</v>
      </c>
    </row>
    <row r="439" spans="1:2">
      <c r="A439" s="151" t="s">
        <v>1419</v>
      </c>
      <c r="B439" s="151" t="s">
        <v>1420</v>
      </c>
    </row>
    <row r="440" spans="1:2">
      <c r="A440" s="151" t="s">
        <v>1421</v>
      </c>
      <c r="B440" s="151" t="s">
        <v>1422</v>
      </c>
    </row>
    <row r="441" spans="1:2">
      <c r="A441" s="151" t="s">
        <v>1423</v>
      </c>
      <c r="B441" s="151" t="s">
        <v>1424</v>
      </c>
    </row>
    <row r="442" spans="1:2">
      <c r="A442" s="151" t="s">
        <v>1425</v>
      </c>
      <c r="B442" s="151" t="s">
        <v>1426</v>
      </c>
    </row>
    <row r="443" spans="1:2">
      <c r="A443" s="151" t="s">
        <v>1427</v>
      </c>
      <c r="B443" s="151" t="s">
        <v>1428</v>
      </c>
    </row>
    <row r="444" spans="1:2">
      <c r="A444" s="151" t="s">
        <v>1429</v>
      </c>
      <c r="B444" s="151" t="s">
        <v>1430</v>
      </c>
    </row>
    <row r="445" spans="1:2">
      <c r="A445" s="151" t="s">
        <v>1431</v>
      </c>
      <c r="B445" s="151" t="s">
        <v>1432</v>
      </c>
    </row>
    <row r="446" spans="1:2">
      <c r="A446" s="151" t="s">
        <v>1433</v>
      </c>
      <c r="B446" s="151" t="s">
        <v>1434</v>
      </c>
    </row>
    <row r="447" spans="1:2">
      <c r="A447" s="151" t="s">
        <v>1435</v>
      </c>
      <c r="B447" s="151" t="s">
        <v>1436</v>
      </c>
    </row>
    <row r="448" spans="1:2">
      <c r="A448" s="151" t="s">
        <v>1437</v>
      </c>
      <c r="B448" s="151" t="s">
        <v>1438</v>
      </c>
    </row>
    <row r="449" spans="1:2">
      <c r="A449" s="151" t="s">
        <v>1439</v>
      </c>
      <c r="B449" s="151" t="s">
        <v>1440</v>
      </c>
    </row>
    <row r="450" spans="1:2">
      <c r="A450" s="151" t="s">
        <v>1441</v>
      </c>
      <c r="B450" s="151" t="s">
        <v>1442</v>
      </c>
    </row>
    <row r="451" spans="1:2">
      <c r="A451" s="151" t="s">
        <v>1443</v>
      </c>
      <c r="B451" s="151" t="s">
        <v>1444</v>
      </c>
    </row>
    <row r="452" spans="1:2">
      <c r="A452" s="151" t="s">
        <v>1445</v>
      </c>
      <c r="B452" s="151" t="s">
        <v>1446</v>
      </c>
    </row>
    <row r="453" spans="1:2">
      <c r="A453" s="151" t="s">
        <v>1447</v>
      </c>
      <c r="B453" s="151" t="s">
        <v>1448</v>
      </c>
    </row>
    <row r="454" spans="1:2">
      <c r="A454" s="151" t="s">
        <v>1449</v>
      </c>
      <c r="B454" s="151" t="s">
        <v>1450</v>
      </c>
    </row>
    <row r="455" spans="1:2">
      <c r="A455" s="151" t="s">
        <v>1451</v>
      </c>
      <c r="B455" s="151" t="s">
        <v>1452</v>
      </c>
    </row>
    <row r="456" spans="1:2">
      <c r="A456" s="151" t="s">
        <v>1453</v>
      </c>
      <c r="B456" s="151" t="s">
        <v>1454</v>
      </c>
    </row>
    <row r="457" spans="1:2">
      <c r="A457" s="151" t="s">
        <v>1455</v>
      </c>
      <c r="B457" s="151" t="s">
        <v>1456</v>
      </c>
    </row>
    <row r="458" spans="1:2">
      <c r="A458" s="151" t="s">
        <v>1457</v>
      </c>
      <c r="B458" s="151" t="s">
        <v>1458</v>
      </c>
    </row>
    <row r="459" spans="1:2">
      <c r="A459" s="151" t="s">
        <v>1459</v>
      </c>
      <c r="B459" s="151" t="s">
        <v>1460</v>
      </c>
    </row>
    <row r="460" spans="1:2">
      <c r="A460" s="151" t="s">
        <v>1461</v>
      </c>
      <c r="B460" s="151" t="s">
        <v>1462</v>
      </c>
    </row>
    <row r="461" spans="1:2">
      <c r="A461" s="151" t="s">
        <v>1463</v>
      </c>
      <c r="B461" s="151" t="s">
        <v>1464</v>
      </c>
    </row>
    <row r="462" spans="1:2">
      <c r="A462" s="151" t="s">
        <v>1465</v>
      </c>
      <c r="B462" s="151" t="s">
        <v>1466</v>
      </c>
    </row>
    <row r="463" spans="1:2">
      <c r="A463" s="151" t="s">
        <v>1467</v>
      </c>
      <c r="B463" s="151" t="s">
        <v>1468</v>
      </c>
    </row>
    <row r="464" spans="1:2">
      <c r="A464" s="151" t="s">
        <v>1469</v>
      </c>
      <c r="B464" s="151" t="s">
        <v>1470</v>
      </c>
    </row>
    <row r="465" spans="1:2">
      <c r="A465" s="151" t="s">
        <v>1471</v>
      </c>
      <c r="B465" s="151" t="s">
        <v>1472</v>
      </c>
    </row>
    <row r="466" spans="1:2">
      <c r="A466" s="151" t="s">
        <v>1473</v>
      </c>
      <c r="B466" s="151" t="s">
        <v>1474</v>
      </c>
    </row>
    <row r="467" spans="1:2">
      <c r="A467" s="151" t="s">
        <v>1475</v>
      </c>
      <c r="B467" s="151" t="s">
        <v>1476</v>
      </c>
    </row>
    <row r="468" spans="1:2">
      <c r="A468" s="151" t="s">
        <v>1477</v>
      </c>
      <c r="B468" s="151" t="s">
        <v>1478</v>
      </c>
    </row>
    <row r="469" spans="1:2">
      <c r="A469" s="151" t="s">
        <v>1479</v>
      </c>
      <c r="B469" s="151" t="s">
        <v>1480</v>
      </c>
    </row>
    <row r="470" spans="1:2">
      <c r="A470" s="151" t="s">
        <v>1481</v>
      </c>
      <c r="B470" s="151" t="s">
        <v>1482</v>
      </c>
    </row>
    <row r="471" spans="1:2">
      <c r="A471" s="151" t="s">
        <v>1483</v>
      </c>
      <c r="B471" s="151" t="s">
        <v>1484</v>
      </c>
    </row>
    <row r="472" spans="1:2">
      <c r="A472" s="151" t="s">
        <v>1485</v>
      </c>
      <c r="B472" s="151" t="s">
        <v>1486</v>
      </c>
    </row>
    <row r="473" spans="1:2">
      <c r="A473" s="151" t="s">
        <v>1487</v>
      </c>
      <c r="B473" s="151" t="s">
        <v>1488</v>
      </c>
    </row>
    <row r="474" spans="1:2">
      <c r="A474" s="151" t="s">
        <v>1489</v>
      </c>
      <c r="B474" s="151" t="s">
        <v>1490</v>
      </c>
    </row>
    <row r="475" spans="1:2">
      <c r="A475" s="151" t="s">
        <v>1491</v>
      </c>
      <c r="B475" s="151" t="s">
        <v>1492</v>
      </c>
    </row>
    <row r="476" spans="1:2">
      <c r="A476" s="151" t="s">
        <v>1493</v>
      </c>
      <c r="B476" s="151" t="s">
        <v>1494</v>
      </c>
    </row>
    <row r="477" spans="1:2">
      <c r="A477" s="151" t="s">
        <v>1495</v>
      </c>
      <c r="B477" s="151" t="s">
        <v>1496</v>
      </c>
    </row>
    <row r="478" spans="1:2">
      <c r="A478" s="151" t="s">
        <v>1497</v>
      </c>
      <c r="B478" s="151" t="s">
        <v>1498</v>
      </c>
    </row>
    <row r="479" spans="1:2">
      <c r="A479" s="151" t="s">
        <v>1499</v>
      </c>
      <c r="B479" s="151" t="s">
        <v>1500</v>
      </c>
    </row>
    <row r="480" spans="1:2">
      <c r="A480" s="151" t="s">
        <v>1501</v>
      </c>
      <c r="B480" s="151" t="s">
        <v>1502</v>
      </c>
    </row>
    <row r="481" spans="1:2">
      <c r="A481" s="151" t="s">
        <v>1503</v>
      </c>
      <c r="B481" s="151" t="s">
        <v>1504</v>
      </c>
    </row>
    <row r="482" spans="1:2">
      <c r="A482" s="151" t="s">
        <v>1505</v>
      </c>
      <c r="B482" s="151" t="s">
        <v>1506</v>
      </c>
    </row>
    <row r="483" spans="1:2">
      <c r="A483" s="151" t="s">
        <v>1507</v>
      </c>
      <c r="B483" s="151" t="s">
        <v>1508</v>
      </c>
    </row>
    <row r="484" spans="1:2">
      <c r="A484" s="151" t="s">
        <v>1509</v>
      </c>
      <c r="B484" s="151" t="s">
        <v>1510</v>
      </c>
    </row>
    <row r="485" spans="1:2">
      <c r="A485" s="151" t="s">
        <v>1511</v>
      </c>
      <c r="B485" s="151" t="s">
        <v>1512</v>
      </c>
    </row>
    <row r="486" spans="1:2">
      <c r="A486" s="151" t="s">
        <v>1513</v>
      </c>
      <c r="B486" s="151" t="s">
        <v>1514</v>
      </c>
    </row>
    <row r="487" spans="1:2">
      <c r="A487" s="151" t="s">
        <v>1515</v>
      </c>
      <c r="B487" s="151" t="s">
        <v>1516</v>
      </c>
    </row>
    <row r="488" spans="1:2">
      <c r="A488" s="151" t="s">
        <v>1517</v>
      </c>
      <c r="B488" s="151" t="s">
        <v>1518</v>
      </c>
    </row>
    <row r="489" spans="1:2">
      <c r="A489" s="151" t="s">
        <v>1519</v>
      </c>
      <c r="B489" s="151" t="s">
        <v>1520</v>
      </c>
    </row>
    <row r="490" spans="1:2">
      <c r="A490" s="151" t="s">
        <v>1521</v>
      </c>
      <c r="B490" s="151" t="s">
        <v>1522</v>
      </c>
    </row>
    <row r="491" spans="1:2">
      <c r="A491" s="151" t="s">
        <v>1523</v>
      </c>
      <c r="B491" s="151" t="s">
        <v>1524</v>
      </c>
    </row>
    <row r="492" spans="1:2">
      <c r="A492" s="151" t="s">
        <v>1525</v>
      </c>
      <c r="B492" s="151" t="s">
        <v>1526</v>
      </c>
    </row>
    <row r="493" spans="1:2">
      <c r="A493" s="151" t="s">
        <v>1527</v>
      </c>
      <c r="B493" s="151" t="s">
        <v>1528</v>
      </c>
    </row>
    <row r="494" spans="1:2">
      <c r="A494" s="151" t="s">
        <v>1529</v>
      </c>
      <c r="B494" s="151" t="s">
        <v>1530</v>
      </c>
    </row>
    <row r="495" spans="1:2">
      <c r="A495" s="151" t="s">
        <v>1531</v>
      </c>
      <c r="B495" s="151" t="s">
        <v>1532</v>
      </c>
    </row>
    <row r="496" spans="1:2">
      <c r="A496" s="151" t="s">
        <v>1533</v>
      </c>
      <c r="B496" s="151" t="s">
        <v>1534</v>
      </c>
    </row>
    <row r="497" spans="1:2">
      <c r="A497" s="151" t="s">
        <v>1535</v>
      </c>
      <c r="B497" s="151" t="s">
        <v>1536</v>
      </c>
    </row>
    <row r="498" spans="1:2">
      <c r="A498" s="151" t="s">
        <v>1537</v>
      </c>
      <c r="B498" s="151" t="s">
        <v>1538</v>
      </c>
    </row>
    <row r="499" spans="1:2">
      <c r="A499" s="151" t="s">
        <v>1539</v>
      </c>
      <c r="B499" s="151" t="s">
        <v>1540</v>
      </c>
    </row>
    <row r="500" spans="1:2">
      <c r="A500" s="151" t="s">
        <v>1541</v>
      </c>
      <c r="B500" s="151" t="s">
        <v>1542</v>
      </c>
    </row>
    <row r="501" spans="1:2">
      <c r="A501" s="151" t="s">
        <v>1543</v>
      </c>
      <c r="B501" s="151" t="s">
        <v>291</v>
      </c>
    </row>
    <row r="502" spans="1:2">
      <c r="A502" s="151" t="s">
        <v>1544</v>
      </c>
      <c r="B502" s="151" t="s">
        <v>1545</v>
      </c>
    </row>
    <row r="503" spans="1:2">
      <c r="A503" s="151" t="s">
        <v>1546</v>
      </c>
      <c r="B503" s="151" t="s">
        <v>1547</v>
      </c>
    </row>
    <row r="504" spans="1:2">
      <c r="A504" s="151" t="s">
        <v>1548</v>
      </c>
      <c r="B504" s="151" t="s">
        <v>1549</v>
      </c>
    </row>
    <row r="505" spans="1:2">
      <c r="A505" s="151" t="s">
        <v>1550</v>
      </c>
      <c r="B505" s="151" t="s">
        <v>1551</v>
      </c>
    </row>
    <row r="506" spans="1:2">
      <c r="A506" s="151" t="s">
        <v>1552</v>
      </c>
      <c r="B506" s="151" t="s">
        <v>1553</v>
      </c>
    </row>
    <row r="507" spans="1:2">
      <c r="A507" s="151" t="s">
        <v>1554</v>
      </c>
      <c r="B507" s="151" t="s">
        <v>1555</v>
      </c>
    </row>
    <row r="508" spans="1:2">
      <c r="A508" s="151" t="s">
        <v>1556</v>
      </c>
      <c r="B508" s="151" t="s">
        <v>1557</v>
      </c>
    </row>
    <row r="509" spans="1:2">
      <c r="A509" s="151" t="s">
        <v>1558</v>
      </c>
      <c r="B509" s="151" t="s">
        <v>1559</v>
      </c>
    </row>
    <row r="510" spans="1:2">
      <c r="A510" s="151" t="s">
        <v>1560</v>
      </c>
      <c r="B510" s="151" t="s">
        <v>1561</v>
      </c>
    </row>
    <row r="511" spans="1:2">
      <c r="A511" s="151" t="s">
        <v>1562</v>
      </c>
      <c r="B511" s="151" t="s">
        <v>1563</v>
      </c>
    </row>
    <row r="512" spans="1:2">
      <c r="A512" s="151" t="s">
        <v>1564</v>
      </c>
      <c r="B512" s="151" t="s">
        <v>1565</v>
      </c>
    </row>
    <row r="513" spans="1:2">
      <c r="A513" s="151" t="s">
        <v>1566</v>
      </c>
      <c r="B513" s="151" t="s">
        <v>1567</v>
      </c>
    </row>
    <row r="514" spans="1:2">
      <c r="A514" s="151" t="s">
        <v>1568</v>
      </c>
      <c r="B514" s="151" t="s">
        <v>1569</v>
      </c>
    </row>
    <row r="515" spans="1:2">
      <c r="A515" s="151" t="s">
        <v>1570</v>
      </c>
      <c r="B515" s="151" t="s">
        <v>1571</v>
      </c>
    </row>
    <row r="516" spans="1:2">
      <c r="A516" s="151" t="s">
        <v>1572</v>
      </c>
      <c r="B516" s="151" t="s">
        <v>1573</v>
      </c>
    </row>
    <row r="517" spans="1:2">
      <c r="A517" s="151" t="s">
        <v>1574</v>
      </c>
      <c r="B517" s="151" t="s">
        <v>1575</v>
      </c>
    </row>
    <row r="518" spans="1:2">
      <c r="A518" s="151" t="s">
        <v>1576</v>
      </c>
      <c r="B518" s="151" t="s">
        <v>1577</v>
      </c>
    </row>
    <row r="519" spans="1:2">
      <c r="A519" s="151" t="s">
        <v>1578</v>
      </c>
      <c r="B519" s="151" t="s">
        <v>1579</v>
      </c>
    </row>
    <row r="520" spans="1:2">
      <c r="A520" s="151" t="s">
        <v>1580</v>
      </c>
      <c r="B520" s="151" t="s">
        <v>1581</v>
      </c>
    </row>
    <row r="521" spans="1:2">
      <c r="A521" s="151" t="s">
        <v>1582</v>
      </c>
      <c r="B521" s="151" t="s">
        <v>1583</v>
      </c>
    </row>
    <row r="522" spans="1:2">
      <c r="A522" s="151" t="s">
        <v>1584</v>
      </c>
      <c r="B522" s="151" t="s">
        <v>1585</v>
      </c>
    </row>
    <row r="523" spans="1:2">
      <c r="A523" s="151" t="s">
        <v>1586</v>
      </c>
      <c r="B523" s="151" t="s">
        <v>1587</v>
      </c>
    </row>
    <row r="524" spans="1:2">
      <c r="A524" s="151" t="s">
        <v>1588</v>
      </c>
      <c r="B524" s="151" t="s">
        <v>1589</v>
      </c>
    </row>
    <row r="525" spans="1:2">
      <c r="A525" s="151" t="s">
        <v>1590</v>
      </c>
      <c r="B525" s="151" t="s">
        <v>1591</v>
      </c>
    </row>
    <row r="526" spans="1:2">
      <c r="A526" s="151" t="s">
        <v>1592</v>
      </c>
      <c r="B526" s="151" t="s">
        <v>1593</v>
      </c>
    </row>
    <row r="527" spans="1:2">
      <c r="A527" s="151" t="s">
        <v>1594</v>
      </c>
      <c r="B527" s="151" t="s">
        <v>1595</v>
      </c>
    </row>
    <row r="528" spans="1:2">
      <c r="A528" s="151" t="s">
        <v>1596</v>
      </c>
      <c r="B528" s="151" t="s">
        <v>1597</v>
      </c>
    </row>
    <row r="529" spans="1:2">
      <c r="A529" s="151" t="s">
        <v>1598</v>
      </c>
      <c r="B529" s="151" t="s">
        <v>1599</v>
      </c>
    </row>
    <row r="530" spans="1:2">
      <c r="A530" s="151" t="s">
        <v>1600</v>
      </c>
      <c r="B530" s="151" t="s">
        <v>1601</v>
      </c>
    </row>
    <row r="531" spans="1:2">
      <c r="A531" s="151" t="s">
        <v>1602</v>
      </c>
      <c r="B531" s="151" t="s">
        <v>1603</v>
      </c>
    </row>
    <row r="532" spans="1:2">
      <c r="A532" s="151" t="s">
        <v>1604</v>
      </c>
      <c r="B532" s="151" t="s">
        <v>1605</v>
      </c>
    </row>
    <row r="533" spans="1:2">
      <c r="A533" s="151" t="s">
        <v>1606</v>
      </c>
      <c r="B533" s="151" t="s">
        <v>1607</v>
      </c>
    </row>
    <row r="534" spans="1:2">
      <c r="A534" s="151" t="s">
        <v>1608</v>
      </c>
      <c r="B534" s="151" t="s">
        <v>1609</v>
      </c>
    </row>
    <row r="535" spans="1:2">
      <c r="A535" s="151" t="s">
        <v>1610</v>
      </c>
      <c r="B535" s="151" t="s">
        <v>1611</v>
      </c>
    </row>
    <row r="536" spans="1:2">
      <c r="A536" s="151" t="s">
        <v>1612</v>
      </c>
      <c r="B536" s="151" t="s">
        <v>1613</v>
      </c>
    </row>
    <row r="537" spans="1:2">
      <c r="A537" s="151" t="s">
        <v>1614</v>
      </c>
      <c r="B537" s="151" t="s">
        <v>1615</v>
      </c>
    </row>
    <row r="538" spans="1:2">
      <c r="A538" s="151" t="s">
        <v>1616</v>
      </c>
      <c r="B538" s="151" t="s">
        <v>1617</v>
      </c>
    </row>
    <row r="539" spans="1:2">
      <c r="A539" s="151" t="s">
        <v>1618</v>
      </c>
      <c r="B539" s="151" t="s">
        <v>1619</v>
      </c>
    </row>
    <row r="540" spans="1:2">
      <c r="A540" s="151" t="s">
        <v>1620</v>
      </c>
      <c r="B540" s="151" t="s">
        <v>1621</v>
      </c>
    </row>
    <row r="541" spans="1:2">
      <c r="A541" s="151" t="s">
        <v>1622</v>
      </c>
      <c r="B541" s="151" t="s">
        <v>1623</v>
      </c>
    </row>
    <row r="542" spans="1:2">
      <c r="A542" s="151" t="s">
        <v>1624</v>
      </c>
      <c r="B542" s="151" t="s">
        <v>1625</v>
      </c>
    </row>
    <row r="543" spans="1:2">
      <c r="A543" s="151" t="s">
        <v>1626</v>
      </c>
      <c r="B543" s="151" t="s">
        <v>1627</v>
      </c>
    </row>
    <row r="544" spans="1:2">
      <c r="A544" s="151" t="s">
        <v>1628</v>
      </c>
      <c r="B544" s="151" t="s">
        <v>1629</v>
      </c>
    </row>
    <row r="545" spans="1:2">
      <c r="A545" s="151" t="s">
        <v>1630</v>
      </c>
      <c r="B545" s="151" t="s">
        <v>1631</v>
      </c>
    </row>
    <row r="546" spans="1:2">
      <c r="A546" s="151" t="s">
        <v>1632</v>
      </c>
      <c r="B546" s="151" t="s">
        <v>1633</v>
      </c>
    </row>
    <row r="547" spans="1:2">
      <c r="A547" s="151" t="s">
        <v>1634</v>
      </c>
      <c r="B547" s="151" t="s">
        <v>1635</v>
      </c>
    </row>
    <row r="548" spans="1:2">
      <c r="A548" s="151" t="s">
        <v>1636</v>
      </c>
      <c r="B548" s="151" t="s">
        <v>1637</v>
      </c>
    </row>
    <row r="549" spans="1:2">
      <c r="A549" s="151" t="s">
        <v>1638</v>
      </c>
      <c r="B549" s="151" t="s">
        <v>1639</v>
      </c>
    </row>
    <row r="550" spans="1:2">
      <c r="A550" s="151" t="s">
        <v>1640</v>
      </c>
      <c r="B550" s="151" t="s">
        <v>1641</v>
      </c>
    </row>
    <row r="551" spans="1:2">
      <c r="A551" s="151" t="s">
        <v>1642</v>
      </c>
      <c r="B551" s="151" t="s">
        <v>1643</v>
      </c>
    </row>
    <row r="552" spans="1:2">
      <c r="A552" s="151" t="s">
        <v>1644</v>
      </c>
      <c r="B552" s="151" t="s">
        <v>1645</v>
      </c>
    </row>
    <row r="553" spans="1:2">
      <c r="A553" s="151" t="s">
        <v>1646</v>
      </c>
      <c r="B553" s="151" t="s">
        <v>1647</v>
      </c>
    </row>
    <row r="554" spans="1:2">
      <c r="A554" s="151" t="s">
        <v>1648</v>
      </c>
      <c r="B554" s="151" t="s">
        <v>1649</v>
      </c>
    </row>
    <row r="555" spans="1:2">
      <c r="A555" s="151" t="s">
        <v>1650</v>
      </c>
      <c r="B555" s="151" t="s">
        <v>1651</v>
      </c>
    </row>
    <row r="556" spans="1:2">
      <c r="A556" s="151" t="s">
        <v>1652</v>
      </c>
      <c r="B556" s="151" t="s">
        <v>1653</v>
      </c>
    </row>
    <row r="557" spans="1:2">
      <c r="A557" s="151" t="s">
        <v>1654</v>
      </c>
      <c r="B557" s="151" t="s">
        <v>1655</v>
      </c>
    </row>
    <row r="558" spans="1:2">
      <c r="A558" s="151" t="s">
        <v>1656</v>
      </c>
      <c r="B558" s="151" t="s">
        <v>1657</v>
      </c>
    </row>
    <row r="559" spans="1:2">
      <c r="A559" s="151" t="s">
        <v>1658</v>
      </c>
      <c r="B559" s="151" t="s">
        <v>1659</v>
      </c>
    </row>
    <row r="560" spans="1:2">
      <c r="A560" s="151" t="s">
        <v>1660</v>
      </c>
      <c r="B560" s="151" t="s">
        <v>1661</v>
      </c>
    </row>
    <row r="561" spans="1:2">
      <c r="A561" s="151" t="s">
        <v>1662</v>
      </c>
      <c r="B561" s="151" t="s">
        <v>1663</v>
      </c>
    </row>
    <row r="562" spans="1:2">
      <c r="A562" s="151" t="s">
        <v>1664</v>
      </c>
      <c r="B562" s="151" t="s">
        <v>1665</v>
      </c>
    </row>
    <row r="563" spans="1:2">
      <c r="A563" s="151" t="s">
        <v>1666</v>
      </c>
      <c r="B563" s="151" t="s">
        <v>1667</v>
      </c>
    </row>
    <row r="564" spans="1:2">
      <c r="A564" s="151" t="s">
        <v>1668</v>
      </c>
      <c r="B564" s="151" t="s">
        <v>1669</v>
      </c>
    </row>
    <row r="565" spans="1:2">
      <c r="A565" s="151" t="s">
        <v>1670</v>
      </c>
      <c r="B565" s="151" t="s">
        <v>1671</v>
      </c>
    </row>
    <row r="566" spans="1:2">
      <c r="A566" s="151" t="s">
        <v>1672</v>
      </c>
      <c r="B566" s="151" t="s">
        <v>1673</v>
      </c>
    </row>
    <row r="567" spans="1:2">
      <c r="A567" s="151" t="s">
        <v>1674</v>
      </c>
      <c r="B567" s="151" t="s">
        <v>1675</v>
      </c>
    </row>
    <row r="568" spans="1:2">
      <c r="A568" s="151" t="s">
        <v>1676</v>
      </c>
      <c r="B568" s="151" t="s">
        <v>1677</v>
      </c>
    </row>
    <row r="569" spans="1:2">
      <c r="A569" s="151" t="s">
        <v>1678</v>
      </c>
      <c r="B569" s="151" t="s">
        <v>1679</v>
      </c>
    </row>
    <row r="570" spans="1:2">
      <c r="A570" s="151" t="s">
        <v>1680</v>
      </c>
      <c r="B570" s="151" t="s">
        <v>1681</v>
      </c>
    </row>
    <row r="571" spans="1:2">
      <c r="A571" s="151" t="s">
        <v>1682</v>
      </c>
      <c r="B571" s="151" t="s">
        <v>1683</v>
      </c>
    </row>
    <row r="572" spans="1:2">
      <c r="A572" s="151" t="s">
        <v>1684</v>
      </c>
      <c r="B572" s="151" t="s">
        <v>1685</v>
      </c>
    </row>
    <row r="573" spans="1:2">
      <c r="A573" s="151" t="s">
        <v>1686</v>
      </c>
      <c r="B573" s="151" t="s">
        <v>1687</v>
      </c>
    </row>
    <row r="574" spans="1:2">
      <c r="A574" s="151" t="s">
        <v>1688</v>
      </c>
      <c r="B574" s="151" t="s">
        <v>1689</v>
      </c>
    </row>
    <row r="575" spans="1:2">
      <c r="A575" s="151" t="s">
        <v>1690</v>
      </c>
      <c r="B575" s="151" t="s">
        <v>1691</v>
      </c>
    </row>
    <row r="576" spans="1:2">
      <c r="A576" s="151" t="s">
        <v>1692</v>
      </c>
      <c r="B576" s="151" t="s">
        <v>1693</v>
      </c>
    </row>
    <row r="577" spans="1:2">
      <c r="A577" s="151" t="s">
        <v>1694</v>
      </c>
      <c r="B577" s="151" t="s">
        <v>1695</v>
      </c>
    </row>
    <row r="578" spans="1:2">
      <c r="A578" s="151" t="s">
        <v>1696</v>
      </c>
      <c r="B578" s="151" t="s">
        <v>1697</v>
      </c>
    </row>
    <row r="579" spans="1:2">
      <c r="A579" s="151" t="s">
        <v>1698</v>
      </c>
      <c r="B579" s="151" t="s">
        <v>1699</v>
      </c>
    </row>
    <row r="580" spans="1:2">
      <c r="A580" s="151" t="s">
        <v>1700</v>
      </c>
      <c r="B580" s="151" t="s">
        <v>1701</v>
      </c>
    </row>
    <row r="581" spans="1:2">
      <c r="A581" s="151" t="s">
        <v>1702</v>
      </c>
      <c r="B581" s="151" t="s">
        <v>1703</v>
      </c>
    </row>
    <row r="582" spans="1:2">
      <c r="A582" s="151" t="s">
        <v>1704</v>
      </c>
      <c r="B582" s="151" t="s">
        <v>1705</v>
      </c>
    </row>
    <row r="583" spans="1:2">
      <c r="A583" s="151" t="s">
        <v>1706</v>
      </c>
      <c r="B583" s="151" t="s">
        <v>1707</v>
      </c>
    </row>
    <row r="584" spans="1:2">
      <c r="A584" s="151" t="s">
        <v>1708</v>
      </c>
      <c r="B584" s="151" t="s">
        <v>1709</v>
      </c>
    </row>
    <row r="585" spans="1:2">
      <c r="A585" s="151" t="s">
        <v>1710</v>
      </c>
      <c r="B585" s="151" t="s">
        <v>1711</v>
      </c>
    </row>
    <row r="586" spans="1:2">
      <c r="A586" s="151" t="s">
        <v>1712</v>
      </c>
      <c r="B586" s="151" t="s">
        <v>1713</v>
      </c>
    </row>
    <row r="587" spans="1:2">
      <c r="A587" s="151" t="s">
        <v>1714</v>
      </c>
      <c r="B587" s="151" t="s">
        <v>1715</v>
      </c>
    </row>
    <row r="588" spans="1:2">
      <c r="A588" s="151" t="s">
        <v>1716</v>
      </c>
      <c r="B588" s="151" t="s">
        <v>119</v>
      </c>
    </row>
    <row r="589" spans="1:2">
      <c r="A589" s="151" t="s">
        <v>1717</v>
      </c>
      <c r="B589" s="151" t="s">
        <v>1718</v>
      </c>
    </row>
    <row r="590" spans="1:2">
      <c r="A590" s="151" t="s">
        <v>1719</v>
      </c>
      <c r="B590" s="151" t="s">
        <v>1720</v>
      </c>
    </row>
    <row r="591" spans="1:2">
      <c r="A591" s="151" t="s">
        <v>1721</v>
      </c>
      <c r="B591" s="151" t="s">
        <v>1722</v>
      </c>
    </row>
    <row r="592" spans="1:2">
      <c r="A592" s="151" t="s">
        <v>1723</v>
      </c>
      <c r="B592" s="151" t="s">
        <v>1724</v>
      </c>
    </row>
    <row r="593" spans="1:2">
      <c r="A593" s="151" t="s">
        <v>1725</v>
      </c>
      <c r="B593" s="151" t="s">
        <v>1726</v>
      </c>
    </row>
    <row r="594" spans="1:2">
      <c r="A594" s="151" t="s">
        <v>1727</v>
      </c>
      <c r="B594" s="151" t="s">
        <v>1728</v>
      </c>
    </row>
    <row r="595" spans="1:2">
      <c r="A595" s="151" t="s">
        <v>1729</v>
      </c>
      <c r="B595" s="151" t="s">
        <v>1730</v>
      </c>
    </row>
    <row r="596" spans="1:2">
      <c r="A596" s="151" t="s">
        <v>1731</v>
      </c>
      <c r="B596" s="151" t="s">
        <v>1732</v>
      </c>
    </row>
    <row r="597" spans="1:2">
      <c r="A597" s="151" t="s">
        <v>1733</v>
      </c>
      <c r="B597" s="151" t="s">
        <v>1734</v>
      </c>
    </row>
    <row r="598" spans="1:2">
      <c r="A598" s="151" t="s">
        <v>1735</v>
      </c>
      <c r="B598" s="151" t="s">
        <v>1736</v>
      </c>
    </row>
    <row r="599" spans="1:2">
      <c r="A599" s="151" t="s">
        <v>1737</v>
      </c>
      <c r="B599" s="151" t="s">
        <v>1738</v>
      </c>
    </row>
    <row r="600" spans="1:2">
      <c r="A600" s="151" t="s">
        <v>1739</v>
      </c>
      <c r="B600" s="151" t="s">
        <v>1740</v>
      </c>
    </row>
    <row r="601" spans="1:2">
      <c r="A601" s="151" t="s">
        <v>1741</v>
      </c>
      <c r="B601" s="151" t="s">
        <v>1742</v>
      </c>
    </row>
    <row r="602" spans="1:2">
      <c r="A602" s="151" t="s">
        <v>1743</v>
      </c>
      <c r="B602" s="151" t="s">
        <v>1744</v>
      </c>
    </row>
    <row r="603" spans="1:2">
      <c r="A603" s="151" t="s">
        <v>1745</v>
      </c>
      <c r="B603" s="151" t="s">
        <v>1746</v>
      </c>
    </row>
    <row r="604" spans="1:2">
      <c r="A604" s="151" t="s">
        <v>1747</v>
      </c>
      <c r="B604" s="151" t="s">
        <v>1748</v>
      </c>
    </row>
    <row r="605" spans="1:2">
      <c r="A605" s="151" t="s">
        <v>1749</v>
      </c>
      <c r="B605" s="151" t="s">
        <v>1750</v>
      </c>
    </row>
    <row r="606" spans="1:2">
      <c r="A606" s="151" t="s">
        <v>1751</v>
      </c>
      <c r="B606" s="151" t="s">
        <v>1752</v>
      </c>
    </row>
    <row r="607" spans="1:2">
      <c r="A607" s="151" t="s">
        <v>1753</v>
      </c>
      <c r="B607" s="151" t="s">
        <v>1754</v>
      </c>
    </row>
    <row r="608" spans="1:2">
      <c r="A608" s="151" t="s">
        <v>1755</v>
      </c>
      <c r="B608" s="151" t="s">
        <v>1756</v>
      </c>
    </row>
    <row r="609" spans="1:2">
      <c r="A609" s="151" t="s">
        <v>1757</v>
      </c>
      <c r="B609" s="151" t="s">
        <v>1758</v>
      </c>
    </row>
    <row r="610" spans="1:2">
      <c r="A610" s="151" t="s">
        <v>1759</v>
      </c>
      <c r="B610" s="151" t="s">
        <v>1760</v>
      </c>
    </row>
    <row r="611" spans="1:2">
      <c r="A611" s="151" t="s">
        <v>1761</v>
      </c>
      <c r="B611" s="151" t="s">
        <v>1762</v>
      </c>
    </row>
    <row r="612" spans="1:2">
      <c r="A612" s="151" t="s">
        <v>1763</v>
      </c>
      <c r="B612" s="151" t="s">
        <v>1764</v>
      </c>
    </row>
    <row r="613" spans="1:2">
      <c r="A613" s="151" t="s">
        <v>1765</v>
      </c>
      <c r="B613" s="151" t="s">
        <v>1766</v>
      </c>
    </row>
    <row r="614" spans="1:2">
      <c r="A614" s="151" t="s">
        <v>1767</v>
      </c>
      <c r="B614" s="151" t="s">
        <v>1768</v>
      </c>
    </row>
    <row r="615" spans="1:2">
      <c r="A615" s="151" t="s">
        <v>1769</v>
      </c>
      <c r="B615" s="151" t="s">
        <v>1770</v>
      </c>
    </row>
    <row r="616" spans="1:2">
      <c r="A616" s="151" t="s">
        <v>1771</v>
      </c>
      <c r="B616" s="151" t="s">
        <v>1772</v>
      </c>
    </row>
    <row r="617" spans="1:2">
      <c r="A617" s="151" t="s">
        <v>1773</v>
      </c>
      <c r="B617" s="151" t="s">
        <v>1774</v>
      </c>
    </row>
    <row r="618" spans="1:2">
      <c r="A618" s="151" t="s">
        <v>1775</v>
      </c>
      <c r="B618" s="151" t="s">
        <v>1776</v>
      </c>
    </row>
    <row r="619" spans="1:2">
      <c r="A619" s="151" t="s">
        <v>1777</v>
      </c>
      <c r="B619" s="151" t="s">
        <v>1778</v>
      </c>
    </row>
    <row r="620" spans="1:2">
      <c r="A620" s="151" t="s">
        <v>1779</v>
      </c>
      <c r="B620" s="151" t="s">
        <v>1780</v>
      </c>
    </row>
    <row r="621" spans="1:2">
      <c r="A621" s="151" t="s">
        <v>1781</v>
      </c>
      <c r="B621" s="151" t="s">
        <v>1782</v>
      </c>
    </row>
    <row r="622" spans="1:2">
      <c r="A622" s="151" t="s">
        <v>1783</v>
      </c>
      <c r="B622" s="151" t="s">
        <v>1784</v>
      </c>
    </row>
    <row r="623" spans="1:2">
      <c r="A623" s="151" t="s">
        <v>1785</v>
      </c>
      <c r="B623" s="151" t="s">
        <v>1786</v>
      </c>
    </row>
    <row r="624" spans="1:2">
      <c r="A624" s="151" t="s">
        <v>1787</v>
      </c>
      <c r="B624" s="151" t="s">
        <v>1788</v>
      </c>
    </row>
    <row r="625" spans="1:2">
      <c r="A625" s="151" t="s">
        <v>1789</v>
      </c>
      <c r="B625" s="151" t="s">
        <v>1790</v>
      </c>
    </row>
    <row r="626" spans="1:2">
      <c r="A626" s="151" t="s">
        <v>1791</v>
      </c>
      <c r="B626" s="151" t="s">
        <v>1792</v>
      </c>
    </row>
    <row r="627" spans="1:2">
      <c r="A627" s="151" t="s">
        <v>1793</v>
      </c>
      <c r="B627" s="151" t="s">
        <v>296</v>
      </c>
    </row>
    <row r="628" spans="1:2">
      <c r="A628" s="151" t="s">
        <v>1794</v>
      </c>
      <c r="B628" s="151" t="s">
        <v>1795</v>
      </c>
    </row>
    <row r="629" spans="1:2">
      <c r="A629" s="151" t="s">
        <v>1796</v>
      </c>
      <c r="B629" s="151" t="s">
        <v>1797</v>
      </c>
    </row>
    <row r="630" spans="1:2">
      <c r="A630" s="151" t="s">
        <v>1798</v>
      </c>
      <c r="B630" s="151" t="s">
        <v>1799</v>
      </c>
    </row>
    <row r="631" spans="1:2">
      <c r="A631" s="151" t="s">
        <v>1800</v>
      </c>
      <c r="B631" s="151" t="s">
        <v>1801</v>
      </c>
    </row>
    <row r="632" spans="1:2">
      <c r="A632" s="151" t="s">
        <v>1802</v>
      </c>
      <c r="B632" s="151" t="s">
        <v>1803</v>
      </c>
    </row>
    <row r="633" spans="1:2">
      <c r="A633" s="151" t="s">
        <v>1804</v>
      </c>
      <c r="B633" s="151" t="s">
        <v>1805</v>
      </c>
    </row>
    <row r="634" spans="1:2">
      <c r="A634" s="151" t="s">
        <v>1806</v>
      </c>
      <c r="B634" s="151" t="s">
        <v>1807</v>
      </c>
    </row>
    <row r="635" spans="1:2">
      <c r="A635" s="151" t="s">
        <v>1808</v>
      </c>
      <c r="B635" s="151" t="s">
        <v>1809</v>
      </c>
    </row>
    <row r="636" spans="1:2">
      <c r="A636" s="151" t="s">
        <v>1810</v>
      </c>
      <c r="B636" s="151" t="s">
        <v>1811</v>
      </c>
    </row>
    <row r="637" spans="1:2">
      <c r="A637" s="151" t="s">
        <v>1812</v>
      </c>
      <c r="B637" s="151" t="s">
        <v>1813</v>
      </c>
    </row>
    <row r="638" spans="1:2">
      <c r="A638" s="151" t="s">
        <v>1814</v>
      </c>
      <c r="B638" s="151" t="s">
        <v>1815</v>
      </c>
    </row>
    <row r="639" spans="1:2">
      <c r="A639" s="151" t="s">
        <v>1816</v>
      </c>
      <c r="B639" s="151" t="s">
        <v>1817</v>
      </c>
    </row>
    <row r="640" spans="1:2">
      <c r="A640" s="151" t="s">
        <v>1818</v>
      </c>
      <c r="B640" s="151" t="s">
        <v>1819</v>
      </c>
    </row>
    <row r="641" spans="1:2">
      <c r="A641" s="151" t="s">
        <v>1820</v>
      </c>
      <c r="B641" s="151" t="s">
        <v>1821</v>
      </c>
    </row>
    <row r="642" spans="1:2">
      <c r="A642" s="151" t="s">
        <v>1822</v>
      </c>
      <c r="B642" s="151" t="s">
        <v>1823</v>
      </c>
    </row>
    <row r="643" spans="1:2">
      <c r="A643" s="151" t="s">
        <v>1824</v>
      </c>
      <c r="B643" s="151" t="s">
        <v>1825</v>
      </c>
    </row>
    <row r="644" spans="1:2">
      <c r="A644" s="151" t="s">
        <v>1826</v>
      </c>
      <c r="B644" s="151" t="s">
        <v>1827</v>
      </c>
    </row>
    <row r="645" spans="1:2">
      <c r="A645" s="151" t="s">
        <v>1828</v>
      </c>
      <c r="B645" s="151" t="s">
        <v>1829</v>
      </c>
    </row>
    <row r="646" spans="1:2">
      <c r="A646" s="151" t="s">
        <v>1830</v>
      </c>
      <c r="B646" s="151" t="s">
        <v>1831</v>
      </c>
    </row>
    <row r="647" spans="1:2">
      <c r="A647" s="151" t="s">
        <v>1832</v>
      </c>
      <c r="B647" s="151" t="s">
        <v>1833</v>
      </c>
    </row>
    <row r="648" spans="1:2">
      <c r="A648" s="151" t="s">
        <v>1834</v>
      </c>
      <c r="B648" s="151" t="s">
        <v>1835</v>
      </c>
    </row>
    <row r="649" spans="1:2">
      <c r="A649" s="151" t="s">
        <v>1836</v>
      </c>
      <c r="B649" s="151" t="s">
        <v>1837</v>
      </c>
    </row>
    <row r="650" spans="1:2">
      <c r="A650" s="151" t="s">
        <v>1838</v>
      </c>
      <c r="B650" s="151" t="s">
        <v>1839</v>
      </c>
    </row>
    <row r="651" spans="1:2">
      <c r="A651" s="151" t="s">
        <v>1840</v>
      </c>
      <c r="B651" s="151" t="s">
        <v>1841</v>
      </c>
    </row>
    <row r="652" spans="1:2">
      <c r="A652" s="151" t="s">
        <v>1842</v>
      </c>
      <c r="B652" s="151" t="s">
        <v>1843</v>
      </c>
    </row>
    <row r="653" spans="1:2">
      <c r="A653" s="151" t="s">
        <v>1844</v>
      </c>
      <c r="B653" s="151" t="s">
        <v>1845</v>
      </c>
    </row>
    <row r="654" spans="1:2">
      <c r="A654" s="151" t="s">
        <v>1846</v>
      </c>
      <c r="B654" s="151" t="s">
        <v>1847</v>
      </c>
    </row>
    <row r="655" spans="1:2">
      <c r="A655" s="151" t="s">
        <v>1848</v>
      </c>
      <c r="B655" s="151" t="s">
        <v>1849</v>
      </c>
    </row>
    <row r="656" spans="1:2">
      <c r="A656" s="151" t="s">
        <v>1850</v>
      </c>
      <c r="B656" s="151" t="s">
        <v>1851</v>
      </c>
    </row>
    <row r="657" spans="1:2">
      <c r="A657" s="151" t="s">
        <v>1852</v>
      </c>
      <c r="B657" s="151" t="s">
        <v>1853</v>
      </c>
    </row>
    <row r="658" spans="1:2">
      <c r="A658" s="151" t="s">
        <v>1854</v>
      </c>
      <c r="B658" s="151" t="s">
        <v>1855</v>
      </c>
    </row>
    <row r="659" spans="1:2">
      <c r="A659" s="151" t="s">
        <v>1856</v>
      </c>
      <c r="B659" s="151" t="s">
        <v>1857</v>
      </c>
    </row>
    <row r="660" spans="1:2">
      <c r="A660" s="151" t="s">
        <v>1858</v>
      </c>
      <c r="B660" s="151" t="s">
        <v>1859</v>
      </c>
    </row>
    <row r="661" spans="1:2">
      <c r="A661" s="151" t="s">
        <v>1860</v>
      </c>
      <c r="B661" s="151" t="s">
        <v>1861</v>
      </c>
    </row>
    <row r="662" spans="1:2">
      <c r="A662" s="151" t="s">
        <v>1862</v>
      </c>
      <c r="B662" s="151" t="s">
        <v>1863</v>
      </c>
    </row>
    <row r="663" spans="1:2">
      <c r="A663" s="151" t="s">
        <v>1864</v>
      </c>
      <c r="B663" s="151" t="s">
        <v>1865</v>
      </c>
    </row>
    <row r="664" spans="1:2">
      <c r="A664" s="151" t="s">
        <v>1866</v>
      </c>
      <c r="B664" s="151" t="s">
        <v>1867</v>
      </c>
    </row>
    <row r="665" spans="1:2">
      <c r="A665" s="151" t="s">
        <v>1868</v>
      </c>
      <c r="B665" s="151" t="s">
        <v>1869</v>
      </c>
    </row>
    <row r="666" spans="1:2">
      <c r="A666" s="151" t="s">
        <v>1870</v>
      </c>
      <c r="B666" s="151" t="s">
        <v>1871</v>
      </c>
    </row>
    <row r="667" spans="1:2">
      <c r="A667" s="151" t="s">
        <v>1872</v>
      </c>
      <c r="B667" s="151" t="s">
        <v>1873</v>
      </c>
    </row>
    <row r="668" spans="1:2">
      <c r="A668" s="151" t="s">
        <v>1874</v>
      </c>
      <c r="B668" s="151" t="s">
        <v>1875</v>
      </c>
    </row>
    <row r="669" spans="1:2">
      <c r="A669" s="151" t="s">
        <v>1876</v>
      </c>
      <c r="B669" s="151" t="s">
        <v>1877</v>
      </c>
    </row>
    <row r="670" spans="1:2">
      <c r="A670" s="151" t="s">
        <v>1878</v>
      </c>
      <c r="B670" s="151" t="s">
        <v>1879</v>
      </c>
    </row>
    <row r="671" spans="1:2">
      <c r="A671" s="151" t="s">
        <v>1880</v>
      </c>
      <c r="B671" s="151" t="s">
        <v>1881</v>
      </c>
    </row>
    <row r="672" spans="1:2">
      <c r="A672" s="151" t="s">
        <v>1882</v>
      </c>
      <c r="B672" s="151" t="s">
        <v>1883</v>
      </c>
    </row>
    <row r="673" spans="1:2">
      <c r="A673" s="151" t="s">
        <v>1884</v>
      </c>
      <c r="B673" s="151" t="s">
        <v>1885</v>
      </c>
    </row>
    <row r="674" spans="1:2">
      <c r="A674" s="151" t="s">
        <v>1886</v>
      </c>
      <c r="B674" s="151" t="s">
        <v>1887</v>
      </c>
    </row>
    <row r="675" spans="1:2">
      <c r="A675" s="151" t="s">
        <v>1888</v>
      </c>
      <c r="B675" s="151" t="s">
        <v>1889</v>
      </c>
    </row>
    <row r="676" spans="1:2">
      <c r="A676" s="151" t="s">
        <v>1890</v>
      </c>
      <c r="B676" s="151" t="s">
        <v>1891</v>
      </c>
    </row>
    <row r="677" spans="1:2">
      <c r="A677" s="151" t="s">
        <v>1892</v>
      </c>
      <c r="B677" s="151" t="s">
        <v>1893</v>
      </c>
    </row>
    <row r="678" spans="1:2">
      <c r="A678" s="151" t="s">
        <v>1894</v>
      </c>
      <c r="B678" s="151" t="s">
        <v>1895</v>
      </c>
    </row>
    <row r="679" spans="1:2">
      <c r="A679" s="151" t="s">
        <v>1896</v>
      </c>
      <c r="B679" s="151" t="s">
        <v>1897</v>
      </c>
    </row>
    <row r="680" spans="1:2">
      <c r="A680" s="151" t="s">
        <v>1898</v>
      </c>
      <c r="B680" s="151" t="s">
        <v>1899</v>
      </c>
    </row>
    <row r="681" spans="1:2">
      <c r="A681" s="151" t="s">
        <v>1900</v>
      </c>
      <c r="B681" s="151" t="s">
        <v>1901</v>
      </c>
    </row>
    <row r="682" spans="1:2">
      <c r="A682" s="151" t="s">
        <v>1902</v>
      </c>
      <c r="B682" s="151" t="s">
        <v>1903</v>
      </c>
    </row>
    <row r="683" spans="1:2">
      <c r="A683" s="151" t="s">
        <v>1904</v>
      </c>
      <c r="B683" s="151" t="s">
        <v>1905</v>
      </c>
    </row>
    <row r="684" spans="1:2">
      <c r="A684" s="151" t="s">
        <v>1906</v>
      </c>
      <c r="B684" s="151" t="s">
        <v>1907</v>
      </c>
    </row>
    <row r="685" spans="1:2">
      <c r="A685" s="151" t="s">
        <v>1908</v>
      </c>
      <c r="B685" s="151" t="s">
        <v>1909</v>
      </c>
    </row>
    <row r="686" spans="1:2">
      <c r="A686" s="151" t="s">
        <v>1910</v>
      </c>
      <c r="B686" s="151" t="s">
        <v>1911</v>
      </c>
    </row>
    <row r="687" spans="1:2">
      <c r="A687" s="151" t="s">
        <v>1912</v>
      </c>
      <c r="B687" s="151" t="s">
        <v>1913</v>
      </c>
    </row>
    <row r="688" spans="1:2">
      <c r="A688" s="151" t="s">
        <v>1914</v>
      </c>
      <c r="B688" s="151" t="s">
        <v>1915</v>
      </c>
    </row>
    <row r="689" spans="1:2">
      <c r="A689" s="151" t="s">
        <v>1916</v>
      </c>
      <c r="B689" s="151" t="s">
        <v>1917</v>
      </c>
    </row>
    <row r="690" spans="1:2">
      <c r="A690" s="151" t="s">
        <v>1918</v>
      </c>
      <c r="B690" s="151" t="s">
        <v>1919</v>
      </c>
    </row>
    <row r="691" spans="1:2">
      <c r="A691" s="151" t="s">
        <v>1920</v>
      </c>
      <c r="B691" s="151" t="s">
        <v>1921</v>
      </c>
    </row>
    <row r="692" spans="1:2">
      <c r="A692" s="151" t="s">
        <v>1922</v>
      </c>
      <c r="B692" s="151" t="s">
        <v>1923</v>
      </c>
    </row>
    <row r="693" spans="1:2">
      <c r="A693" s="151" t="s">
        <v>1924</v>
      </c>
      <c r="B693" s="151" t="s">
        <v>1925</v>
      </c>
    </row>
    <row r="694" spans="1:2">
      <c r="A694" s="151" t="s">
        <v>1926</v>
      </c>
      <c r="B694" s="151" t="s">
        <v>1927</v>
      </c>
    </row>
    <row r="695" spans="1:2">
      <c r="A695" s="151" t="s">
        <v>1928</v>
      </c>
      <c r="B695" s="151" t="s">
        <v>1929</v>
      </c>
    </row>
    <row r="696" spans="1:2">
      <c r="A696" s="151" t="s">
        <v>1930</v>
      </c>
      <c r="B696" s="151" t="s">
        <v>1931</v>
      </c>
    </row>
    <row r="697" spans="1:2">
      <c r="A697" s="151" t="s">
        <v>1932</v>
      </c>
      <c r="B697" s="151" t="s">
        <v>1933</v>
      </c>
    </row>
    <row r="698" spans="1:2">
      <c r="A698" s="151" t="s">
        <v>1934</v>
      </c>
      <c r="B698" s="151" t="s">
        <v>1935</v>
      </c>
    </row>
    <row r="699" spans="1:2">
      <c r="A699" s="151" t="s">
        <v>1936</v>
      </c>
      <c r="B699" s="151" t="s">
        <v>1937</v>
      </c>
    </row>
    <row r="700" spans="1:2">
      <c r="A700" s="151" t="s">
        <v>1938</v>
      </c>
      <c r="B700" s="151" t="s">
        <v>1939</v>
      </c>
    </row>
    <row r="701" spans="1:2">
      <c r="A701" s="151" t="s">
        <v>1940</v>
      </c>
      <c r="B701" s="151" t="s">
        <v>1941</v>
      </c>
    </row>
    <row r="702" spans="1:2">
      <c r="A702" s="151" t="s">
        <v>1942</v>
      </c>
      <c r="B702" s="151" t="s">
        <v>1943</v>
      </c>
    </row>
    <row r="703" spans="1:2">
      <c r="A703" s="151" t="s">
        <v>1944</v>
      </c>
      <c r="B703" s="151" t="s">
        <v>1945</v>
      </c>
    </row>
    <row r="704" spans="1:2">
      <c r="A704" s="151" t="s">
        <v>1946</v>
      </c>
      <c r="B704" s="151" t="s">
        <v>1947</v>
      </c>
    </row>
    <row r="705" spans="1:2">
      <c r="A705" s="151" t="s">
        <v>1948</v>
      </c>
      <c r="B705" s="151" t="s">
        <v>1949</v>
      </c>
    </row>
    <row r="706" spans="1:2">
      <c r="A706" s="151" t="s">
        <v>1950</v>
      </c>
      <c r="B706" s="151" t="s">
        <v>1951</v>
      </c>
    </row>
    <row r="707" spans="1:2">
      <c r="A707" s="151" t="s">
        <v>1952</v>
      </c>
      <c r="B707" s="151" t="s">
        <v>1953</v>
      </c>
    </row>
    <row r="708" spans="1:2">
      <c r="A708" s="151" t="s">
        <v>1954</v>
      </c>
      <c r="B708" s="151" t="s">
        <v>1955</v>
      </c>
    </row>
    <row r="709" spans="1:2">
      <c r="A709" s="151" t="s">
        <v>1956</v>
      </c>
      <c r="B709" s="151" t="s">
        <v>1957</v>
      </c>
    </row>
    <row r="710" spans="1:2">
      <c r="A710" s="151" t="s">
        <v>1958</v>
      </c>
      <c r="B710" s="151" t="s">
        <v>1959</v>
      </c>
    </row>
    <row r="711" spans="1:2">
      <c r="A711" s="151" t="s">
        <v>1960</v>
      </c>
      <c r="B711" s="151" t="s">
        <v>1961</v>
      </c>
    </row>
    <row r="712" spans="1:2">
      <c r="A712" s="151" t="s">
        <v>1962</v>
      </c>
      <c r="B712" s="151" t="s">
        <v>1963</v>
      </c>
    </row>
    <row r="713" spans="1:2">
      <c r="A713" s="151" t="s">
        <v>1964</v>
      </c>
      <c r="B713" s="151" t="s">
        <v>1965</v>
      </c>
    </row>
    <row r="714" spans="1:2">
      <c r="A714" s="151" t="s">
        <v>1966</v>
      </c>
      <c r="B714" s="151" t="s">
        <v>1967</v>
      </c>
    </row>
    <row r="715" spans="1:2">
      <c r="A715" s="151" t="s">
        <v>1968</v>
      </c>
      <c r="B715" s="151" t="s">
        <v>1969</v>
      </c>
    </row>
    <row r="716" spans="1:2">
      <c r="A716" s="151" t="s">
        <v>1970</v>
      </c>
      <c r="B716" s="151" t="s">
        <v>1971</v>
      </c>
    </row>
    <row r="717" spans="1:2">
      <c r="A717" s="151" t="s">
        <v>1972</v>
      </c>
      <c r="B717" s="151" t="s">
        <v>1973</v>
      </c>
    </row>
    <row r="718" spans="1:2">
      <c r="A718" s="151" t="s">
        <v>1974</v>
      </c>
      <c r="B718" s="151" t="s">
        <v>1975</v>
      </c>
    </row>
    <row r="719" spans="1:2">
      <c r="A719" s="151" t="s">
        <v>1976</v>
      </c>
      <c r="B719" s="151" t="s">
        <v>1977</v>
      </c>
    </row>
    <row r="720" spans="1:2">
      <c r="A720" s="151" t="s">
        <v>1978</v>
      </c>
      <c r="B720" s="151" t="s">
        <v>1979</v>
      </c>
    </row>
    <row r="721" spans="1:2">
      <c r="A721" s="151" t="s">
        <v>1980</v>
      </c>
      <c r="B721" s="151" t="s">
        <v>1981</v>
      </c>
    </row>
    <row r="722" spans="1:2">
      <c r="A722" s="151" t="s">
        <v>1982</v>
      </c>
      <c r="B722" s="151" t="s">
        <v>1983</v>
      </c>
    </row>
    <row r="723" spans="1:2">
      <c r="A723" s="151" t="s">
        <v>1984</v>
      </c>
      <c r="B723" s="151" t="s">
        <v>1985</v>
      </c>
    </row>
    <row r="724" spans="1:2">
      <c r="A724" s="151" t="s">
        <v>1986</v>
      </c>
      <c r="B724" s="151" t="s">
        <v>1987</v>
      </c>
    </row>
    <row r="725" spans="1:2">
      <c r="A725" s="151" t="s">
        <v>1988</v>
      </c>
      <c r="B725" s="151" t="s">
        <v>1989</v>
      </c>
    </row>
    <row r="726" spans="1:2">
      <c r="A726" s="151" t="s">
        <v>1990</v>
      </c>
      <c r="B726" s="151" t="s">
        <v>1991</v>
      </c>
    </row>
    <row r="727" spans="1:2">
      <c r="A727" s="151" t="s">
        <v>1992</v>
      </c>
      <c r="B727" s="151" t="s">
        <v>1993</v>
      </c>
    </row>
    <row r="728" spans="1:2">
      <c r="A728" s="151" t="s">
        <v>1994</v>
      </c>
      <c r="B728" s="151" t="s">
        <v>1995</v>
      </c>
    </row>
    <row r="729" spans="1:2">
      <c r="A729" s="151" t="s">
        <v>1996</v>
      </c>
      <c r="B729" s="151" t="s">
        <v>1997</v>
      </c>
    </row>
    <row r="730" spans="1:2">
      <c r="A730" s="151" t="s">
        <v>1998</v>
      </c>
      <c r="B730" s="151" t="s">
        <v>1999</v>
      </c>
    </row>
    <row r="731" spans="1:2">
      <c r="A731" s="151" t="s">
        <v>2000</v>
      </c>
      <c r="B731" s="151" t="s">
        <v>2001</v>
      </c>
    </row>
    <row r="732" spans="1:2">
      <c r="A732" s="151" t="s">
        <v>2002</v>
      </c>
      <c r="B732" s="151" t="s">
        <v>2003</v>
      </c>
    </row>
    <row r="733" spans="1:2">
      <c r="A733" s="151" t="s">
        <v>2004</v>
      </c>
      <c r="B733" s="151" t="s">
        <v>2005</v>
      </c>
    </row>
    <row r="734" spans="1:2">
      <c r="A734" s="151" t="s">
        <v>2006</v>
      </c>
      <c r="B734" s="151" t="s">
        <v>2007</v>
      </c>
    </row>
    <row r="735" spans="1:2">
      <c r="A735" s="151" t="s">
        <v>2008</v>
      </c>
      <c r="B735" s="151" t="s">
        <v>2009</v>
      </c>
    </row>
    <row r="736" spans="1:2">
      <c r="A736" s="151" t="s">
        <v>2010</v>
      </c>
      <c r="B736" s="151" t="s">
        <v>2011</v>
      </c>
    </row>
    <row r="737" spans="1:2">
      <c r="A737" s="151" t="s">
        <v>2012</v>
      </c>
      <c r="B737" s="151" t="s">
        <v>2013</v>
      </c>
    </row>
    <row r="738" spans="1:2">
      <c r="A738" s="151" t="s">
        <v>2014</v>
      </c>
      <c r="B738" s="151" t="s">
        <v>2015</v>
      </c>
    </row>
    <row r="739" spans="1:2">
      <c r="A739" s="151" t="s">
        <v>2016</v>
      </c>
      <c r="B739" s="151" t="s">
        <v>2017</v>
      </c>
    </row>
    <row r="740" spans="1:2">
      <c r="A740" s="151" t="s">
        <v>2018</v>
      </c>
      <c r="B740" s="151" t="s">
        <v>2019</v>
      </c>
    </row>
    <row r="741" spans="1:2">
      <c r="A741" s="151" t="s">
        <v>2020</v>
      </c>
      <c r="B741" s="151" t="s">
        <v>2021</v>
      </c>
    </row>
    <row r="742" spans="1:2">
      <c r="A742" s="151" t="s">
        <v>2022</v>
      </c>
      <c r="B742" s="151" t="s">
        <v>2023</v>
      </c>
    </row>
    <row r="743" spans="1:2">
      <c r="A743" s="151" t="s">
        <v>2024</v>
      </c>
      <c r="B743" s="151" t="s">
        <v>2025</v>
      </c>
    </row>
    <row r="744" spans="1:2">
      <c r="A744" s="151" t="s">
        <v>2026</v>
      </c>
      <c r="B744" s="151" t="s">
        <v>2027</v>
      </c>
    </row>
    <row r="745" spans="1:2">
      <c r="A745" s="151" t="s">
        <v>2028</v>
      </c>
      <c r="B745" s="151" t="s">
        <v>2029</v>
      </c>
    </row>
    <row r="746" spans="1:2">
      <c r="A746" s="151" t="s">
        <v>2030</v>
      </c>
      <c r="B746" s="151" t="s">
        <v>2031</v>
      </c>
    </row>
    <row r="747" spans="1:2">
      <c r="A747" s="151" t="s">
        <v>2032</v>
      </c>
      <c r="B747" s="151" t="s">
        <v>2033</v>
      </c>
    </row>
    <row r="748" spans="1:2">
      <c r="A748" s="151" t="s">
        <v>2034</v>
      </c>
      <c r="B748" s="151" t="s">
        <v>2035</v>
      </c>
    </row>
    <row r="749" spans="1:2">
      <c r="A749" s="151" t="s">
        <v>2036</v>
      </c>
      <c r="B749" s="151" t="s">
        <v>2037</v>
      </c>
    </row>
    <row r="750" spans="1:2">
      <c r="A750" s="151" t="s">
        <v>2038</v>
      </c>
      <c r="B750" s="151" t="s">
        <v>2039</v>
      </c>
    </row>
    <row r="751" spans="1:2">
      <c r="A751" s="151" t="s">
        <v>2040</v>
      </c>
      <c r="B751" s="151" t="s">
        <v>2041</v>
      </c>
    </row>
    <row r="752" spans="1:2">
      <c r="A752" s="151" t="s">
        <v>2042</v>
      </c>
      <c r="B752" s="151" t="s">
        <v>2043</v>
      </c>
    </row>
    <row r="753" spans="1:2">
      <c r="A753" s="151" t="s">
        <v>2044</v>
      </c>
      <c r="B753" s="151" t="s">
        <v>2045</v>
      </c>
    </row>
    <row r="754" spans="1:2">
      <c r="A754" s="151" t="s">
        <v>2046</v>
      </c>
      <c r="B754" s="151" t="s">
        <v>2047</v>
      </c>
    </row>
    <row r="755" spans="1:2">
      <c r="A755" s="151" t="s">
        <v>2048</v>
      </c>
      <c r="B755" s="151" t="s">
        <v>2049</v>
      </c>
    </row>
    <row r="756" spans="1:2">
      <c r="A756" s="151" t="s">
        <v>2050</v>
      </c>
      <c r="B756" s="151" t="s">
        <v>2051</v>
      </c>
    </row>
    <row r="757" spans="1:2">
      <c r="A757" s="151" t="s">
        <v>2052</v>
      </c>
      <c r="B757" s="151" t="s">
        <v>2053</v>
      </c>
    </row>
    <row r="758" spans="1:2">
      <c r="A758" s="151" t="s">
        <v>2054</v>
      </c>
      <c r="B758" s="151" t="s">
        <v>2055</v>
      </c>
    </row>
    <row r="759" spans="1:2">
      <c r="A759" s="151" t="s">
        <v>2056</v>
      </c>
      <c r="B759" s="151" t="s">
        <v>2057</v>
      </c>
    </row>
    <row r="760" spans="1:2">
      <c r="A760" s="151" t="s">
        <v>2058</v>
      </c>
      <c r="B760" s="151" t="s">
        <v>2059</v>
      </c>
    </row>
    <row r="761" spans="1:2">
      <c r="A761" s="151" t="s">
        <v>2060</v>
      </c>
      <c r="B761" s="151" t="s">
        <v>2061</v>
      </c>
    </row>
    <row r="762" spans="1:2">
      <c r="A762" s="151" t="s">
        <v>2062</v>
      </c>
      <c r="B762" s="151" t="s">
        <v>2063</v>
      </c>
    </row>
    <row r="763" spans="1:2">
      <c r="A763" s="151" t="s">
        <v>2064</v>
      </c>
      <c r="B763" s="151" t="s">
        <v>2065</v>
      </c>
    </row>
    <row r="764" spans="1:2">
      <c r="A764" s="151" t="s">
        <v>2066</v>
      </c>
      <c r="B764" s="151" t="s">
        <v>2067</v>
      </c>
    </row>
    <row r="765" spans="1:2">
      <c r="A765" s="151" t="s">
        <v>2068</v>
      </c>
      <c r="B765" s="151" t="s">
        <v>2069</v>
      </c>
    </row>
    <row r="766" spans="1:2">
      <c r="A766" s="151" t="s">
        <v>2070</v>
      </c>
      <c r="B766" s="151" t="s">
        <v>2071</v>
      </c>
    </row>
    <row r="767" spans="1:2">
      <c r="A767" s="151" t="s">
        <v>2072</v>
      </c>
      <c r="B767" s="151" t="s">
        <v>2073</v>
      </c>
    </row>
    <row r="768" spans="1:2">
      <c r="A768" s="151" t="s">
        <v>2074</v>
      </c>
      <c r="B768" s="151" t="s">
        <v>2075</v>
      </c>
    </row>
    <row r="769" spans="1:2">
      <c r="A769" s="151" t="s">
        <v>2076</v>
      </c>
      <c r="B769" s="151" t="s">
        <v>2077</v>
      </c>
    </row>
    <row r="770" spans="1:2">
      <c r="A770" s="151" t="s">
        <v>2078</v>
      </c>
      <c r="B770" s="151" t="s">
        <v>2079</v>
      </c>
    </row>
    <row r="771" spans="1:2">
      <c r="A771" s="151" t="s">
        <v>2080</v>
      </c>
      <c r="B771" s="151" t="s">
        <v>2081</v>
      </c>
    </row>
    <row r="772" spans="1:2">
      <c r="A772" s="151" t="s">
        <v>2082</v>
      </c>
      <c r="B772" s="151" t="s">
        <v>2083</v>
      </c>
    </row>
    <row r="773" spans="1:2">
      <c r="A773" s="151" t="s">
        <v>2084</v>
      </c>
      <c r="B773" s="151" t="s">
        <v>2085</v>
      </c>
    </row>
    <row r="774" spans="1:2">
      <c r="A774" s="151" t="s">
        <v>2086</v>
      </c>
      <c r="B774" s="151" t="s">
        <v>2087</v>
      </c>
    </row>
    <row r="775" spans="1:2">
      <c r="A775" s="151" t="s">
        <v>2088</v>
      </c>
      <c r="B775" s="151" t="s">
        <v>2089</v>
      </c>
    </row>
    <row r="776" spans="1:2">
      <c r="A776" s="151" t="s">
        <v>2090</v>
      </c>
      <c r="B776" s="151" t="s">
        <v>2091</v>
      </c>
    </row>
    <row r="777" spans="1:2">
      <c r="A777" s="151" t="s">
        <v>2092</v>
      </c>
      <c r="B777" s="151" t="s">
        <v>2093</v>
      </c>
    </row>
    <row r="778" spans="1:2">
      <c r="A778" s="151" t="s">
        <v>2094</v>
      </c>
      <c r="B778" s="151" t="s">
        <v>2095</v>
      </c>
    </row>
    <row r="779" spans="1:2">
      <c r="A779" s="151" t="s">
        <v>2096</v>
      </c>
      <c r="B779" s="151" t="s">
        <v>2097</v>
      </c>
    </row>
    <row r="780" spans="1:2">
      <c r="A780" s="151" t="s">
        <v>2098</v>
      </c>
      <c r="B780" s="151" t="s">
        <v>2099</v>
      </c>
    </row>
    <row r="781" spans="1:2">
      <c r="A781" s="151" t="s">
        <v>2100</v>
      </c>
      <c r="B781" s="151" t="s">
        <v>2101</v>
      </c>
    </row>
    <row r="782" spans="1:2">
      <c r="A782" s="151" t="s">
        <v>2102</v>
      </c>
      <c r="B782" s="151" t="s">
        <v>2103</v>
      </c>
    </row>
    <row r="783" spans="1:2">
      <c r="A783" s="151" t="s">
        <v>2104</v>
      </c>
      <c r="B783" s="151" t="s">
        <v>2105</v>
      </c>
    </row>
    <row r="784" spans="1:2">
      <c r="A784" s="151" t="s">
        <v>2106</v>
      </c>
      <c r="B784" s="151" t="s">
        <v>2107</v>
      </c>
    </row>
    <row r="785" spans="1:2">
      <c r="A785" s="151" t="s">
        <v>2108</v>
      </c>
      <c r="B785" s="151" t="s">
        <v>2109</v>
      </c>
    </row>
    <row r="786" spans="1:2">
      <c r="A786" s="151" t="s">
        <v>2110</v>
      </c>
      <c r="B786" s="151" t="s">
        <v>2111</v>
      </c>
    </row>
    <row r="787" spans="1:2">
      <c r="A787" s="151" t="s">
        <v>2112</v>
      </c>
      <c r="B787" s="151" t="s">
        <v>2113</v>
      </c>
    </row>
    <row r="788" spans="1:2">
      <c r="A788" s="151" t="s">
        <v>2114</v>
      </c>
      <c r="B788" s="151" t="s">
        <v>2115</v>
      </c>
    </row>
    <row r="789" spans="1:2">
      <c r="A789" s="151" t="s">
        <v>2116</v>
      </c>
      <c r="B789" s="151" t="s">
        <v>2117</v>
      </c>
    </row>
    <row r="790" spans="1:2">
      <c r="A790" s="151" t="s">
        <v>2118</v>
      </c>
      <c r="B790" s="151" t="s">
        <v>2119</v>
      </c>
    </row>
    <row r="791" spans="1:2">
      <c r="A791" s="151" t="s">
        <v>2120</v>
      </c>
      <c r="B791" s="151" t="s">
        <v>2121</v>
      </c>
    </row>
    <row r="792" spans="1:2">
      <c r="A792" s="151" t="s">
        <v>2122</v>
      </c>
      <c r="B792" s="151" t="s">
        <v>2123</v>
      </c>
    </row>
    <row r="793" spans="1:2">
      <c r="A793" s="151" t="s">
        <v>2124</v>
      </c>
      <c r="B793" s="151" t="s">
        <v>2125</v>
      </c>
    </row>
    <row r="794" spans="1:2">
      <c r="A794" s="151" t="s">
        <v>2126</v>
      </c>
      <c r="B794" s="151" t="s">
        <v>2127</v>
      </c>
    </row>
    <row r="795" spans="1:2">
      <c r="A795" s="151" t="s">
        <v>2128</v>
      </c>
      <c r="B795" s="151" t="s">
        <v>2129</v>
      </c>
    </row>
    <row r="796" spans="1:2">
      <c r="A796" s="151" t="s">
        <v>2130</v>
      </c>
      <c r="B796" s="151" t="s">
        <v>2131</v>
      </c>
    </row>
    <row r="797" spans="1:2">
      <c r="A797" s="151" t="s">
        <v>2132</v>
      </c>
      <c r="B797" s="151" t="s">
        <v>2133</v>
      </c>
    </row>
    <row r="798" spans="1:2">
      <c r="A798" s="151" t="s">
        <v>2134</v>
      </c>
      <c r="B798" s="151" t="s">
        <v>2135</v>
      </c>
    </row>
    <row r="799" spans="1:2">
      <c r="A799" s="151" t="s">
        <v>2136</v>
      </c>
      <c r="B799" s="151" t="s">
        <v>2137</v>
      </c>
    </row>
    <row r="800" spans="1:2">
      <c r="A800" s="151" t="s">
        <v>2138</v>
      </c>
      <c r="B800" s="151" t="s">
        <v>2139</v>
      </c>
    </row>
    <row r="801" spans="1:2">
      <c r="A801" s="151" t="s">
        <v>2140</v>
      </c>
      <c r="B801" s="151" t="s">
        <v>2141</v>
      </c>
    </row>
    <row r="802" spans="1:2">
      <c r="A802" s="151" t="s">
        <v>2142</v>
      </c>
      <c r="B802" s="151" t="s">
        <v>2143</v>
      </c>
    </row>
    <row r="803" spans="1:2">
      <c r="A803" s="151" t="s">
        <v>2144</v>
      </c>
      <c r="B803" s="151" t="s">
        <v>2145</v>
      </c>
    </row>
    <row r="804" spans="1:2">
      <c r="A804" s="151" t="s">
        <v>2146</v>
      </c>
      <c r="B804" s="151" t="s">
        <v>2147</v>
      </c>
    </row>
    <row r="805" spans="1:2">
      <c r="A805" s="151" t="s">
        <v>2148</v>
      </c>
      <c r="B805" s="151" t="s">
        <v>2149</v>
      </c>
    </row>
    <row r="806" spans="1:2">
      <c r="A806" s="151" t="s">
        <v>2150</v>
      </c>
      <c r="B806" s="151" t="s">
        <v>2151</v>
      </c>
    </row>
    <row r="807" spans="1:2">
      <c r="A807" s="151" t="s">
        <v>2152</v>
      </c>
      <c r="B807" s="151" t="s">
        <v>2153</v>
      </c>
    </row>
    <row r="808" spans="1:2">
      <c r="A808" s="151" t="s">
        <v>2154</v>
      </c>
      <c r="B808" s="151" t="s">
        <v>2155</v>
      </c>
    </row>
    <row r="809" spans="1:2">
      <c r="A809" s="151" t="s">
        <v>2156</v>
      </c>
      <c r="B809" s="151" t="s">
        <v>2157</v>
      </c>
    </row>
    <row r="810" spans="1:2">
      <c r="A810" s="151" t="s">
        <v>2158</v>
      </c>
      <c r="B810" s="151" t="s">
        <v>2159</v>
      </c>
    </row>
    <row r="811" spans="1:2">
      <c r="A811" s="151" t="s">
        <v>2160</v>
      </c>
      <c r="B811" s="151" t="s">
        <v>2161</v>
      </c>
    </row>
    <row r="812" spans="1:2">
      <c r="A812" s="151" t="s">
        <v>2162</v>
      </c>
      <c r="B812" s="151" t="s">
        <v>2163</v>
      </c>
    </row>
    <row r="813" spans="1:2">
      <c r="A813" s="151" t="s">
        <v>2164</v>
      </c>
      <c r="B813" s="151" t="s">
        <v>2165</v>
      </c>
    </row>
    <row r="814" spans="1:2">
      <c r="A814" s="151" t="s">
        <v>2166</v>
      </c>
      <c r="B814" s="151" t="s">
        <v>2167</v>
      </c>
    </row>
    <row r="815" spans="1:2">
      <c r="A815" s="151" t="s">
        <v>2168</v>
      </c>
      <c r="B815" s="151" t="s">
        <v>2169</v>
      </c>
    </row>
    <row r="816" spans="1:2">
      <c r="A816" s="151" t="s">
        <v>2170</v>
      </c>
      <c r="B816" s="151" t="s">
        <v>2171</v>
      </c>
    </row>
    <row r="817" spans="1:2">
      <c r="A817" s="151" t="s">
        <v>2172</v>
      </c>
      <c r="B817" s="151" t="s">
        <v>2173</v>
      </c>
    </row>
    <row r="818" spans="1:2">
      <c r="A818" s="151" t="s">
        <v>2174</v>
      </c>
      <c r="B818" s="151" t="s">
        <v>2175</v>
      </c>
    </row>
    <row r="819" spans="1:2">
      <c r="A819" s="151" t="s">
        <v>2176</v>
      </c>
      <c r="B819" s="151" t="s">
        <v>2177</v>
      </c>
    </row>
    <row r="820" spans="1:2">
      <c r="A820" s="151" t="s">
        <v>2178</v>
      </c>
      <c r="B820" s="151" t="s">
        <v>2179</v>
      </c>
    </row>
    <row r="821" spans="1:2">
      <c r="A821" s="151" t="s">
        <v>2180</v>
      </c>
      <c r="B821" s="151" t="s">
        <v>2181</v>
      </c>
    </row>
    <row r="822" spans="1:2">
      <c r="A822" s="151" t="s">
        <v>2182</v>
      </c>
      <c r="B822" s="151" t="s">
        <v>2183</v>
      </c>
    </row>
    <row r="823" spans="1:2">
      <c r="A823" s="151" t="s">
        <v>2184</v>
      </c>
      <c r="B823" s="151" t="s">
        <v>2185</v>
      </c>
    </row>
    <row r="824" spans="1:2">
      <c r="A824" s="151" t="s">
        <v>2186</v>
      </c>
      <c r="B824" s="151" t="s">
        <v>2187</v>
      </c>
    </row>
    <row r="825" spans="1:2">
      <c r="A825" s="151" t="s">
        <v>2188</v>
      </c>
      <c r="B825" s="151" t="s">
        <v>2189</v>
      </c>
    </row>
    <row r="826" spans="1:2">
      <c r="A826" s="151" t="s">
        <v>2190</v>
      </c>
      <c r="B826" s="151" t="s">
        <v>2191</v>
      </c>
    </row>
    <row r="827" spans="1:2">
      <c r="A827" s="151" t="s">
        <v>2192</v>
      </c>
      <c r="B827" s="151" t="s">
        <v>2193</v>
      </c>
    </row>
    <row r="828" spans="1:2">
      <c r="A828" s="151" t="s">
        <v>2194</v>
      </c>
      <c r="B828" s="151" t="s">
        <v>2195</v>
      </c>
    </row>
    <row r="829" spans="1:2">
      <c r="A829" s="151" t="s">
        <v>2196</v>
      </c>
      <c r="B829" s="151" t="s">
        <v>2197</v>
      </c>
    </row>
    <row r="830" spans="1:2">
      <c r="A830" s="151" t="s">
        <v>2198</v>
      </c>
      <c r="B830" s="151" t="s">
        <v>2199</v>
      </c>
    </row>
    <row r="831" spans="1:2">
      <c r="A831" s="151" t="s">
        <v>2200</v>
      </c>
      <c r="B831" s="151" t="s">
        <v>2201</v>
      </c>
    </row>
    <row r="832" spans="1:2">
      <c r="A832" s="151" t="s">
        <v>2202</v>
      </c>
      <c r="B832" s="151" t="s">
        <v>2203</v>
      </c>
    </row>
    <row r="833" spans="1:2">
      <c r="A833" s="151" t="s">
        <v>2204</v>
      </c>
      <c r="B833" s="151" t="s">
        <v>2205</v>
      </c>
    </row>
    <row r="834" spans="1:2">
      <c r="A834" s="151" t="s">
        <v>2206</v>
      </c>
      <c r="B834" s="151" t="s">
        <v>2207</v>
      </c>
    </row>
    <row r="835" spans="1:2">
      <c r="A835" s="151" t="s">
        <v>2208</v>
      </c>
      <c r="B835" s="151" t="s">
        <v>2209</v>
      </c>
    </row>
    <row r="836" spans="1:2">
      <c r="A836" s="151" t="s">
        <v>2210</v>
      </c>
      <c r="B836" s="151" t="s">
        <v>2211</v>
      </c>
    </row>
    <row r="837" spans="1:2">
      <c r="A837" s="151" t="s">
        <v>2212</v>
      </c>
      <c r="B837" s="151" t="s">
        <v>2213</v>
      </c>
    </row>
    <row r="838" spans="1:2">
      <c r="A838" s="151" t="s">
        <v>2214</v>
      </c>
      <c r="B838" s="151" t="s">
        <v>2215</v>
      </c>
    </row>
    <row r="839" spans="1:2">
      <c r="A839" s="151" t="s">
        <v>2216</v>
      </c>
      <c r="B839" s="151" t="s">
        <v>2217</v>
      </c>
    </row>
    <row r="840" spans="1:2">
      <c r="A840" s="151" t="s">
        <v>2218</v>
      </c>
      <c r="B840" s="151" t="s">
        <v>2219</v>
      </c>
    </row>
    <row r="841" spans="1:2">
      <c r="A841" s="151" t="s">
        <v>2220</v>
      </c>
      <c r="B841" s="151" t="s">
        <v>2221</v>
      </c>
    </row>
    <row r="842" spans="1:2">
      <c r="A842" s="151" t="s">
        <v>2222</v>
      </c>
      <c r="B842" s="151" t="s">
        <v>2223</v>
      </c>
    </row>
    <row r="843" spans="1:2">
      <c r="A843" s="151" t="s">
        <v>156</v>
      </c>
      <c r="B843" s="151" t="s">
        <v>2224</v>
      </c>
    </row>
    <row r="844" spans="1:2">
      <c r="A844" s="151" t="s">
        <v>2225</v>
      </c>
      <c r="B844" s="151" t="s">
        <v>2226</v>
      </c>
    </row>
    <row r="845" spans="1:2">
      <c r="A845" s="151" t="s">
        <v>2227</v>
      </c>
      <c r="B845" s="151" t="s">
        <v>2228</v>
      </c>
    </row>
    <row r="846" spans="1:2">
      <c r="A846" s="151" t="s">
        <v>2229</v>
      </c>
      <c r="B846" s="151" t="s">
        <v>2230</v>
      </c>
    </row>
    <row r="847" spans="1:2">
      <c r="A847" s="151" t="s">
        <v>2231</v>
      </c>
      <c r="B847" s="151" t="s">
        <v>2232</v>
      </c>
    </row>
    <row r="848" spans="1:2">
      <c r="A848" s="151" t="s">
        <v>2233</v>
      </c>
      <c r="B848" s="151" t="s">
        <v>2234</v>
      </c>
    </row>
    <row r="849" spans="1:2">
      <c r="A849" s="151" t="s">
        <v>2235</v>
      </c>
      <c r="B849" s="151" t="s">
        <v>2236</v>
      </c>
    </row>
    <row r="850" spans="1:2">
      <c r="A850" s="151" t="s">
        <v>2237</v>
      </c>
      <c r="B850" s="151" t="s">
        <v>2238</v>
      </c>
    </row>
    <row r="851" spans="1:2">
      <c r="A851" s="151" t="s">
        <v>2239</v>
      </c>
      <c r="B851" s="151" t="s">
        <v>2240</v>
      </c>
    </row>
    <row r="852" spans="1:2">
      <c r="A852" s="151" t="s">
        <v>2241</v>
      </c>
      <c r="B852" s="151" t="s">
        <v>2242</v>
      </c>
    </row>
    <row r="853" spans="1:2">
      <c r="A853" s="151" t="s">
        <v>2243</v>
      </c>
      <c r="B853" s="151" t="s">
        <v>2244</v>
      </c>
    </row>
    <row r="854" spans="1:2">
      <c r="A854" s="151" t="s">
        <v>2245</v>
      </c>
      <c r="B854" s="151" t="s">
        <v>2246</v>
      </c>
    </row>
    <row r="855" spans="1:2">
      <c r="A855" s="151" t="s">
        <v>2247</v>
      </c>
      <c r="B855" s="151" t="s">
        <v>2248</v>
      </c>
    </row>
    <row r="856" spans="1:2">
      <c r="A856" s="151" t="s">
        <v>2249</v>
      </c>
      <c r="B856" s="151" t="s">
        <v>2250</v>
      </c>
    </row>
    <row r="857" spans="1:2">
      <c r="A857" s="151" t="s">
        <v>2251</v>
      </c>
      <c r="B857" s="151" t="s">
        <v>2252</v>
      </c>
    </row>
    <row r="858" spans="1:2">
      <c r="A858" s="151" t="s">
        <v>2253</v>
      </c>
      <c r="B858" s="151" t="s">
        <v>2254</v>
      </c>
    </row>
    <row r="859" spans="1:2">
      <c r="A859" s="151" t="s">
        <v>2255</v>
      </c>
      <c r="B859" s="151" t="s">
        <v>2256</v>
      </c>
    </row>
    <row r="860" spans="1:2">
      <c r="A860" s="151" t="s">
        <v>2257</v>
      </c>
      <c r="B860" s="151" t="s">
        <v>2258</v>
      </c>
    </row>
    <row r="861" spans="1:2">
      <c r="A861" s="151" t="s">
        <v>2259</v>
      </c>
      <c r="B861" s="151" t="s">
        <v>2260</v>
      </c>
    </row>
    <row r="862" spans="1:2">
      <c r="A862" s="151" t="s">
        <v>2261</v>
      </c>
      <c r="B862" s="151" t="s">
        <v>2262</v>
      </c>
    </row>
    <row r="863" spans="1:2">
      <c r="A863" s="151" t="s">
        <v>2263</v>
      </c>
      <c r="B863" s="151" t="s">
        <v>2264</v>
      </c>
    </row>
    <row r="864" spans="1:2">
      <c r="A864" s="151" t="s">
        <v>2265</v>
      </c>
      <c r="B864" s="151" t="s">
        <v>2266</v>
      </c>
    </row>
    <row r="865" spans="1:2">
      <c r="A865" s="151" t="s">
        <v>2267</v>
      </c>
      <c r="B865" s="151" t="s">
        <v>2268</v>
      </c>
    </row>
    <row r="866" spans="1:2">
      <c r="A866" s="151" t="s">
        <v>2269</v>
      </c>
      <c r="B866" s="151" t="s">
        <v>2270</v>
      </c>
    </row>
    <row r="867" spans="1:2">
      <c r="A867" s="151" t="s">
        <v>2271</v>
      </c>
      <c r="B867" s="151" t="s">
        <v>2272</v>
      </c>
    </row>
    <row r="868" spans="1:2">
      <c r="A868" s="151" t="s">
        <v>2273</v>
      </c>
      <c r="B868" s="151" t="s">
        <v>2274</v>
      </c>
    </row>
    <row r="869" spans="1:2">
      <c r="A869" s="151" t="s">
        <v>2275</v>
      </c>
      <c r="B869" s="151" t="s">
        <v>2276</v>
      </c>
    </row>
    <row r="870" spans="1:2">
      <c r="A870" s="151" t="s">
        <v>2277</v>
      </c>
      <c r="B870" s="151" t="s">
        <v>2278</v>
      </c>
    </row>
    <row r="871" spans="1:2">
      <c r="A871" s="151" t="s">
        <v>2279</v>
      </c>
      <c r="B871" s="151" t="s">
        <v>2280</v>
      </c>
    </row>
    <row r="872" spans="1:2">
      <c r="A872" s="151" t="s">
        <v>2281</v>
      </c>
      <c r="B872" s="151" t="s">
        <v>372</v>
      </c>
    </row>
    <row r="873" spans="1:2">
      <c r="A873" s="151" t="s">
        <v>2282</v>
      </c>
      <c r="B873" s="151" t="s">
        <v>2283</v>
      </c>
    </row>
    <row r="874" spans="1:2">
      <c r="A874" s="151" t="s">
        <v>2284</v>
      </c>
      <c r="B874" s="151" t="s">
        <v>2285</v>
      </c>
    </row>
    <row r="875" spans="1:2">
      <c r="A875" s="151" t="s">
        <v>2286</v>
      </c>
      <c r="B875" s="151" t="s">
        <v>2287</v>
      </c>
    </row>
    <row r="876" spans="1:2">
      <c r="A876" s="151" t="s">
        <v>2288</v>
      </c>
      <c r="B876" s="151" t="s">
        <v>2289</v>
      </c>
    </row>
    <row r="877" spans="1:2">
      <c r="A877" s="151" t="s">
        <v>2290</v>
      </c>
      <c r="B877" s="151" t="s">
        <v>2291</v>
      </c>
    </row>
    <row r="878" spans="1:2">
      <c r="A878" s="151" t="s">
        <v>2292</v>
      </c>
      <c r="B878" s="151" t="s">
        <v>2293</v>
      </c>
    </row>
    <row r="879" spans="1:2">
      <c r="A879" s="151" t="s">
        <v>2294</v>
      </c>
      <c r="B879" s="151" t="s">
        <v>2295</v>
      </c>
    </row>
    <row r="880" spans="1:2">
      <c r="A880" s="151" t="s">
        <v>2296</v>
      </c>
      <c r="B880" s="151" t="s">
        <v>2297</v>
      </c>
    </row>
    <row r="881" spans="1:2">
      <c r="A881" s="151" t="s">
        <v>2298</v>
      </c>
      <c r="B881" s="151" t="s">
        <v>2299</v>
      </c>
    </row>
    <row r="882" spans="1:2">
      <c r="A882" s="151" t="s">
        <v>2300</v>
      </c>
      <c r="B882" s="151" t="s">
        <v>2301</v>
      </c>
    </row>
    <row r="883" spans="1:2">
      <c r="A883" s="151" t="s">
        <v>2302</v>
      </c>
      <c r="B883" s="151" t="s">
        <v>2303</v>
      </c>
    </row>
    <row r="884" spans="1:2">
      <c r="A884" s="151" t="s">
        <v>2304</v>
      </c>
      <c r="B884" s="151" t="s">
        <v>2305</v>
      </c>
    </row>
    <row r="885" spans="1:2">
      <c r="A885" s="151" t="s">
        <v>2306</v>
      </c>
      <c r="B885" s="151" t="s">
        <v>2307</v>
      </c>
    </row>
    <row r="886" spans="1:2">
      <c r="A886" s="151" t="s">
        <v>2308</v>
      </c>
      <c r="B886" s="151" t="s">
        <v>2309</v>
      </c>
    </row>
    <row r="887" spans="1:2">
      <c r="A887" s="151" t="s">
        <v>2310</v>
      </c>
      <c r="B887" s="151" t="s">
        <v>2311</v>
      </c>
    </row>
    <row r="888" spans="1:2">
      <c r="A888" s="151" t="s">
        <v>2312</v>
      </c>
      <c r="B888" s="151" t="s">
        <v>2313</v>
      </c>
    </row>
    <row r="889" spans="1:2">
      <c r="A889" s="151" t="s">
        <v>2314</v>
      </c>
      <c r="B889" s="151" t="s">
        <v>2315</v>
      </c>
    </row>
    <row r="890" spans="1:2">
      <c r="A890" s="151" t="s">
        <v>2316</v>
      </c>
      <c r="B890" s="151" t="s">
        <v>2317</v>
      </c>
    </row>
    <row r="891" spans="1:2">
      <c r="A891" s="151" t="s">
        <v>2318</v>
      </c>
      <c r="B891" s="151" t="s">
        <v>2319</v>
      </c>
    </row>
    <row r="892" spans="1:2">
      <c r="A892" s="151" t="s">
        <v>2320</v>
      </c>
      <c r="B892" s="151" t="s">
        <v>2321</v>
      </c>
    </row>
    <row r="893" spans="1:2">
      <c r="A893" s="151" t="s">
        <v>2322</v>
      </c>
      <c r="B893" s="151" t="s">
        <v>2323</v>
      </c>
    </row>
    <row r="894" spans="1:2">
      <c r="A894" s="151" t="s">
        <v>2324</v>
      </c>
      <c r="B894" s="151" t="s">
        <v>2325</v>
      </c>
    </row>
    <row r="895" spans="1:2">
      <c r="A895" s="151" t="s">
        <v>2326</v>
      </c>
      <c r="B895" s="151" t="s">
        <v>2327</v>
      </c>
    </row>
    <row r="896" spans="1:2">
      <c r="A896" s="151" t="s">
        <v>2328</v>
      </c>
      <c r="B896" s="151" t="s">
        <v>2329</v>
      </c>
    </row>
    <row r="897" spans="1:2">
      <c r="A897" s="151" t="s">
        <v>2330</v>
      </c>
      <c r="B897" s="151" t="s">
        <v>2331</v>
      </c>
    </row>
    <row r="898" spans="1:2">
      <c r="A898" s="151" t="s">
        <v>2332</v>
      </c>
      <c r="B898" s="151" t="s">
        <v>2333</v>
      </c>
    </row>
    <row r="899" spans="1:2">
      <c r="A899" s="151" t="s">
        <v>2334</v>
      </c>
      <c r="B899" s="151" t="s">
        <v>2335</v>
      </c>
    </row>
    <row r="900" spans="1:2">
      <c r="A900" s="151" t="s">
        <v>2336</v>
      </c>
      <c r="B900" s="151" t="s">
        <v>2337</v>
      </c>
    </row>
    <row r="901" spans="1:2">
      <c r="A901" s="151" t="s">
        <v>2338</v>
      </c>
      <c r="B901" s="151" t="s">
        <v>2339</v>
      </c>
    </row>
    <row r="902" spans="1:2">
      <c r="A902" s="151" t="s">
        <v>2340</v>
      </c>
      <c r="B902" s="151" t="s">
        <v>2341</v>
      </c>
    </row>
    <row r="903" spans="1:2">
      <c r="A903" s="151" t="s">
        <v>2342</v>
      </c>
      <c r="B903" s="151" t="s">
        <v>2343</v>
      </c>
    </row>
    <row r="904" spans="1:2">
      <c r="A904" s="151" t="s">
        <v>2344</v>
      </c>
      <c r="B904" s="151" t="s">
        <v>2345</v>
      </c>
    </row>
    <row r="905" spans="1:2">
      <c r="A905" s="151" t="s">
        <v>2346</v>
      </c>
      <c r="B905" s="151" t="s">
        <v>2347</v>
      </c>
    </row>
    <row r="906" spans="1:2">
      <c r="A906" s="151" t="s">
        <v>2348</v>
      </c>
      <c r="B906" s="151" t="s">
        <v>2349</v>
      </c>
    </row>
    <row r="907" spans="1:2">
      <c r="A907" s="151" t="s">
        <v>2350</v>
      </c>
      <c r="B907" s="151" t="s">
        <v>2351</v>
      </c>
    </row>
    <row r="908" spans="1:2">
      <c r="A908" s="151" t="s">
        <v>2352</v>
      </c>
      <c r="B908" s="151" t="s">
        <v>2353</v>
      </c>
    </row>
    <row r="909" spans="1:2">
      <c r="A909" s="151" t="s">
        <v>2354</v>
      </c>
      <c r="B909" s="151" t="s">
        <v>2355</v>
      </c>
    </row>
    <row r="910" spans="1:2">
      <c r="A910" s="151" t="s">
        <v>2356</v>
      </c>
      <c r="B910" s="151" t="s">
        <v>2357</v>
      </c>
    </row>
    <row r="911" spans="1:2">
      <c r="A911" s="151" t="s">
        <v>2358</v>
      </c>
      <c r="B911" s="151" t="s">
        <v>2359</v>
      </c>
    </row>
    <row r="912" spans="1:2">
      <c r="A912" s="151" t="s">
        <v>2360</v>
      </c>
      <c r="B912" s="151" t="s">
        <v>2361</v>
      </c>
    </row>
    <row r="913" spans="1:2">
      <c r="A913" s="151" t="s">
        <v>2362</v>
      </c>
      <c r="B913" s="151" t="s">
        <v>2363</v>
      </c>
    </row>
    <row r="914" spans="1:2">
      <c r="A914" s="151" t="s">
        <v>2364</v>
      </c>
      <c r="B914" s="151" t="s">
        <v>2365</v>
      </c>
    </row>
    <row r="915" spans="1:2">
      <c r="A915" s="151" t="s">
        <v>2366</v>
      </c>
      <c r="B915" s="151" t="s">
        <v>2367</v>
      </c>
    </row>
    <row r="916" spans="1:2">
      <c r="A916" s="151" t="s">
        <v>2368</v>
      </c>
      <c r="B916" s="151" t="s">
        <v>2369</v>
      </c>
    </row>
    <row r="917" spans="1:2">
      <c r="A917" s="151" t="s">
        <v>2370</v>
      </c>
      <c r="B917" s="151" t="s">
        <v>2371</v>
      </c>
    </row>
    <row r="918" spans="1:2">
      <c r="A918" s="151" t="s">
        <v>2372</v>
      </c>
      <c r="B918" s="151" t="s">
        <v>2373</v>
      </c>
    </row>
    <row r="919" spans="1:2">
      <c r="A919" s="151" t="s">
        <v>2374</v>
      </c>
      <c r="B919" s="151" t="s">
        <v>2375</v>
      </c>
    </row>
    <row r="920" spans="1:2">
      <c r="A920" s="151" t="s">
        <v>2376</v>
      </c>
      <c r="B920" s="151" t="s">
        <v>2377</v>
      </c>
    </row>
    <row r="921" spans="1:2">
      <c r="A921" s="151" t="s">
        <v>2378</v>
      </c>
      <c r="B921" s="151" t="s">
        <v>2379</v>
      </c>
    </row>
    <row r="922" spans="1:2">
      <c r="A922" s="151" t="s">
        <v>2380</v>
      </c>
      <c r="B922" s="151" t="s">
        <v>2381</v>
      </c>
    </row>
    <row r="923" spans="1:2">
      <c r="A923" s="151" t="s">
        <v>2382</v>
      </c>
      <c r="B923" s="151" t="s">
        <v>2383</v>
      </c>
    </row>
    <row r="924" spans="1:2">
      <c r="A924" s="151" t="s">
        <v>2384</v>
      </c>
      <c r="B924" s="151" t="s">
        <v>2385</v>
      </c>
    </row>
    <row r="925" spans="1:2">
      <c r="A925" s="151" t="s">
        <v>2386</v>
      </c>
      <c r="B925" s="151" t="s">
        <v>2387</v>
      </c>
    </row>
    <row r="926" spans="1:2">
      <c r="A926" s="151" t="s">
        <v>2388</v>
      </c>
      <c r="B926" s="151" t="s">
        <v>2389</v>
      </c>
    </row>
    <row r="927" spans="1:2">
      <c r="A927" s="151" t="s">
        <v>2390</v>
      </c>
      <c r="B927" s="151" t="s">
        <v>2391</v>
      </c>
    </row>
    <row r="928" spans="1:2">
      <c r="A928" s="151" t="s">
        <v>2392</v>
      </c>
      <c r="B928" s="151" t="s">
        <v>2393</v>
      </c>
    </row>
    <row r="929" spans="1:2">
      <c r="A929" s="151" t="s">
        <v>2394</v>
      </c>
      <c r="B929" s="151" t="s">
        <v>2395</v>
      </c>
    </row>
    <row r="930" spans="1:2">
      <c r="A930" s="151" t="s">
        <v>2396</v>
      </c>
      <c r="B930" s="151" t="s">
        <v>2397</v>
      </c>
    </row>
    <row r="931" spans="1:2">
      <c r="A931" s="151" t="s">
        <v>2398</v>
      </c>
      <c r="B931" s="151" t="s">
        <v>2399</v>
      </c>
    </row>
    <row r="932" spans="1:2">
      <c r="A932" s="151" t="s">
        <v>2400</v>
      </c>
      <c r="B932" s="151" t="s">
        <v>2401</v>
      </c>
    </row>
    <row r="933" spans="1:2">
      <c r="A933" s="151" t="s">
        <v>2402</v>
      </c>
      <c r="B933" s="151" t="s">
        <v>2403</v>
      </c>
    </row>
    <row r="934" spans="1:2">
      <c r="A934" s="151" t="s">
        <v>2404</v>
      </c>
      <c r="B934" s="151" t="s">
        <v>2405</v>
      </c>
    </row>
    <row r="935" spans="1:2">
      <c r="A935" s="151" t="s">
        <v>2406</v>
      </c>
      <c r="B935" s="151" t="s">
        <v>2407</v>
      </c>
    </row>
    <row r="936" spans="1:2">
      <c r="A936" s="151" t="s">
        <v>2408</v>
      </c>
      <c r="B936" s="151" t="s">
        <v>2409</v>
      </c>
    </row>
    <row r="937" spans="1:2">
      <c r="A937" s="151" t="s">
        <v>2410</v>
      </c>
      <c r="B937" s="151" t="s">
        <v>2411</v>
      </c>
    </row>
    <row r="938" spans="1:2">
      <c r="A938" s="151" t="s">
        <v>2412</v>
      </c>
      <c r="B938" s="151" t="s">
        <v>2413</v>
      </c>
    </row>
    <row r="939" spans="1:2">
      <c r="A939" s="151" t="s">
        <v>2414</v>
      </c>
      <c r="B939" s="151" t="s">
        <v>2415</v>
      </c>
    </row>
    <row r="940" spans="1:2">
      <c r="A940" s="151" t="s">
        <v>2416</v>
      </c>
      <c r="B940" s="151" t="s">
        <v>2417</v>
      </c>
    </row>
    <row r="941" spans="1:2">
      <c r="A941" s="151" t="s">
        <v>2418</v>
      </c>
      <c r="B941" s="151" t="s">
        <v>2419</v>
      </c>
    </row>
    <row r="942" spans="1:2">
      <c r="A942" s="151" t="s">
        <v>2420</v>
      </c>
      <c r="B942" s="151" t="s">
        <v>2421</v>
      </c>
    </row>
    <row r="943" spans="1:2">
      <c r="A943" s="151" t="s">
        <v>2422</v>
      </c>
      <c r="B943" s="151" t="s">
        <v>2423</v>
      </c>
    </row>
    <row r="944" spans="1:2">
      <c r="A944" s="151" t="s">
        <v>2424</v>
      </c>
      <c r="B944" s="151" t="s">
        <v>2425</v>
      </c>
    </row>
    <row r="945" spans="1:2">
      <c r="A945" s="151" t="s">
        <v>2426</v>
      </c>
      <c r="B945" s="151" t="s">
        <v>2427</v>
      </c>
    </row>
    <row r="946" spans="1:2">
      <c r="A946" s="151" t="s">
        <v>2428</v>
      </c>
      <c r="B946" s="151" t="s">
        <v>2429</v>
      </c>
    </row>
    <row r="947" spans="1:2">
      <c r="A947" s="151" t="s">
        <v>2430</v>
      </c>
      <c r="B947" s="151" t="s">
        <v>2431</v>
      </c>
    </row>
    <row r="948" spans="1:2">
      <c r="A948" s="151" t="s">
        <v>2432</v>
      </c>
      <c r="B948" s="151" t="s">
        <v>2433</v>
      </c>
    </row>
    <row r="949" spans="1:2">
      <c r="A949" s="151" t="s">
        <v>2434</v>
      </c>
      <c r="B949" s="151" t="s">
        <v>2435</v>
      </c>
    </row>
    <row r="950" spans="1:2">
      <c r="A950" s="151" t="s">
        <v>2436</v>
      </c>
      <c r="B950" s="151" t="s">
        <v>2437</v>
      </c>
    </row>
    <row r="951" spans="1:2">
      <c r="A951" s="151" t="s">
        <v>2438</v>
      </c>
      <c r="B951" s="151" t="s">
        <v>2439</v>
      </c>
    </row>
    <row r="952" spans="1:2">
      <c r="A952" s="151" t="s">
        <v>2440</v>
      </c>
      <c r="B952" s="151" t="s">
        <v>2441</v>
      </c>
    </row>
    <row r="953" spans="1:2">
      <c r="A953" s="151" t="s">
        <v>2442</v>
      </c>
      <c r="B953" s="151" t="s">
        <v>2443</v>
      </c>
    </row>
    <row r="954" spans="1:2">
      <c r="A954" s="151" t="s">
        <v>2444</v>
      </c>
      <c r="B954" s="151" t="s">
        <v>2445</v>
      </c>
    </row>
    <row r="955" spans="1:2">
      <c r="A955" s="151" t="s">
        <v>2446</v>
      </c>
      <c r="B955" s="151" t="s">
        <v>2447</v>
      </c>
    </row>
    <row r="956" spans="1:2">
      <c r="A956" s="151" t="s">
        <v>2448</v>
      </c>
      <c r="B956" s="151" t="s">
        <v>2449</v>
      </c>
    </row>
    <row r="957" spans="1:2">
      <c r="A957" s="151" t="s">
        <v>2450</v>
      </c>
      <c r="B957" s="151" t="s">
        <v>2451</v>
      </c>
    </row>
    <row r="958" spans="1:2">
      <c r="A958" s="151" t="s">
        <v>2452</v>
      </c>
      <c r="B958" s="151" t="s">
        <v>2453</v>
      </c>
    </row>
    <row r="959" spans="1:2">
      <c r="A959" s="151" t="s">
        <v>2454</v>
      </c>
      <c r="B959" s="151" t="s">
        <v>2455</v>
      </c>
    </row>
    <row r="960" spans="1:2">
      <c r="A960" s="151" t="s">
        <v>2456</v>
      </c>
      <c r="B960" s="151" t="s">
        <v>2457</v>
      </c>
    </row>
    <row r="961" spans="1:2">
      <c r="A961" s="151" t="s">
        <v>2458</v>
      </c>
      <c r="B961" s="151" t="s">
        <v>2459</v>
      </c>
    </row>
    <row r="962" spans="1:2">
      <c r="A962" s="151" t="s">
        <v>2460</v>
      </c>
      <c r="B962" s="151" t="s">
        <v>2461</v>
      </c>
    </row>
    <row r="963" spans="1:2">
      <c r="A963" s="151" t="s">
        <v>2462</v>
      </c>
      <c r="B963" s="151" t="s">
        <v>2463</v>
      </c>
    </row>
    <row r="964" spans="1:2">
      <c r="A964" s="151" t="s">
        <v>2464</v>
      </c>
      <c r="B964" s="151" t="s">
        <v>2465</v>
      </c>
    </row>
    <row r="965" spans="1:2">
      <c r="A965" s="151" t="s">
        <v>2466</v>
      </c>
      <c r="B965" s="151" t="s">
        <v>2467</v>
      </c>
    </row>
    <row r="966" spans="1:2">
      <c r="A966" s="151" t="s">
        <v>2468</v>
      </c>
      <c r="B966" s="151" t="s">
        <v>301</v>
      </c>
    </row>
    <row r="967" spans="1:2">
      <c r="A967" s="151" t="s">
        <v>2469</v>
      </c>
      <c r="B967" s="151" t="s">
        <v>2470</v>
      </c>
    </row>
    <row r="968" spans="1:2">
      <c r="A968" s="151" t="s">
        <v>2471</v>
      </c>
      <c r="B968" s="151" t="s">
        <v>2472</v>
      </c>
    </row>
    <row r="969" spans="1:2">
      <c r="A969" s="151" t="s">
        <v>2473</v>
      </c>
      <c r="B969" s="151" t="s">
        <v>2474</v>
      </c>
    </row>
    <row r="970" spans="1:2">
      <c r="A970" s="151" t="s">
        <v>2475</v>
      </c>
      <c r="B970" s="151" t="s">
        <v>2476</v>
      </c>
    </row>
    <row r="971" spans="1:2">
      <c r="A971" s="151" t="s">
        <v>2477</v>
      </c>
      <c r="B971" s="151" t="s">
        <v>2478</v>
      </c>
    </row>
    <row r="972" spans="1:2">
      <c r="A972" s="151" t="s">
        <v>2479</v>
      </c>
      <c r="B972" s="151" t="s">
        <v>2480</v>
      </c>
    </row>
    <row r="973" spans="1:2">
      <c r="A973" s="151" t="s">
        <v>2481</v>
      </c>
      <c r="B973" s="151" t="s">
        <v>2482</v>
      </c>
    </row>
    <row r="974" spans="1:2">
      <c r="A974" s="151" t="s">
        <v>2483</v>
      </c>
      <c r="B974" s="151" t="s">
        <v>2484</v>
      </c>
    </row>
    <row r="975" spans="1:2">
      <c r="A975" s="151" t="s">
        <v>2485</v>
      </c>
      <c r="B975" s="151" t="s">
        <v>2486</v>
      </c>
    </row>
    <row r="976" spans="1:2">
      <c r="A976" s="151" t="s">
        <v>2487</v>
      </c>
      <c r="B976" s="151" t="s">
        <v>2488</v>
      </c>
    </row>
    <row r="977" spans="1:2">
      <c r="A977" s="151" t="s">
        <v>2489</v>
      </c>
      <c r="B977" s="151" t="s">
        <v>2490</v>
      </c>
    </row>
    <row r="978" spans="1:2">
      <c r="A978" s="151" t="s">
        <v>2491</v>
      </c>
      <c r="B978" s="151" t="s">
        <v>2492</v>
      </c>
    </row>
    <row r="979" spans="1:2">
      <c r="A979" s="151" t="s">
        <v>2493</v>
      </c>
      <c r="B979" s="151" t="s">
        <v>2494</v>
      </c>
    </row>
    <row r="980" spans="1:2">
      <c r="A980" s="151" t="s">
        <v>2495</v>
      </c>
      <c r="B980" s="151" t="s">
        <v>2496</v>
      </c>
    </row>
    <row r="981" spans="1:2">
      <c r="A981" s="151" t="s">
        <v>2497</v>
      </c>
      <c r="B981" s="151" t="s">
        <v>2498</v>
      </c>
    </row>
    <row r="982" spans="1:2">
      <c r="A982" s="151" t="s">
        <v>2499</v>
      </c>
      <c r="B982" s="151" t="s">
        <v>2500</v>
      </c>
    </row>
    <row r="983" spans="1:2">
      <c r="A983" s="151" t="s">
        <v>2501</v>
      </c>
      <c r="B983" s="151" t="s">
        <v>2502</v>
      </c>
    </row>
    <row r="984" spans="1:2">
      <c r="A984" s="151" t="s">
        <v>2503</v>
      </c>
      <c r="B984" s="151" t="s">
        <v>2504</v>
      </c>
    </row>
    <row r="985" spans="1:2">
      <c r="A985" s="151" t="s">
        <v>2505</v>
      </c>
      <c r="B985" s="151" t="s">
        <v>2506</v>
      </c>
    </row>
    <row r="986" spans="1:2">
      <c r="A986" s="151" t="s">
        <v>2507</v>
      </c>
      <c r="B986" s="151" t="s">
        <v>2508</v>
      </c>
    </row>
    <row r="987" spans="1:2">
      <c r="A987" s="151" t="s">
        <v>2509</v>
      </c>
      <c r="B987" s="151" t="s">
        <v>2510</v>
      </c>
    </row>
    <row r="988" spans="1:2">
      <c r="A988" s="151" t="s">
        <v>2511</v>
      </c>
      <c r="B988" s="151" t="s">
        <v>2512</v>
      </c>
    </row>
    <row r="989" spans="1:2">
      <c r="A989" s="151" t="s">
        <v>2513</v>
      </c>
      <c r="B989" s="151" t="s">
        <v>2514</v>
      </c>
    </row>
    <row r="990" spans="1:2">
      <c r="A990" s="151" t="s">
        <v>2515</v>
      </c>
      <c r="B990" s="151" t="s">
        <v>2516</v>
      </c>
    </row>
    <row r="991" spans="1:2">
      <c r="A991" s="151" t="s">
        <v>2517</v>
      </c>
      <c r="B991" s="151" t="s">
        <v>306</v>
      </c>
    </row>
    <row r="992" spans="1:2">
      <c r="A992" s="151" t="s">
        <v>2518</v>
      </c>
      <c r="B992" s="151" t="s">
        <v>2519</v>
      </c>
    </row>
    <row r="993" spans="1:2">
      <c r="A993" s="151" t="s">
        <v>2520</v>
      </c>
      <c r="B993" s="151" t="s">
        <v>2521</v>
      </c>
    </row>
    <row r="994" spans="1:2">
      <c r="A994" s="151" t="s">
        <v>2522</v>
      </c>
      <c r="B994" s="151" t="s">
        <v>2523</v>
      </c>
    </row>
    <row r="995" spans="1:2">
      <c r="A995" s="151" t="s">
        <v>2524</v>
      </c>
      <c r="B995" s="151" t="s">
        <v>2525</v>
      </c>
    </row>
    <row r="996" spans="1:2">
      <c r="A996" s="151" t="s">
        <v>2526</v>
      </c>
      <c r="B996" s="151" t="s">
        <v>2527</v>
      </c>
    </row>
    <row r="997" spans="1:2">
      <c r="A997" s="151" t="s">
        <v>2528</v>
      </c>
      <c r="B997" s="151" t="s">
        <v>2529</v>
      </c>
    </row>
    <row r="998" spans="1:2">
      <c r="A998" s="151" t="s">
        <v>2530</v>
      </c>
      <c r="B998" s="151" t="s">
        <v>2531</v>
      </c>
    </row>
    <row r="999" spans="1:2">
      <c r="A999" s="151" t="s">
        <v>2532</v>
      </c>
      <c r="B999" s="151" t="s">
        <v>2533</v>
      </c>
    </row>
    <row r="1000" spans="1:2">
      <c r="A1000" s="151" t="s">
        <v>2534</v>
      </c>
      <c r="B1000" s="151" t="s">
        <v>2535</v>
      </c>
    </row>
    <row r="1001" spans="1:2">
      <c r="A1001" s="151" t="s">
        <v>2536</v>
      </c>
      <c r="B1001" s="151" t="s">
        <v>2537</v>
      </c>
    </row>
    <row r="1002" spans="1:2">
      <c r="A1002" s="151" t="s">
        <v>2538</v>
      </c>
      <c r="B1002" s="151" t="s">
        <v>2539</v>
      </c>
    </row>
    <row r="1003" spans="1:2">
      <c r="A1003" s="151" t="s">
        <v>2540</v>
      </c>
      <c r="B1003" s="151" t="s">
        <v>2541</v>
      </c>
    </row>
    <row r="1004" spans="1:2">
      <c r="A1004" s="151" t="s">
        <v>2542</v>
      </c>
      <c r="B1004" s="151" t="s">
        <v>2543</v>
      </c>
    </row>
    <row r="1005" spans="1:2">
      <c r="A1005" s="151" t="s">
        <v>2544</v>
      </c>
      <c r="B1005" s="151" t="s">
        <v>2545</v>
      </c>
    </row>
    <row r="1006" spans="1:2">
      <c r="A1006" s="151" t="s">
        <v>2546</v>
      </c>
      <c r="B1006" s="151" t="s">
        <v>2547</v>
      </c>
    </row>
    <row r="1007" spans="1:2">
      <c r="A1007" s="151" t="s">
        <v>2548</v>
      </c>
      <c r="B1007" s="151" t="s">
        <v>2549</v>
      </c>
    </row>
    <row r="1008" spans="1:2">
      <c r="A1008" s="151" t="s">
        <v>2550</v>
      </c>
      <c r="B1008" s="151" t="s">
        <v>2551</v>
      </c>
    </row>
    <row r="1009" spans="1:2">
      <c r="A1009" s="151" t="s">
        <v>2552</v>
      </c>
      <c r="B1009" s="151" t="s">
        <v>2553</v>
      </c>
    </row>
    <row r="1010" spans="1:2">
      <c r="A1010" s="151" t="s">
        <v>2554</v>
      </c>
      <c r="B1010" s="151" t="s">
        <v>2555</v>
      </c>
    </row>
    <row r="1011" spans="1:2">
      <c r="A1011" s="151" t="s">
        <v>2556</v>
      </c>
      <c r="B1011" s="151" t="s">
        <v>2557</v>
      </c>
    </row>
    <row r="1012" spans="1:2">
      <c r="A1012" s="151" t="s">
        <v>2558</v>
      </c>
      <c r="B1012" s="151" t="s">
        <v>2559</v>
      </c>
    </row>
    <row r="1013" spans="1:2">
      <c r="A1013" s="151" t="s">
        <v>2560</v>
      </c>
      <c r="B1013" s="151" t="s">
        <v>2561</v>
      </c>
    </row>
    <row r="1014" spans="1:2">
      <c r="A1014" s="151" t="s">
        <v>2562</v>
      </c>
      <c r="B1014" s="151" t="s">
        <v>2563</v>
      </c>
    </row>
    <row r="1015" spans="1:2">
      <c r="A1015" s="151" t="s">
        <v>2564</v>
      </c>
      <c r="B1015" s="151" t="s">
        <v>2565</v>
      </c>
    </row>
    <row r="1016" spans="1:2">
      <c r="A1016" s="151" t="s">
        <v>2566</v>
      </c>
      <c r="B1016" s="151" t="s">
        <v>2567</v>
      </c>
    </row>
    <row r="1017" spans="1:2">
      <c r="A1017" s="151" t="s">
        <v>2568</v>
      </c>
      <c r="B1017" s="151" t="s">
        <v>2569</v>
      </c>
    </row>
    <row r="1018" spans="1:2">
      <c r="A1018" s="151" t="s">
        <v>2570</v>
      </c>
      <c r="B1018" s="151" t="s">
        <v>2571</v>
      </c>
    </row>
    <row r="1019" spans="1:2">
      <c r="A1019" s="151" t="s">
        <v>2572</v>
      </c>
      <c r="B1019" s="151" t="s">
        <v>2573</v>
      </c>
    </row>
    <row r="1020" spans="1:2">
      <c r="A1020" s="151" t="s">
        <v>2574</v>
      </c>
      <c r="B1020" s="151" t="s">
        <v>2575</v>
      </c>
    </row>
    <row r="1021" spans="1:2">
      <c r="A1021" s="151" t="s">
        <v>2576</v>
      </c>
      <c r="B1021" s="151" t="s">
        <v>2577</v>
      </c>
    </row>
    <row r="1022" spans="1:2">
      <c r="A1022" s="151" t="s">
        <v>2578</v>
      </c>
      <c r="B1022" s="151" t="s">
        <v>2579</v>
      </c>
    </row>
    <row r="1023" spans="1:2">
      <c r="A1023" s="151" t="s">
        <v>2580</v>
      </c>
      <c r="B1023" s="151" t="s">
        <v>2581</v>
      </c>
    </row>
    <row r="1024" spans="1:2">
      <c r="A1024" s="151" t="s">
        <v>2582</v>
      </c>
      <c r="B1024" s="151" t="s">
        <v>2583</v>
      </c>
    </row>
    <row r="1025" spans="1:2">
      <c r="A1025" s="151" t="s">
        <v>2584</v>
      </c>
      <c r="B1025" s="151" t="s">
        <v>2585</v>
      </c>
    </row>
    <row r="1026" spans="1:2">
      <c r="A1026" s="151" t="s">
        <v>2586</v>
      </c>
      <c r="B1026" s="151" t="s">
        <v>2587</v>
      </c>
    </row>
    <row r="1027" spans="1:2">
      <c r="A1027" s="151" t="s">
        <v>2588</v>
      </c>
      <c r="B1027" s="151" t="s">
        <v>2589</v>
      </c>
    </row>
    <row r="1028" spans="1:2">
      <c r="A1028" s="151" t="s">
        <v>2590</v>
      </c>
      <c r="B1028" s="151" t="s">
        <v>2591</v>
      </c>
    </row>
    <row r="1029" spans="1:2">
      <c r="A1029" s="151" t="s">
        <v>2592</v>
      </c>
      <c r="B1029" s="151" t="s">
        <v>2593</v>
      </c>
    </row>
    <row r="1030" spans="1:2">
      <c r="A1030" s="151" t="s">
        <v>2594</v>
      </c>
      <c r="B1030" s="151" t="s">
        <v>2595</v>
      </c>
    </row>
    <row r="1031" spans="1:2">
      <c r="A1031" s="151" t="s">
        <v>2596</v>
      </c>
      <c r="B1031" s="151" t="s">
        <v>2597</v>
      </c>
    </row>
    <row r="1032" spans="1:2">
      <c r="A1032" s="151" t="s">
        <v>2598</v>
      </c>
      <c r="B1032" s="151" t="s">
        <v>2599</v>
      </c>
    </row>
    <row r="1033" spans="1:2">
      <c r="A1033" s="151" t="s">
        <v>2600</v>
      </c>
      <c r="B1033" s="151" t="s">
        <v>2601</v>
      </c>
    </row>
    <row r="1034" spans="1:2">
      <c r="A1034" s="151" t="s">
        <v>2602</v>
      </c>
      <c r="B1034" s="151" t="s">
        <v>2603</v>
      </c>
    </row>
    <row r="1035" spans="1:2">
      <c r="A1035" s="151" t="s">
        <v>2604</v>
      </c>
      <c r="B1035" s="151" t="s">
        <v>2605</v>
      </c>
    </row>
    <row r="1036" spans="1:2">
      <c r="A1036" s="151" t="s">
        <v>2606</v>
      </c>
      <c r="B1036" s="151" t="s">
        <v>2607</v>
      </c>
    </row>
    <row r="1037" spans="1:2">
      <c r="A1037" s="151" t="s">
        <v>2608</v>
      </c>
      <c r="B1037" s="151" t="s">
        <v>2609</v>
      </c>
    </row>
    <row r="1038" spans="1:2">
      <c r="A1038" s="151" t="s">
        <v>2610</v>
      </c>
      <c r="B1038" s="151" t="s">
        <v>2611</v>
      </c>
    </row>
    <row r="1039" spans="1:2">
      <c r="A1039" s="151" t="s">
        <v>2612</v>
      </c>
      <c r="B1039" s="151" t="s">
        <v>2613</v>
      </c>
    </row>
    <row r="1040" spans="1:2">
      <c r="A1040" s="151" t="s">
        <v>2614</v>
      </c>
      <c r="B1040" s="151" t="s">
        <v>2615</v>
      </c>
    </row>
    <row r="1041" spans="1:2">
      <c r="A1041" s="151" t="s">
        <v>2616</v>
      </c>
      <c r="B1041" s="151" t="s">
        <v>2617</v>
      </c>
    </row>
    <row r="1042" spans="1:2">
      <c r="A1042" s="151" t="s">
        <v>2618</v>
      </c>
      <c r="B1042" s="151" t="s">
        <v>2619</v>
      </c>
    </row>
    <row r="1043" spans="1:2">
      <c r="A1043" s="151" t="s">
        <v>2620</v>
      </c>
      <c r="B1043" s="151" t="s">
        <v>2621</v>
      </c>
    </row>
    <row r="1044" spans="1:2">
      <c r="A1044" s="151" t="s">
        <v>2622</v>
      </c>
      <c r="B1044" s="151" t="s">
        <v>2623</v>
      </c>
    </row>
    <row r="1045" spans="1:2">
      <c r="A1045" s="151" t="s">
        <v>2624</v>
      </c>
      <c r="B1045" s="151" t="s">
        <v>2625</v>
      </c>
    </row>
    <row r="1046" spans="1:2">
      <c r="A1046" s="151" t="s">
        <v>2626</v>
      </c>
      <c r="B1046" s="151" t="s">
        <v>2627</v>
      </c>
    </row>
    <row r="1047" spans="1:2">
      <c r="A1047" s="151" t="s">
        <v>2628</v>
      </c>
      <c r="B1047" s="151" t="s">
        <v>2629</v>
      </c>
    </row>
    <row r="1048" spans="1:2">
      <c r="A1048" s="151" t="s">
        <v>2630</v>
      </c>
      <c r="B1048" s="151" t="s">
        <v>2631</v>
      </c>
    </row>
    <row r="1049" spans="1:2">
      <c r="A1049" s="151" t="s">
        <v>2632</v>
      </c>
      <c r="B1049" s="151" t="s">
        <v>2633</v>
      </c>
    </row>
    <row r="1050" spans="1:2">
      <c r="A1050" s="151" t="s">
        <v>2634</v>
      </c>
      <c r="B1050" s="151" t="s">
        <v>2635</v>
      </c>
    </row>
    <row r="1051" spans="1:2">
      <c r="A1051" s="151" t="s">
        <v>2636</v>
      </c>
      <c r="B1051" s="151" t="s">
        <v>2637</v>
      </c>
    </row>
    <row r="1052" spans="1:2">
      <c r="A1052" s="151" t="s">
        <v>2638</v>
      </c>
      <c r="B1052" s="151" t="s">
        <v>2639</v>
      </c>
    </row>
    <row r="1053" spans="1:2">
      <c r="A1053" s="151" t="s">
        <v>2640</v>
      </c>
      <c r="B1053" s="151" t="s">
        <v>2641</v>
      </c>
    </row>
    <row r="1054" spans="1:2">
      <c r="A1054" s="151" t="s">
        <v>2642</v>
      </c>
      <c r="B1054" s="151" t="s">
        <v>2643</v>
      </c>
    </row>
    <row r="1055" spans="1:2">
      <c r="A1055" s="151" t="s">
        <v>2644</v>
      </c>
      <c r="B1055" s="151" t="s">
        <v>2645</v>
      </c>
    </row>
    <row r="1056" spans="1:2">
      <c r="A1056" s="151" t="s">
        <v>2646</v>
      </c>
      <c r="B1056" s="151" t="s">
        <v>2647</v>
      </c>
    </row>
    <row r="1057" spans="1:2">
      <c r="A1057" s="151" t="s">
        <v>2648</v>
      </c>
      <c r="B1057" s="151" t="s">
        <v>2649</v>
      </c>
    </row>
    <row r="1058" spans="1:2">
      <c r="A1058" s="151" t="s">
        <v>2650</v>
      </c>
      <c r="B1058" s="151" t="s">
        <v>2651</v>
      </c>
    </row>
    <row r="1059" spans="1:2">
      <c r="A1059" s="151" t="s">
        <v>2652</v>
      </c>
      <c r="B1059" s="151" t="s">
        <v>2653</v>
      </c>
    </row>
    <row r="1060" spans="1:2">
      <c r="A1060" s="151" t="s">
        <v>2654</v>
      </c>
      <c r="B1060" s="151" t="s">
        <v>2655</v>
      </c>
    </row>
    <row r="1061" spans="1:2">
      <c r="A1061" s="151" t="s">
        <v>2656</v>
      </c>
      <c r="B1061" s="151" t="s">
        <v>2657</v>
      </c>
    </row>
    <row r="1062" spans="1:2">
      <c r="A1062" s="151" t="s">
        <v>2658</v>
      </c>
      <c r="B1062" s="151" t="s">
        <v>2659</v>
      </c>
    </row>
    <row r="1063" spans="1:2">
      <c r="A1063" s="151" t="s">
        <v>2660</v>
      </c>
      <c r="B1063" s="151" t="s">
        <v>2661</v>
      </c>
    </row>
    <row r="1064" spans="1:2">
      <c r="A1064" s="151" t="s">
        <v>2662</v>
      </c>
      <c r="B1064" s="151" t="s">
        <v>2663</v>
      </c>
    </row>
    <row r="1065" spans="1:2">
      <c r="A1065" s="151" t="s">
        <v>2664</v>
      </c>
      <c r="B1065" s="151" t="s">
        <v>2665</v>
      </c>
    </row>
    <row r="1066" spans="1:2">
      <c r="A1066" s="151" t="s">
        <v>2666</v>
      </c>
      <c r="B1066" s="151" t="s">
        <v>2667</v>
      </c>
    </row>
    <row r="1067" spans="1:2">
      <c r="A1067" s="151" t="s">
        <v>2668</v>
      </c>
      <c r="B1067" s="151" t="s">
        <v>2669</v>
      </c>
    </row>
    <row r="1068" spans="1:2">
      <c r="A1068" s="151" t="s">
        <v>2670</v>
      </c>
      <c r="B1068" s="151" t="s">
        <v>2671</v>
      </c>
    </row>
    <row r="1069" spans="1:2">
      <c r="A1069" s="151" t="s">
        <v>2672</v>
      </c>
      <c r="B1069" s="151" t="s">
        <v>2673</v>
      </c>
    </row>
    <row r="1070" spans="1:2">
      <c r="A1070" s="151" t="s">
        <v>2674</v>
      </c>
      <c r="B1070" s="151" t="s">
        <v>2675</v>
      </c>
    </row>
    <row r="1071" spans="1:2">
      <c r="A1071" s="151" t="s">
        <v>2676</v>
      </c>
      <c r="B1071" s="151" t="s">
        <v>2677</v>
      </c>
    </row>
    <row r="1072" spans="1:2">
      <c r="A1072" s="151" t="s">
        <v>2678</v>
      </c>
      <c r="B1072" s="151" t="s">
        <v>2679</v>
      </c>
    </row>
    <row r="1073" spans="1:2">
      <c r="A1073" s="151" t="s">
        <v>2680</v>
      </c>
      <c r="B1073" s="151" t="s">
        <v>2681</v>
      </c>
    </row>
    <row r="1074" spans="1:2">
      <c r="A1074" s="151" t="s">
        <v>2682</v>
      </c>
      <c r="B1074" s="151" t="s">
        <v>2683</v>
      </c>
    </row>
    <row r="1075" spans="1:2">
      <c r="A1075" s="151" t="s">
        <v>2684</v>
      </c>
      <c r="B1075" s="151" t="s">
        <v>2685</v>
      </c>
    </row>
    <row r="1076" spans="1:2">
      <c r="A1076" s="151" t="s">
        <v>2686</v>
      </c>
      <c r="B1076" s="151" t="s">
        <v>2687</v>
      </c>
    </row>
    <row r="1077" spans="1:2">
      <c r="A1077" s="151" t="s">
        <v>2688</v>
      </c>
      <c r="B1077" s="151" t="s">
        <v>2689</v>
      </c>
    </row>
    <row r="1078" spans="1:2">
      <c r="A1078" s="151" t="s">
        <v>2690</v>
      </c>
      <c r="B1078" s="151" t="s">
        <v>2691</v>
      </c>
    </row>
    <row r="1079" spans="1:2">
      <c r="A1079" s="151" t="s">
        <v>2692</v>
      </c>
      <c r="B1079" s="151" t="s">
        <v>2693</v>
      </c>
    </row>
    <row r="1080" spans="1:2">
      <c r="A1080" s="151" t="s">
        <v>2694</v>
      </c>
      <c r="B1080" s="151" t="s">
        <v>2695</v>
      </c>
    </row>
    <row r="1081" spans="1:2">
      <c r="A1081" s="151" t="s">
        <v>2696</v>
      </c>
      <c r="B1081" s="151" t="s">
        <v>2697</v>
      </c>
    </row>
    <row r="1082" spans="1:2">
      <c r="A1082" s="151" t="s">
        <v>2698</v>
      </c>
      <c r="B1082" s="151" t="s">
        <v>2699</v>
      </c>
    </row>
    <row r="1083" spans="1:2">
      <c r="A1083" s="151" t="s">
        <v>2700</v>
      </c>
      <c r="B1083" s="151" t="s">
        <v>2701</v>
      </c>
    </row>
    <row r="1084" spans="1:2">
      <c r="A1084" s="151" t="s">
        <v>2702</v>
      </c>
      <c r="B1084" s="151" t="s">
        <v>2703</v>
      </c>
    </row>
    <row r="1085" spans="1:2">
      <c r="A1085" s="151" t="s">
        <v>2704</v>
      </c>
      <c r="B1085" s="151" t="s">
        <v>2705</v>
      </c>
    </row>
    <row r="1086" spans="1:2">
      <c r="A1086" s="151" t="s">
        <v>2706</v>
      </c>
      <c r="B1086" s="151" t="s">
        <v>2707</v>
      </c>
    </row>
    <row r="1087" spans="1:2">
      <c r="A1087" s="151" t="s">
        <v>2708</v>
      </c>
      <c r="B1087" s="151" t="s">
        <v>2709</v>
      </c>
    </row>
    <row r="1088" spans="1:2">
      <c r="A1088" s="151" t="s">
        <v>2710</v>
      </c>
      <c r="B1088" s="151" t="s">
        <v>2711</v>
      </c>
    </row>
    <row r="1089" spans="1:2">
      <c r="A1089" s="151" t="s">
        <v>2712</v>
      </c>
      <c r="B1089" s="151" t="s">
        <v>2713</v>
      </c>
    </row>
    <row r="1090" spans="1:2">
      <c r="A1090" s="151" t="s">
        <v>2714</v>
      </c>
      <c r="B1090" s="151" t="s">
        <v>2715</v>
      </c>
    </row>
    <row r="1091" spans="1:2">
      <c r="A1091" s="151" t="s">
        <v>2716</v>
      </c>
      <c r="B1091" s="151" t="s">
        <v>2717</v>
      </c>
    </row>
    <row r="1092" spans="1:2">
      <c r="A1092" s="151" t="s">
        <v>2718</v>
      </c>
      <c r="B1092" s="151" t="s">
        <v>2719</v>
      </c>
    </row>
    <row r="1093" spans="1:2">
      <c r="A1093" s="151" t="s">
        <v>2720</v>
      </c>
      <c r="B1093" s="151" t="s">
        <v>2721</v>
      </c>
    </row>
    <row r="1094" spans="1:2">
      <c r="A1094" s="151" t="s">
        <v>2722</v>
      </c>
      <c r="B1094" s="151" t="s">
        <v>2723</v>
      </c>
    </row>
    <row r="1095" spans="1:2">
      <c r="A1095" s="151" t="s">
        <v>2724</v>
      </c>
      <c r="B1095" s="151" t="s">
        <v>2725</v>
      </c>
    </row>
    <row r="1096" spans="1:2">
      <c r="A1096" s="151" t="s">
        <v>2726</v>
      </c>
      <c r="B1096" s="151" t="s">
        <v>2727</v>
      </c>
    </row>
    <row r="1097" spans="1:2">
      <c r="A1097" s="151" t="s">
        <v>2728</v>
      </c>
      <c r="B1097" s="151" t="s">
        <v>2729</v>
      </c>
    </row>
    <row r="1098" spans="1:2">
      <c r="A1098" s="151" t="s">
        <v>2730</v>
      </c>
      <c r="B1098" s="151" t="s">
        <v>2731</v>
      </c>
    </row>
    <row r="1099" spans="1:2">
      <c r="A1099" s="151" t="s">
        <v>2732</v>
      </c>
      <c r="B1099" s="151" t="s">
        <v>2733</v>
      </c>
    </row>
    <row r="1100" spans="1:2">
      <c r="A1100" s="151" t="s">
        <v>2734</v>
      </c>
      <c r="B1100" s="151" t="s">
        <v>2735</v>
      </c>
    </row>
    <row r="1101" spans="1:2">
      <c r="A1101" s="151" t="s">
        <v>2736</v>
      </c>
      <c r="B1101" s="151" t="s">
        <v>2737</v>
      </c>
    </row>
    <row r="1102" spans="1:2">
      <c r="A1102" s="151" t="s">
        <v>2738</v>
      </c>
      <c r="B1102" s="151" t="s">
        <v>2739</v>
      </c>
    </row>
    <row r="1103" spans="1:2">
      <c r="A1103" s="151" t="s">
        <v>2740</v>
      </c>
      <c r="B1103" s="151" t="s">
        <v>2741</v>
      </c>
    </row>
    <row r="1104" spans="1:2">
      <c r="A1104" s="151" t="s">
        <v>2742</v>
      </c>
      <c r="B1104" s="151" t="s">
        <v>2743</v>
      </c>
    </row>
    <row r="1105" spans="1:2">
      <c r="A1105" s="151" t="s">
        <v>2744</v>
      </c>
      <c r="B1105" s="151" t="s">
        <v>2745</v>
      </c>
    </row>
    <row r="1106" spans="1:2">
      <c r="A1106" s="151" t="s">
        <v>2746</v>
      </c>
      <c r="B1106" s="151" t="s">
        <v>2747</v>
      </c>
    </row>
    <row r="1107" spans="1:2">
      <c r="A1107" s="151" t="s">
        <v>2748</v>
      </c>
      <c r="B1107" s="151" t="s">
        <v>2749</v>
      </c>
    </row>
    <row r="1108" spans="1:2">
      <c r="A1108" s="151" t="s">
        <v>2750</v>
      </c>
      <c r="B1108" s="151" t="s">
        <v>2751</v>
      </c>
    </row>
    <row r="1109" spans="1:2">
      <c r="A1109" s="151" t="s">
        <v>2752</v>
      </c>
      <c r="B1109" s="151" t="s">
        <v>2753</v>
      </c>
    </row>
    <row r="1110" spans="1:2">
      <c r="A1110" s="151" t="s">
        <v>2754</v>
      </c>
      <c r="B1110" s="151" t="s">
        <v>2755</v>
      </c>
    </row>
    <row r="1111" spans="1:2">
      <c r="A1111" s="151" t="s">
        <v>2756</v>
      </c>
      <c r="B1111" s="151" t="s">
        <v>2757</v>
      </c>
    </row>
    <row r="1112" spans="1:2">
      <c r="A1112" s="151" t="s">
        <v>2758</v>
      </c>
      <c r="B1112" s="151" t="s">
        <v>2759</v>
      </c>
    </row>
    <row r="1113" spans="1:2">
      <c r="A1113" s="151" t="s">
        <v>2760</v>
      </c>
      <c r="B1113" s="151" t="s">
        <v>2761</v>
      </c>
    </row>
    <row r="1114" spans="1:2">
      <c r="A1114" s="151" t="s">
        <v>2762</v>
      </c>
      <c r="B1114" s="151" t="s">
        <v>2763</v>
      </c>
    </row>
    <row r="1115" spans="1:2">
      <c r="A1115" s="151" t="s">
        <v>2764</v>
      </c>
      <c r="B1115" s="151" t="s">
        <v>2765</v>
      </c>
    </row>
    <row r="1116" spans="1:2">
      <c r="A1116" s="151" t="s">
        <v>2766</v>
      </c>
      <c r="B1116" s="151" t="s">
        <v>2767</v>
      </c>
    </row>
    <row r="1117" spans="1:2">
      <c r="A1117" s="151" t="s">
        <v>2768</v>
      </c>
      <c r="B1117" s="151" t="s">
        <v>2769</v>
      </c>
    </row>
    <row r="1118" spans="1:2">
      <c r="A1118" s="151" t="s">
        <v>2770</v>
      </c>
      <c r="B1118" s="151" t="s">
        <v>2771</v>
      </c>
    </row>
    <row r="1119" spans="1:2">
      <c r="A1119" s="151" t="s">
        <v>2772</v>
      </c>
      <c r="B1119" s="151" t="s">
        <v>2773</v>
      </c>
    </row>
    <row r="1120" spans="1:2">
      <c r="A1120" s="151" t="s">
        <v>2774</v>
      </c>
      <c r="B1120" s="151" t="s">
        <v>2775</v>
      </c>
    </row>
    <row r="1121" spans="1:2">
      <c r="A1121" s="151" t="s">
        <v>2776</v>
      </c>
      <c r="B1121" s="151" t="s">
        <v>2777</v>
      </c>
    </row>
    <row r="1122" spans="1:2">
      <c r="A1122" s="151" t="s">
        <v>2778</v>
      </c>
      <c r="B1122" s="151" t="s">
        <v>2779</v>
      </c>
    </row>
    <row r="1123" spans="1:2">
      <c r="A1123" s="151" t="s">
        <v>2780</v>
      </c>
      <c r="B1123" s="151" t="s">
        <v>2781</v>
      </c>
    </row>
    <row r="1124" spans="1:2">
      <c r="A1124" s="151" t="s">
        <v>2782</v>
      </c>
      <c r="B1124" s="151" t="s">
        <v>2783</v>
      </c>
    </row>
    <row r="1125" spans="1:2">
      <c r="A1125" s="151" t="s">
        <v>2784</v>
      </c>
      <c r="B1125" s="151" t="s">
        <v>2785</v>
      </c>
    </row>
    <row r="1126" spans="1:2">
      <c r="A1126" s="151" t="s">
        <v>2786</v>
      </c>
      <c r="B1126" s="151" t="s">
        <v>2787</v>
      </c>
    </row>
    <row r="1127" spans="1:2">
      <c r="A1127" s="151" t="s">
        <v>2788</v>
      </c>
      <c r="B1127" s="151" t="s">
        <v>2789</v>
      </c>
    </row>
    <row r="1128" spans="1:2">
      <c r="A1128" s="151" t="s">
        <v>2790</v>
      </c>
      <c r="B1128" s="151" t="s">
        <v>2791</v>
      </c>
    </row>
    <row r="1129" spans="1:2">
      <c r="A1129" s="151" t="s">
        <v>2792</v>
      </c>
      <c r="B1129" s="151" t="s">
        <v>2793</v>
      </c>
    </row>
    <row r="1130" spans="1:2">
      <c r="A1130" s="151" t="s">
        <v>2794</v>
      </c>
      <c r="B1130" s="151" t="s">
        <v>2795</v>
      </c>
    </row>
    <row r="1131" spans="1:2">
      <c r="A1131" s="151" t="s">
        <v>2796</v>
      </c>
      <c r="B1131" s="151" t="s">
        <v>2797</v>
      </c>
    </row>
    <row r="1132" spans="1:2">
      <c r="A1132" s="151" t="s">
        <v>2798</v>
      </c>
      <c r="B1132" s="151" t="s">
        <v>2799</v>
      </c>
    </row>
    <row r="1133" spans="1:2">
      <c r="A1133" s="151" t="s">
        <v>2800</v>
      </c>
      <c r="B1133" s="151" t="s">
        <v>2801</v>
      </c>
    </row>
    <row r="1134" spans="1:2">
      <c r="A1134" s="151" t="s">
        <v>2802</v>
      </c>
      <c r="B1134" s="151" t="s">
        <v>2803</v>
      </c>
    </row>
    <row r="1135" spans="1:2">
      <c r="A1135" s="151" t="s">
        <v>2804</v>
      </c>
      <c r="B1135" s="151" t="s">
        <v>2805</v>
      </c>
    </row>
    <row r="1136" spans="1:2">
      <c r="A1136" s="151" t="s">
        <v>2806</v>
      </c>
      <c r="B1136" s="151" t="s">
        <v>2807</v>
      </c>
    </row>
    <row r="1137" spans="1:2">
      <c r="A1137" s="151" t="s">
        <v>2808</v>
      </c>
      <c r="B1137" s="151" t="s">
        <v>2809</v>
      </c>
    </row>
    <row r="1138" spans="1:2">
      <c r="A1138" s="151" t="s">
        <v>2810</v>
      </c>
      <c r="B1138" s="151" t="s">
        <v>2811</v>
      </c>
    </row>
    <row r="1139" spans="1:2">
      <c r="A1139" s="151" t="s">
        <v>2812</v>
      </c>
      <c r="B1139" s="151" t="s">
        <v>2813</v>
      </c>
    </row>
    <row r="1140" spans="1:2">
      <c r="A1140" s="151" t="s">
        <v>2814</v>
      </c>
      <c r="B1140" s="151" t="s">
        <v>2815</v>
      </c>
    </row>
    <row r="1141" spans="1:2">
      <c r="A1141" s="151" t="s">
        <v>2816</v>
      </c>
      <c r="B1141" s="151" t="s">
        <v>2817</v>
      </c>
    </row>
    <row r="1142" spans="1:2">
      <c r="A1142" s="151" t="s">
        <v>2818</v>
      </c>
      <c r="B1142" s="151" t="s">
        <v>2819</v>
      </c>
    </row>
    <row r="1143" spans="1:2">
      <c r="A1143" s="151" t="s">
        <v>2820</v>
      </c>
      <c r="B1143" s="151" t="s">
        <v>2821</v>
      </c>
    </row>
    <row r="1144" spans="1:2">
      <c r="A1144" s="151" t="s">
        <v>2822</v>
      </c>
      <c r="B1144" s="151" t="s">
        <v>2823</v>
      </c>
    </row>
    <row r="1145" spans="1:2">
      <c r="A1145" s="151" t="s">
        <v>2824</v>
      </c>
      <c r="B1145" s="151" t="s">
        <v>2825</v>
      </c>
    </row>
    <row r="1146" spans="1:2">
      <c r="A1146" s="151" t="s">
        <v>2826</v>
      </c>
      <c r="B1146" s="151" t="s">
        <v>2827</v>
      </c>
    </row>
    <row r="1147" spans="1:2">
      <c r="A1147" s="151" t="s">
        <v>2828</v>
      </c>
      <c r="B1147" s="151" t="s">
        <v>2829</v>
      </c>
    </row>
    <row r="1148" spans="1:2">
      <c r="A1148" s="151" t="s">
        <v>2830</v>
      </c>
      <c r="B1148" s="151" t="s">
        <v>2831</v>
      </c>
    </row>
    <row r="1149" spans="1:2">
      <c r="A1149" s="151" t="s">
        <v>2832</v>
      </c>
      <c r="B1149" s="151" t="s">
        <v>2833</v>
      </c>
    </row>
    <row r="1150" spans="1:2">
      <c r="A1150" s="151" t="s">
        <v>2834</v>
      </c>
      <c r="B1150" s="151" t="s">
        <v>2835</v>
      </c>
    </row>
    <row r="1151" spans="1:2">
      <c r="A1151" s="151" t="s">
        <v>2836</v>
      </c>
      <c r="B1151" s="151" t="s">
        <v>2837</v>
      </c>
    </row>
    <row r="1152" spans="1:2">
      <c r="A1152" s="151" t="s">
        <v>2838</v>
      </c>
      <c r="B1152" s="151" t="s">
        <v>2839</v>
      </c>
    </row>
    <row r="1153" spans="1:2">
      <c r="A1153" s="151" t="s">
        <v>2840</v>
      </c>
      <c r="B1153" s="151" t="s">
        <v>2841</v>
      </c>
    </row>
    <row r="1154" spans="1:2">
      <c r="A1154" s="151" t="s">
        <v>2842</v>
      </c>
      <c r="B1154" s="151" t="s">
        <v>2843</v>
      </c>
    </row>
    <row r="1155" spans="1:2">
      <c r="A1155" s="151" t="s">
        <v>2844</v>
      </c>
      <c r="B1155" s="151" t="s">
        <v>2845</v>
      </c>
    </row>
    <row r="1156" spans="1:2">
      <c r="A1156" s="151" t="s">
        <v>2846</v>
      </c>
      <c r="B1156" s="151" t="s">
        <v>2847</v>
      </c>
    </row>
    <row r="1157" spans="1:2">
      <c r="A1157" s="151" t="s">
        <v>2848</v>
      </c>
      <c r="B1157" s="151" t="s">
        <v>2849</v>
      </c>
    </row>
    <row r="1158" spans="1:2">
      <c r="A1158" s="151" t="s">
        <v>2850</v>
      </c>
      <c r="B1158" s="151" t="s">
        <v>2851</v>
      </c>
    </row>
    <row r="1159" spans="1:2">
      <c r="A1159" s="151" t="s">
        <v>2852</v>
      </c>
      <c r="B1159" s="151" t="s">
        <v>2853</v>
      </c>
    </row>
    <row r="1160" spans="1:2">
      <c r="A1160" s="151" t="s">
        <v>2854</v>
      </c>
      <c r="B1160" s="151" t="s">
        <v>2855</v>
      </c>
    </row>
    <row r="1161" spans="1:2">
      <c r="A1161" s="151" t="s">
        <v>2856</v>
      </c>
      <c r="B1161" s="151" t="s">
        <v>2857</v>
      </c>
    </row>
    <row r="1162" spans="1:2">
      <c r="A1162" s="151" t="s">
        <v>2858</v>
      </c>
      <c r="B1162" s="151" t="s">
        <v>2859</v>
      </c>
    </row>
    <row r="1163" spans="1:2">
      <c r="A1163" s="151" t="s">
        <v>2860</v>
      </c>
      <c r="B1163" s="151" t="s">
        <v>2861</v>
      </c>
    </row>
    <row r="1164" spans="1:2">
      <c r="A1164" s="151" t="s">
        <v>2862</v>
      </c>
      <c r="B1164" s="151" t="s">
        <v>2863</v>
      </c>
    </row>
    <row r="1165" spans="1:2">
      <c r="A1165" s="151" t="s">
        <v>2864</v>
      </c>
      <c r="B1165" s="151" t="s">
        <v>2865</v>
      </c>
    </row>
    <row r="1166" spans="1:2">
      <c r="A1166" s="151" t="s">
        <v>2866</v>
      </c>
      <c r="B1166" s="151" t="s">
        <v>2867</v>
      </c>
    </row>
    <row r="1167" spans="1:2">
      <c r="A1167" s="151" t="s">
        <v>2868</v>
      </c>
      <c r="B1167" s="151" t="s">
        <v>2869</v>
      </c>
    </row>
    <row r="1168" spans="1:2">
      <c r="A1168" s="151" t="s">
        <v>2870</v>
      </c>
      <c r="B1168" s="151" t="s">
        <v>2871</v>
      </c>
    </row>
    <row r="1169" spans="1:2">
      <c r="A1169" s="151" t="s">
        <v>2872</v>
      </c>
      <c r="B1169" s="151" t="s">
        <v>2873</v>
      </c>
    </row>
    <row r="1170" spans="1:2">
      <c r="A1170" s="151" t="s">
        <v>2874</v>
      </c>
      <c r="B1170" s="151" t="s">
        <v>2875</v>
      </c>
    </row>
    <row r="1171" spans="1:2">
      <c r="A1171" s="151" t="s">
        <v>2876</v>
      </c>
      <c r="B1171" s="151" t="s">
        <v>2877</v>
      </c>
    </row>
    <row r="1172" spans="1:2">
      <c r="A1172" s="151" t="s">
        <v>2878</v>
      </c>
      <c r="B1172" s="151" t="s">
        <v>2879</v>
      </c>
    </row>
    <row r="1173" spans="1:2">
      <c r="A1173" s="151" t="s">
        <v>2880</v>
      </c>
      <c r="B1173" s="151" t="s">
        <v>2881</v>
      </c>
    </row>
    <row r="1174" spans="1:2">
      <c r="A1174" s="151" t="s">
        <v>2882</v>
      </c>
      <c r="B1174" s="151" t="s">
        <v>2883</v>
      </c>
    </row>
    <row r="1175" spans="1:2">
      <c r="A1175" s="151" t="s">
        <v>2884</v>
      </c>
      <c r="B1175" s="151" t="s">
        <v>2885</v>
      </c>
    </row>
    <row r="1176" spans="1:2">
      <c r="A1176" s="151" t="s">
        <v>2886</v>
      </c>
      <c r="B1176" s="151" t="s">
        <v>2887</v>
      </c>
    </row>
    <row r="1177" spans="1:2">
      <c r="A1177" s="151" t="s">
        <v>2888</v>
      </c>
      <c r="B1177" s="151" t="s">
        <v>2889</v>
      </c>
    </row>
    <row r="1178" spans="1:2">
      <c r="A1178" s="151" t="s">
        <v>2890</v>
      </c>
      <c r="B1178" s="151" t="s">
        <v>2891</v>
      </c>
    </row>
    <row r="1179" spans="1:2">
      <c r="A1179" s="151" t="s">
        <v>2892</v>
      </c>
      <c r="B1179" s="151" t="s">
        <v>2893</v>
      </c>
    </row>
    <row r="1180" spans="1:2">
      <c r="A1180" s="151" t="s">
        <v>2894</v>
      </c>
      <c r="B1180" s="151" t="s">
        <v>2895</v>
      </c>
    </row>
    <row r="1181" spans="1:2">
      <c r="A1181" s="151" t="s">
        <v>2896</v>
      </c>
      <c r="B1181" s="151" t="s">
        <v>2897</v>
      </c>
    </row>
    <row r="1182" spans="1:2">
      <c r="A1182" s="151" t="s">
        <v>2898</v>
      </c>
      <c r="B1182" s="151" t="s">
        <v>2899</v>
      </c>
    </row>
    <row r="1183" spans="1:2">
      <c r="A1183" s="151" t="s">
        <v>2900</v>
      </c>
      <c r="B1183" s="151" t="s">
        <v>2901</v>
      </c>
    </row>
    <row r="1184" spans="1:2">
      <c r="A1184" s="151" t="s">
        <v>2902</v>
      </c>
      <c r="B1184" s="151" t="s">
        <v>2903</v>
      </c>
    </row>
    <row r="1185" spans="1:2">
      <c r="A1185" s="151" t="s">
        <v>2904</v>
      </c>
      <c r="B1185" s="151" t="s">
        <v>2905</v>
      </c>
    </row>
    <row r="1186" spans="1:2">
      <c r="A1186" s="151" t="s">
        <v>2906</v>
      </c>
      <c r="B1186" s="151" t="s">
        <v>2907</v>
      </c>
    </row>
    <row r="1187" spans="1:2">
      <c r="A1187" s="151" t="s">
        <v>2908</v>
      </c>
      <c r="B1187" s="151" t="s">
        <v>2909</v>
      </c>
    </row>
    <row r="1188" spans="1:2">
      <c r="A1188" s="151" t="s">
        <v>2910</v>
      </c>
      <c r="B1188" s="151" t="s">
        <v>2911</v>
      </c>
    </row>
    <row r="1189" spans="1:2">
      <c r="A1189" s="151" t="s">
        <v>2912</v>
      </c>
      <c r="B1189" s="151" t="s">
        <v>2913</v>
      </c>
    </row>
    <row r="1190" spans="1:2">
      <c r="A1190" s="151" t="s">
        <v>2914</v>
      </c>
      <c r="B1190" s="151" t="s">
        <v>2915</v>
      </c>
    </row>
    <row r="1191" spans="1:2">
      <c r="A1191" s="151" t="s">
        <v>2916</v>
      </c>
      <c r="B1191" s="151" t="s">
        <v>2917</v>
      </c>
    </row>
    <row r="1192" spans="1:2">
      <c r="A1192" s="151" t="s">
        <v>2918</v>
      </c>
      <c r="B1192" s="151" t="s">
        <v>2919</v>
      </c>
    </row>
    <row r="1193" spans="1:2">
      <c r="A1193" s="151" t="s">
        <v>2920</v>
      </c>
      <c r="B1193" s="151" t="s">
        <v>2921</v>
      </c>
    </row>
    <row r="1194" spans="1:2">
      <c r="A1194" s="151" t="s">
        <v>2922</v>
      </c>
      <c r="B1194" s="151" t="s">
        <v>2923</v>
      </c>
    </row>
    <row r="1195" spans="1:2">
      <c r="A1195" s="151" t="s">
        <v>2924</v>
      </c>
      <c r="B1195" s="151" t="s">
        <v>2925</v>
      </c>
    </row>
    <row r="1196" spans="1:2">
      <c r="A1196" s="151" t="s">
        <v>2926</v>
      </c>
      <c r="B1196" s="151" t="s">
        <v>2927</v>
      </c>
    </row>
    <row r="1197" spans="1:2">
      <c r="A1197" s="151" t="s">
        <v>2928</v>
      </c>
      <c r="B1197" s="151" t="s">
        <v>2929</v>
      </c>
    </row>
    <row r="1198" spans="1:2">
      <c r="A1198" s="151" t="s">
        <v>2930</v>
      </c>
      <c r="B1198" s="151" t="s">
        <v>2931</v>
      </c>
    </row>
    <row r="1199" spans="1:2">
      <c r="A1199" s="151" t="s">
        <v>2932</v>
      </c>
      <c r="B1199" s="151" t="s">
        <v>2933</v>
      </c>
    </row>
    <row r="1200" spans="1:2">
      <c r="A1200" s="151" t="s">
        <v>2934</v>
      </c>
      <c r="B1200" s="151" t="s">
        <v>2935</v>
      </c>
    </row>
    <row r="1201" spans="1:2">
      <c r="A1201" s="151" t="s">
        <v>2936</v>
      </c>
      <c r="B1201" s="151" t="s">
        <v>2937</v>
      </c>
    </row>
    <row r="1202" spans="1:2">
      <c r="A1202" s="151" t="s">
        <v>2938</v>
      </c>
      <c r="B1202" s="151" t="s">
        <v>2939</v>
      </c>
    </row>
    <row r="1203" spans="1:2">
      <c r="A1203" s="151" t="s">
        <v>2940</v>
      </c>
      <c r="B1203" s="151" t="s">
        <v>2941</v>
      </c>
    </row>
    <row r="1204" spans="1:2">
      <c r="A1204" s="151" t="s">
        <v>2942</v>
      </c>
      <c r="B1204" s="151" t="s">
        <v>2943</v>
      </c>
    </row>
    <row r="1205" spans="1:2">
      <c r="A1205" s="151" t="s">
        <v>2944</v>
      </c>
      <c r="B1205" s="151" t="s">
        <v>2945</v>
      </c>
    </row>
    <row r="1206" spans="1:2">
      <c r="A1206" s="151" t="s">
        <v>2946</v>
      </c>
      <c r="B1206" s="151" t="s">
        <v>2947</v>
      </c>
    </row>
    <row r="1207" spans="1:2">
      <c r="A1207" s="151" t="s">
        <v>2948</v>
      </c>
      <c r="B1207" s="151" t="s">
        <v>2949</v>
      </c>
    </row>
    <row r="1208" spans="1:2">
      <c r="A1208" s="151" t="s">
        <v>2950</v>
      </c>
      <c r="B1208" s="151" t="s">
        <v>2951</v>
      </c>
    </row>
    <row r="1209" spans="1:2">
      <c r="A1209" s="151" t="s">
        <v>2952</v>
      </c>
      <c r="B1209" s="151" t="s">
        <v>2953</v>
      </c>
    </row>
    <row r="1210" spans="1:2">
      <c r="A1210" s="151" t="s">
        <v>2954</v>
      </c>
      <c r="B1210" s="151" t="s">
        <v>2955</v>
      </c>
    </row>
    <row r="1211" spans="1:2">
      <c r="A1211" s="151" t="s">
        <v>2956</v>
      </c>
      <c r="B1211" s="151" t="s">
        <v>2957</v>
      </c>
    </row>
    <row r="1212" spans="1:2">
      <c r="A1212" s="151" t="s">
        <v>2958</v>
      </c>
      <c r="B1212" s="151" t="s">
        <v>2959</v>
      </c>
    </row>
    <row r="1213" spans="1:2">
      <c r="A1213" s="151" t="s">
        <v>2960</v>
      </c>
      <c r="B1213" s="151" t="s">
        <v>2961</v>
      </c>
    </row>
    <row r="1214" spans="1:2">
      <c r="A1214" s="151" t="s">
        <v>2962</v>
      </c>
      <c r="B1214" s="151" t="s">
        <v>2963</v>
      </c>
    </row>
    <row r="1215" spans="1:2">
      <c r="A1215" s="151" t="s">
        <v>2964</v>
      </c>
      <c r="B1215" s="151" t="s">
        <v>2965</v>
      </c>
    </row>
    <row r="1216" spans="1:2">
      <c r="A1216" s="151" t="s">
        <v>2966</v>
      </c>
      <c r="B1216" s="151" t="s">
        <v>2967</v>
      </c>
    </row>
    <row r="1217" spans="1:2">
      <c r="A1217" s="151" t="s">
        <v>2968</v>
      </c>
      <c r="B1217" s="151" t="s">
        <v>2969</v>
      </c>
    </row>
    <row r="1218" spans="1:2">
      <c r="A1218" s="151" t="s">
        <v>2970</v>
      </c>
      <c r="B1218" s="151" t="s">
        <v>2971</v>
      </c>
    </row>
    <row r="1219" spans="1:2">
      <c r="A1219" s="151" t="s">
        <v>2972</v>
      </c>
      <c r="B1219" s="151" t="s">
        <v>2973</v>
      </c>
    </row>
    <row r="1220" spans="1:2">
      <c r="A1220" s="151" t="s">
        <v>2974</v>
      </c>
      <c r="B1220" s="151" t="s">
        <v>2975</v>
      </c>
    </row>
    <row r="1221" spans="1:2">
      <c r="A1221" s="151" t="s">
        <v>2976</v>
      </c>
      <c r="B1221" s="151" t="s">
        <v>2977</v>
      </c>
    </row>
    <row r="1222" spans="1:2">
      <c r="A1222" s="151" t="s">
        <v>2978</v>
      </c>
      <c r="B1222" s="151" t="s">
        <v>2979</v>
      </c>
    </row>
    <row r="1223" spans="1:2">
      <c r="A1223" s="151" t="s">
        <v>2980</v>
      </c>
      <c r="B1223" s="151" t="s">
        <v>2981</v>
      </c>
    </row>
    <row r="1224" spans="1:2">
      <c r="A1224" s="151" t="s">
        <v>2982</v>
      </c>
      <c r="B1224" s="151" t="s">
        <v>2983</v>
      </c>
    </row>
    <row r="1225" spans="1:2">
      <c r="A1225" s="151" t="s">
        <v>2984</v>
      </c>
      <c r="B1225" s="151" t="s">
        <v>2985</v>
      </c>
    </row>
    <row r="1226" spans="1:2">
      <c r="A1226" s="151" t="s">
        <v>2986</v>
      </c>
      <c r="B1226" s="151" t="s">
        <v>2987</v>
      </c>
    </row>
    <row r="1227" spans="1:2">
      <c r="A1227" s="151" t="s">
        <v>2988</v>
      </c>
      <c r="B1227" s="151" t="s">
        <v>2989</v>
      </c>
    </row>
    <row r="1228" spans="1:2">
      <c r="A1228" s="151" t="s">
        <v>2990</v>
      </c>
      <c r="B1228" s="151" t="s">
        <v>2991</v>
      </c>
    </row>
    <row r="1229" spans="1:2">
      <c r="A1229" s="151" t="s">
        <v>2992</v>
      </c>
      <c r="B1229" s="151" t="s">
        <v>2993</v>
      </c>
    </row>
    <row r="1230" spans="1:2">
      <c r="A1230" s="151" t="s">
        <v>2994</v>
      </c>
      <c r="B1230" s="151" t="s">
        <v>2995</v>
      </c>
    </row>
    <row r="1231" spans="1:2">
      <c r="A1231" s="151" t="s">
        <v>2996</v>
      </c>
      <c r="B1231" s="151" t="s">
        <v>2997</v>
      </c>
    </row>
    <row r="1232" spans="1:2">
      <c r="A1232" s="151" t="s">
        <v>2998</v>
      </c>
      <c r="B1232" s="151" t="s">
        <v>2999</v>
      </c>
    </row>
    <row r="1233" spans="1:2">
      <c r="A1233" s="151" t="s">
        <v>3000</v>
      </c>
      <c r="B1233" s="151" t="s">
        <v>3001</v>
      </c>
    </row>
    <row r="1234" spans="1:2">
      <c r="A1234" s="151" t="s">
        <v>3002</v>
      </c>
      <c r="B1234" s="151" t="s">
        <v>3003</v>
      </c>
    </row>
    <row r="1235" spans="1:2">
      <c r="A1235" s="151" t="s">
        <v>3004</v>
      </c>
      <c r="B1235" s="151" t="s">
        <v>3005</v>
      </c>
    </row>
    <row r="1236" spans="1:2">
      <c r="A1236" s="151" t="s">
        <v>3006</v>
      </c>
      <c r="B1236" s="151" t="s">
        <v>3007</v>
      </c>
    </row>
    <row r="1237" spans="1:2">
      <c r="A1237" s="151" t="s">
        <v>3008</v>
      </c>
      <c r="B1237" s="151" t="s">
        <v>3009</v>
      </c>
    </row>
    <row r="1238" spans="1:2">
      <c r="A1238" s="151" t="s">
        <v>3010</v>
      </c>
      <c r="B1238" s="151" t="s">
        <v>3011</v>
      </c>
    </row>
    <row r="1239" spans="1:2">
      <c r="A1239" s="151" t="s">
        <v>3012</v>
      </c>
      <c r="B1239" s="151" t="s">
        <v>3013</v>
      </c>
    </row>
    <row r="1240" spans="1:2">
      <c r="A1240" s="151" t="s">
        <v>3014</v>
      </c>
      <c r="B1240" s="151" t="s">
        <v>3015</v>
      </c>
    </row>
    <row r="1241" spans="1:2">
      <c r="A1241" s="151" t="s">
        <v>3016</v>
      </c>
      <c r="B1241" s="151" t="s">
        <v>3017</v>
      </c>
    </row>
    <row r="1242" spans="1:2">
      <c r="A1242" s="151" t="s">
        <v>3018</v>
      </c>
      <c r="B1242" s="151" t="s">
        <v>3019</v>
      </c>
    </row>
    <row r="1243" spans="1:2">
      <c r="A1243" s="151" t="s">
        <v>3020</v>
      </c>
      <c r="B1243" s="151" t="s">
        <v>3021</v>
      </c>
    </row>
    <row r="1244" spans="1:2">
      <c r="A1244" s="151" t="s">
        <v>3022</v>
      </c>
      <c r="B1244" s="151" t="s">
        <v>3023</v>
      </c>
    </row>
    <row r="1245" spans="1:2">
      <c r="A1245" s="151" t="s">
        <v>3024</v>
      </c>
      <c r="B1245" s="151" t="s">
        <v>3025</v>
      </c>
    </row>
    <row r="1246" spans="1:2">
      <c r="A1246" s="151" t="s">
        <v>3026</v>
      </c>
      <c r="B1246" s="151" t="s">
        <v>3027</v>
      </c>
    </row>
    <row r="1247" spans="1:2">
      <c r="A1247" s="151" t="s">
        <v>3028</v>
      </c>
      <c r="B1247" s="151" t="s">
        <v>3029</v>
      </c>
    </row>
    <row r="1248" spans="1:2">
      <c r="A1248" s="151" t="s">
        <v>3030</v>
      </c>
      <c r="B1248" s="151" t="s">
        <v>3031</v>
      </c>
    </row>
    <row r="1249" spans="1:2">
      <c r="A1249" s="151" t="s">
        <v>3032</v>
      </c>
      <c r="B1249" s="151" t="s">
        <v>3033</v>
      </c>
    </row>
    <row r="1250" spans="1:2">
      <c r="A1250" s="151" t="s">
        <v>3034</v>
      </c>
      <c r="B1250" s="151" t="s">
        <v>3035</v>
      </c>
    </row>
    <row r="1251" spans="1:2">
      <c r="A1251" s="151" t="s">
        <v>3036</v>
      </c>
      <c r="B1251" s="151" t="s">
        <v>3037</v>
      </c>
    </row>
    <row r="1252" spans="1:2">
      <c r="A1252" s="151" t="s">
        <v>3038</v>
      </c>
      <c r="B1252" s="151" t="s">
        <v>3039</v>
      </c>
    </row>
    <row r="1253" spans="1:2">
      <c r="A1253" s="151" t="s">
        <v>3040</v>
      </c>
      <c r="B1253" s="151" t="s">
        <v>3041</v>
      </c>
    </row>
    <row r="1254" spans="1:2">
      <c r="A1254" s="151" t="s">
        <v>3042</v>
      </c>
      <c r="B1254" s="151" t="s">
        <v>3043</v>
      </c>
    </row>
    <row r="1255" spans="1:2">
      <c r="A1255" s="151" t="s">
        <v>3044</v>
      </c>
      <c r="B1255" s="151" t="s">
        <v>3045</v>
      </c>
    </row>
    <row r="1256" spans="1:2">
      <c r="A1256" s="151" t="s">
        <v>3046</v>
      </c>
      <c r="B1256" s="151" t="s">
        <v>3047</v>
      </c>
    </row>
    <row r="1257" spans="1:2">
      <c r="A1257" s="151" t="s">
        <v>3048</v>
      </c>
      <c r="B1257" s="151" t="s">
        <v>3049</v>
      </c>
    </row>
    <row r="1258" spans="1:2">
      <c r="A1258" s="151" t="s">
        <v>3050</v>
      </c>
      <c r="B1258" s="151" t="s">
        <v>3051</v>
      </c>
    </row>
    <row r="1259" spans="1:2">
      <c r="A1259" s="151" t="s">
        <v>3052</v>
      </c>
      <c r="B1259" s="151" t="s">
        <v>3053</v>
      </c>
    </row>
    <row r="1260" spans="1:2">
      <c r="A1260" s="151" t="s">
        <v>3054</v>
      </c>
      <c r="B1260" s="151" t="s">
        <v>3055</v>
      </c>
    </row>
    <row r="1261" spans="1:2">
      <c r="A1261" s="151" t="s">
        <v>3056</v>
      </c>
      <c r="B1261" s="151" t="s">
        <v>3057</v>
      </c>
    </row>
    <row r="1262" spans="1:2">
      <c r="A1262" s="151" t="s">
        <v>3058</v>
      </c>
      <c r="B1262" s="151" t="s">
        <v>310</v>
      </c>
    </row>
    <row r="1263" spans="1:2">
      <c r="A1263" s="151" t="s">
        <v>3059</v>
      </c>
      <c r="B1263" s="151" t="s">
        <v>3060</v>
      </c>
    </row>
    <row r="1264" spans="1:2">
      <c r="A1264" s="151" t="s">
        <v>3061</v>
      </c>
      <c r="B1264" s="151" t="s">
        <v>3062</v>
      </c>
    </row>
    <row r="1265" spans="1:2">
      <c r="A1265" s="151" t="s">
        <v>3063</v>
      </c>
      <c r="B1265" s="151" t="s">
        <v>3064</v>
      </c>
    </row>
    <row r="1266" spans="1:2">
      <c r="A1266" s="151" t="s">
        <v>3065</v>
      </c>
      <c r="B1266" s="151" t="s">
        <v>3066</v>
      </c>
    </row>
    <row r="1267" spans="1:2">
      <c r="A1267" s="151" t="s">
        <v>3067</v>
      </c>
      <c r="B1267" s="151" t="s">
        <v>3068</v>
      </c>
    </row>
    <row r="1268" spans="1:2">
      <c r="A1268" s="151" t="s">
        <v>3069</v>
      </c>
      <c r="B1268" s="151" t="s">
        <v>3070</v>
      </c>
    </row>
    <row r="1269" spans="1:2">
      <c r="A1269" s="151" t="s">
        <v>3071</v>
      </c>
      <c r="B1269" s="151" t="s">
        <v>315</v>
      </c>
    </row>
    <row r="1270" spans="1:2">
      <c r="A1270" s="151" t="s">
        <v>3072</v>
      </c>
      <c r="B1270" s="151" t="s">
        <v>3073</v>
      </c>
    </row>
    <row r="1271" spans="1:2">
      <c r="A1271" s="151" t="s">
        <v>3074</v>
      </c>
      <c r="B1271" s="151" t="s">
        <v>3075</v>
      </c>
    </row>
    <row r="1272" spans="1:2">
      <c r="A1272" s="151" t="s">
        <v>3076</v>
      </c>
      <c r="B1272" s="151" t="s">
        <v>3077</v>
      </c>
    </row>
    <row r="1273" spans="1:2">
      <c r="A1273" s="151" t="s">
        <v>3078</v>
      </c>
      <c r="B1273" s="151" t="s">
        <v>3079</v>
      </c>
    </row>
    <row r="1274" spans="1:2">
      <c r="A1274" s="151" t="s">
        <v>3080</v>
      </c>
      <c r="B1274" s="151" t="s">
        <v>3081</v>
      </c>
    </row>
    <row r="1275" spans="1:2">
      <c r="A1275" s="151" t="s">
        <v>3082</v>
      </c>
      <c r="B1275" s="151" t="s">
        <v>3083</v>
      </c>
    </row>
    <row r="1276" spans="1:2">
      <c r="A1276" s="151" t="s">
        <v>3084</v>
      </c>
      <c r="B1276" s="151" t="s">
        <v>3085</v>
      </c>
    </row>
    <row r="1277" spans="1:2">
      <c r="A1277" s="151" t="s">
        <v>3086</v>
      </c>
      <c r="B1277" s="151" t="s">
        <v>3087</v>
      </c>
    </row>
    <row r="1278" spans="1:2">
      <c r="A1278" s="151" t="s">
        <v>3088</v>
      </c>
      <c r="B1278" s="151" t="s">
        <v>3089</v>
      </c>
    </row>
    <row r="1279" spans="1:2">
      <c r="A1279" s="151" t="s">
        <v>3090</v>
      </c>
      <c r="B1279" s="151" t="s">
        <v>320</v>
      </c>
    </row>
    <row r="1280" spans="1:2">
      <c r="A1280" s="151" t="s">
        <v>3091</v>
      </c>
      <c r="B1280" s="151" t="s">
        <v>3092</v>
      </c>
    </row>
    <row r="1281" spans="1:2">
      <c r="A1281" s="151" t="s">
        <v>3093</v>
      </c>
      <c r="B1281" s="151" t="s">
        <v>3094</v>
      </c>
    </row>
    <row r="1282" spans="1:2">
      <c r="A1282" s="151" t="s">
        <v>3095</v>
      </c>
      <c r="B1282" s="151" t="s">
        <v>3096</v>
      </c>
    </row>
    <row r="1283" spans="1:2">
      <c r="A1283" s="151" t="s">
        <v>3097</v>
      </c>
      <c r="B1283" s="151" t="s">
        <v>325</v>
      </c>
    </row>
    <row r="1284" spans="1:2">
      <c r="A1284" s="151" t="s">
        <v>3098</v>
      </c>
      <c r="B1284" s="151" t="s">
        <v>330</v>
      </c>
    </row>
    <row r="1285" spans="1:2">
      <c r="A1285" s="151" t="s">
        <v>3099</v>
      </c>
      <c r="B1285" s="151" t="s">
        <v>335</v>
      </c>
    </row>
    <row r="1286" spans="1:2">
      <c r="A1286" s="151" t="s">
        <v>3100</v>
      </c>
      <c r="B1286" s="151" t="s">
        <v>3101</v>
      </c>
    </row>
    <row r="1287" spans="1:2">
      <c r="A1287" s="151" t="s">
        <v>3102</v>
      </c>
      <c r="B1287" s="151" t="s">
        <v>3103</v>
      </c>
    </row>
    <row r="1288" spans="1:2">
      <c r="A1288" s="151" t="s">
        <v>3104</v>
      </c>
      <c r="B1288" s="151" t="s">
        <v>3105</v>
      </c>
    </row>
    <row r="1289" spans="1:2">
      <c r="A1289" s="151" t="s">
        <v>3106</v>
      </c>
      <c r="B1289" s="151" t="s">
        <v>3107</v>
      </c>
    </row>
    <row r="1290" spans="1:2">
      <c r="A1290" s="151" t="s">
        <v>3108</v>
      </c>
      <c r="B1290" s="151" t="s">
        <v>3109</v>
      </c>
    </row>
    <row r="1291" spans="1:2">
      <c r="A1291" s="151" t="s">
        <v>3110</v>
      </c>
      <c r="B1291" s="151" t="s">
        <v>3111</v>
      </c>
    </row>
    <row r="1292" spans="1:2">
      <c r="A1292" s="151" t="s">
        <v>3112</v>
      </c>
      <c r="B1292" s="151" t="s">
        <v>3113</v>
      </c>
    </row>
    <row r="1293" spans="1:2">
      <c r="A1293" s="151" t="s">
        <v>3114</v>
      </c>
      <c r="B1293" s="151" t="s">
        <v>3115</v>
      </c>
    </row>
    <row r="1294" spans="1:2">
      <c r="A1294" s="151" t="s">
        <v>3116</v>
      </c>
      <c r="B1294" s="151" t="s">
        <v>3117</v>
      </c>
    </row>
    <row r="1295" spans="1:2">
      <c r="A1295" s="151" t="s">
        <v>3118</v>
      </c>
      <c r="B1295" s="151" t="s">
        <v>3119</v>
      </c>
    </row>
    <row r="1296" spans="1:2">
      <c r="A1296" s="151" t="s">
        <v>3120</v>
      </c>
      <c r="B1296" s="151" t="s">
        <v>3121</v>
      </c>
    </row>
    <row r="1297" spans="1:2">
      <c r="A1297" s="151" t="s">
        <v>3122</v>
      </c>
      <c r="B1297" s="151" t="s">
        <v>3123</v>
      </c>
    </row>
    <row r="1298" spans="1:2">
      <c r="A1298" s="151" t="s">
        <v>3124</v>
      </c>
      <c r="B1298" s="151" t="s">
        <v>3125</v>
      </c>
    </row>
    <row r="1299" spans="1:2">
      <c r="A1299" s="151" t="s">
        <v>3126</v>
      </c>
      <c r="B1299" s="151" t="s">
        <v>3127</v>
      </c>
    </row>
    <row r="1300" spans="1:2">
      <c r="A1300" s="151" t="s">
        <v>3128</v>
      </c>
      <c r="B1300" s="151" t="s">
        <v>340</v>
      </c>
    </row>
    <row r="1301" spans="1:2">
      <c r="A1301" s="151" t="s">
        <v>3129</v>
      </c>
      <c r="B1301" s="151" t="s">
        <v>3130</v>
      </c>
    </row>
    <row r="1302" spans="1:2">
      <c r="A1302" s="151" t="s">
        <v>3131</v>
      </c>
      <c r="B1302" s="151" t="s">
        <v>3132</v>
      </c>
    </row>
    <row r="1303" spans="1:2">
      <c r="A1303" s="151" t="s">
        <v>3133</v>
      </c>
      <c r="B1303" s="151" t="s">
        <v>345</v>
      </c>
    </row>
    <row r="1304" spans="1:2">
      <c r="A1304" s="151" t="s">
        <v>3134</v>
      </c>
      <c r="B1304" s="151" t="s">
        <v>3135</v>
      </c>
    </row>
    <row r="1305" spans="1:2">
      <c r="A1305" s="151" t="s">
        <v>3136</v>
      </c>
      <c r="B1305" s="151" t="s">
        <v>3137</v>
      </c>
    </row>
    <row r="1306" spans="1:2">
      <c r="A1306" s="151" t="s">
        <v>3138</v>
      </c>
      <c r="B1306" s="151" t="s">
        <v>3139</v>
      </c>
    </row>
    <row r="1307" spans="1:2">
      <c r="A1307" s="151" t="s">
        <v>3140</v>
      </c>
      <c r="B1307" s="151" t="s">
        <v>3141</v>
      </c>
    </row>
    <row r="1308" spans="1:2">
      <c r="A1308" s="151" t="s">
        <v>3142</v>
      </c>
      <c r="B1308" s="151" t="s">
        <v>3143</v>
      </c>
    </row>
    <row r="1309" spans="1:2">
      <c r="A1309" s="151" t="s">
        <v>3144</v>
      </c>
      <c r="B1309" s="151" t="s">
        <v>3145</v>
      </c>
    </row>
    <row r="1310" spans="1:2">
      <c r="A1310" s="151" t="s">
        <v>3146</v>
      </c>
      <c r="B1310" s="151" t="s">
        <v>3147</v>
      </c>
    </row>
    <row r="1311" spans="1:2">
      <c r="A1311" s="151" t="s">
        <v>3148</v>
      </c>
      <c r="B1311" s="151" t="s">
        <v>3149</v>
      </c>
    </row>
    <row r="1312" spans="1:2">
      <c r="A1312" s="151" t="s">
        <v>3150</v>
      </c>
      <c r="B1312" s="151" t="s">
        <v>3151</v>
      </c>
    </row>
    <row r="1313" spans="1:2">
      <c r="A1313" s="151" t="s">
        <v>3152</v>
      </c>
      <c r="B1313" s="151" t="s">
        <v>3153</v>
      </c>
    </row>
    <row r="1314" spans="1:2">
      <c r="A1314" s="151" t="s">
        <v>3154</v>
      </c>
      <c r="B1314" s="151" t="s">
        <v>3155</v>
      </c>
    </row>
    <row r="1315" spans="1:2">
      <c r="A1315" s="151" t="s">
        <v>3156</v>
      </c>
      <c r="B1315" s="151" t="s">
        <v>3157</v>
      </c>
    </row>
    <row r="1316" spans="1:2">
      <c r="A1316" s="151" t="s">
        <v>3158</v>
      </c>
      <c r="B1316" s="151" t="s">
        <v>3159</v>
      </c>
    </row>
    <row r="1317" spans="1:2">
      <c r="A1317" s="151" t="s">
        <v>3160</v>
      </c>
      <c r="B1317" s="151" t="s">
        <v>3161</v>
      </c>
    </row>
    <row r="1318" spans="1:2">
      <c r="A1318" s="151" t="s">
        <v>3162</v>
      </c>
      <c r="B1318" s="151" t="s">
        <v>3163</v>
      </c>
    </row>
    <row r="1319" spans="1:2">
      <c r="A1319" s="151" t="s">
        <v>3164</v>
      </c>
      <c r="B1319" s="151" t="s">
        <v>3165</v>
      </c>
    </row>
    <row r="1320" spans="1:2">
      <c r="A1320" s="151" t="s">
        <v>3166</v>
      </c>
      <c r="B1320" s="151" t="s">
        <v>3167</v>
      </c>
    </row>
    <row r="1321" spans="1:2">
      <c r="A1321" s="151" t="s">
        <v>3168</v>
      </c>
      <c r="B1321" s="151" t="s">
        <v>3169</v>
      </c>
    </row>
    <row r="1322" spans="1:2">
      <c r="A1322" s="151" t="s">
        <v>3170</v>
      </c>
      <c r="B1322" s="151" t="s">
        <v>3171</v>
      </c>
    </row>
    <row r="1323" spans="1:2">
      <c r="A1323" s="151" t="s">
        <v>3172</v>
      </c>
      <c r="B1323" s="151" t="s">
        <v>3173</v>
      </c>
    </row>
    <row r="1324" spans="1:2">
      <c r="A1324" s="151" t="s">
        <v>3174</v>
      </c>
      <c r="B1324" s="151" t="s">
        <v>3175</v>
      </c>
    </row>
    <row r="1325" spans="1:2">
      <c r="A1325" s="151" t="s">
        <v>3176</v>
      </c>
      <c r="B1325" s="151" t="s">
        <v>3177</v>
      </c>
    </row>
    <row r="1326" spans="1:2">
      <c r="A1326" s="151" t="s">
        <v>3178</v>
      </c>
      <c r="B1326" s="151" t="s">
        <v>3179</v>
      </c>
    </row>
    <row r="1327" spans="1:2">
      <c r="A1327" s="151" t="s">
        <v>3180</v>
      </c>
      <c r="B1327" s="151" t="s">
        <v>3181</v>
      </c>
    </row>
    <row r="1328" spans="1:2">
      <c r="A1328" s="151" t="s">
        <v>3182</v>
      </c>
      <c r="B1328" s="151" t="s">
        <v>3183</v>
      </c>
    </row>
    <row r="1329" spans="1:2">
      <c r="A1329" s="151" t="s">
        <v>3184</v>
      </c>
      <c r="B1329" s="151" t="s">
        <v>3185</v>
      </c>
    </row>
    <row r="1330" spans="1:2">
      <c r="A1330" s="151" t="s">
        <v>3186</v>
      </c>
      <c r="B1330" s="151" t="s">
        <v>3187</v>
      </c>
    </row>
    <row r="1331" spans="1:2">
      <c r="A1331" s="151" t="s">
        <v>3188</v>
      </c>
      <c r="B1331" s="151" t="s">
        <v>3189</v>
      </c>
    </row>
    <row r="1332" spans="1:2">
      <c r="A1332" s="151" t="s">
        <v>3190</v>
      </c>
      <c r="B1332" s="151" t="s">
        <v>3191</v>
      </c>
    </row>
    <row r="1333" spans="1:2">
      <c r="A1333" s="151" t="s">
        <v>3192</v>
      </c>
      <c r="B1333" s="151" t="s">
        <v>3193</v>
      </c>
    </row>
    <row r="1334" spans="1:2">
      <c r="A1334" s="151" t="s">
        <v>3194</v>
      </c>
      <c r="B1334" s="151" t="s">
        <v>3195</v>
      </c>
    </row>
    <row r="1335" spans="1:2">
      <c r="A1335" s="151" t="s">
        <v>3196</v>
      </c>
      <c r="B1335" s="151" t="s">
        <v>3197</v>
      </c>
    </row>
    <row r="1336" spans="1:2">
      <c r="A1336" s="151" t="s">
        <v>3198</v>
      </c>
      <c r="B1336" s="151" t="s">
        <v>3199</v>
      </c>
    </row>
    <row r="1337" spans="1:2">
      <c r="A1337" s="151" t="s">
        <v>3200</v>
      </c>
      <c r="B1337" s="151" t="s">
        <v>3201</v>
      </c>
    </row>
    <row r="1338" spans="1:2">
      <c r="A1338" s="151" t="s">
        <v>3202</v>
      </c>
      <c r="B1338" s="151" t="s">
        <v>3203</v>
      </c>
    </row>
    <row r="1339" spans="1:2">
      <c r="A1339" s="151" t="s">
        <v>3204</v>
      </c>
      <c r="B1339" s="151" t="s">
        <v>3205</v>
      </c>
    </row>
    <row r="1340" spans="1:2">
      <c r="A1340" s="151" t="s">
        <v>3206</v>
      </c>
      <c r="B1340" s="151" t="s">
        <v>3207</v>
      </c>
    </row>
    <row r="1341" spans="1:2">
      <c r="A1341" s="151" t="s">
        <v>3208</v>
      </c>
      <c r="B1341" s="151" t="s">
        <v>3209</v>
      </c>
    </row>
    <row r="1342" spans="1:2">
      <c r="A1342" s="151" t="s">
        <v>3210</v>
      </c>
      <c r="B1342" s="151" t="s">
        <v>3211</v>
      </c>
    </row>
    <row r="1343" spans="1:2">
      <c r="A1343" s="151" t="s">
        <v>3212</v>
      </c>
      <c r="B1343" s="151" t="s">
        <v>3213</v>
      </c>
    </row>
    <row r="1344" spans="1:2">
      <c r="A1344" s="151" t="s">
        <v>3214</v>
      </c>
      <c r="B1344" s="151" t="s">
        <v>3215</v>
      </c>
    </row>
    <row r="1345" spans="1:2">
      <c r="A1345" s="151" t="s">
        <v>3216</v>
      </c>
      <c r="B1345" s="151" t="s">
        <v>3217</v>
      </c>
    </row>
    <row r="1346" spans="1:2">
      <c r="A1346" s="151" t="s">
        <v>3218</v>
      </c>
      <c r="B1346" s="151" t="s">
        <v>3219</v>
      </c>
    </row>
    <row r="1347" spans="1:2">
      <c r="A1347" s="151" t="s">
        <v>3220</v>
      </c>
      <c r="B1347" s="151" t="s">
        <v>3221</v>
      </c>
    </row>
    <row r="1348" spans="1:2">
      <c r="A1348" s="151" t="s">
        <v>3222</v>
      </c>
      <c r="B1348" s="151" t="s">
        <v>3223</v>
      </c>
    </row>
    <row r="1349" spans="1:2">
      <c r="A1349" s="151" t="s">
        <v>3224</v>
      </c>
      <c r="B1349" s="151" t="s">
        <v>3225</v>
      </c>
    </row>
    <row r="1350" spans="1:2">
      <c r="A1350" s="151" t="s">
        <v>3226</v>
      </c>
      <c r="B1350" s="151" t="s">
        <v>3227</v>
      </c>
    </row>
    <row r="1351" spans="1:2">
      <c r="A1351" s="151" t="s">
        <v>3228</v>
      </c>
      <c r="B1351" s="151" t="s">
        <v>3229</v>
      </c>
    </row>
    <row r="1352" spans="1:2">
      <c r="A1352" s="151" t="s">
        <v>3230</v>
      </c>
      <c r="B1352" s="151" t="s">
        <v>3231</v>
      </c>
    </row>
    <row r="1353" spans="1:2">
      <c r="A1353" s="151" t="s">
        <v>3232</v>
      </c>
      <c r="B1353" s="151" t="s">
        <v>3233</v>
      </c>
    </row>
    <row r="1354" spans="1:2">
      <c r="A1354" s="151" t="s">
        <v>3234</v>
      </c>
      <c r="B1354" s="151" t="s">
        <v>3235</v>
      </c>
    </row>
    <row r="1355" spans="1:2">
      <c r="A1355" s="151" t="s">
        <v>3236</v>
      </c>
      <c r="B1355" s="151" t="s">
        <v>350</v>
      </c>
    </row>
    <row r="1356" spans="1:2">
      <c r="A1356" s="151" t="s">
        <v>3237</v>
      </c>
      <c r="B1356" s="151" t="s">
        <v>3238</v>
      </c>
    </row>
    <row r="1357" spans="1:2">
      <c r="A1357" s="151" t="s">
        <v>3239</v>
      </c>
      <c r="B1357" s="151" t="s">
        <v>355</v>
      </c>
    </row>
    <row r="1358" spans="1:2">
      <c r="A1358" s="151" t="s">
        <v>3240</v>
      </c>
      <c r="B1358" s="151" t="s">
        <v>3241</v>
      </c>
    </row>
    <row r="1359" spans="1:2">
      <c r="A1359" s="151" t="s">
        <v>3242</v>
      </c>
      <c r="B1359" s="151" t="s">
        <v>3243</v>
      </c>
    </row>
    <row r="1360" spans="1:2">
      <c r="A1360" s="151" t="s">
        <v>3244</v>
      </c>
      <c r="B1360" s="151" t="s">
        <v>3245</v>
      </c>
    </row>
    <row r="1361" spans="1:2">
      <c r="A1361" s="151" t="s">
        <v>3246</v>
      </c>
      <c r="B1361" s="151" t="s">
        <v>3247</v>
      </c>
    </row>
    <row r="1362" spans="1:2">
      <c r="A1362" s="151" t="s">
        <v>3248</v>
      </c>
      <c r="B1362" s="151" t="s">
        <v>3249</v>
      </c>
    </row>
    <row r="1363" spans="1:2">
      <c r="A1363" s="151" t="s">
        <v>3250</v>
      </c>
      <c r="B1363" s="151" t="s">
        <v>3251</v>
      </c>
    </row>
    <row r="1364" spans="1:2">
      <c r="A1364" s="151" t="s">
        <v>3252</v>
      </c>
      <c r="B1364" s="151" t="s">
        <v>3253</v>
      </c>
    </row>
    <row r="1365" spans="1:2">
      <c r="A1365" s="151" t="s">
        <v>3254</v>
      </c>
      <c r="B1365" s="151" t="s">
        <v>3255</v>
      </c>
    </row>
    <row r="1366" spans="1:2">
      <c r="A1366" s="151" t="s">
        <v>3256</v>
      </c>
      <c r="B1366" s="151" t="s">
        <v>3257</v>
      </c>
    </row>
    <row r="1367" spans="1:2">
      <c r="A1367" s="151" t="s">
        <v>3258</v>
      </c>
      <c r="B1367" s="151" t="s">
        <v>3259</v>
      </c>
    </row>
    <row r="1368" spans="1:2">
      <c r="A1368" s="151" t="s">
        <v>3260</v>
      </c>
      <c r="B1368" s="151" t="s">
        <v>3261</v>
      </c>
    </row>
    <row r="1369" spans="1:2">
      <c r="A1369" s="151" t="s">
        <v>3262</v>
      </c>
      <c r="B1369" s="151" t="s">
        <v>3263</v>
      </c>
    </row>
    <row r="1370" spans="1:2">
      <c r="A1370" s="151" t="s">
        <v>3264</v>
      </c>
      <c r="B1370" s="151" t="s">
        <v>3265</v>
      </c>
    </row>
    <row r="1371" spans="1:2">
      <c r="A1371" s="151" t="s">
        <v>3266</v>
      </c>
      <c r="B1371" s="151" t="s">
        <v>3267</v>
      </c>
    </row>
    <row r="1372" spans="1:2">
      <c r="A1372" s="151" t="s">
        <v>3268</v>
      </c>
      <c r="B1372" s="151" t="s">
        <v>3269</v>
      </c>
    </row>
    <row r="1373" spans="1:2">
      <c r="A1373" s="151" t="s">
        <v>3270</v>
      </c>
      <c r="B1373" s="151" t="s">
        <v>3271</v>
      </c>
    </row>
    <row r="1374" spans="1:2">
      <c r="A1374" s="151" t="s">
        <v>3272</v>
      </c>
      <c r="B1374" s="151" t="s">
        <v>3273</v>
      </c>
    </row>
    <row r="1375" spans="1:2">
      <c r="A1375" s="151" t="s">
        <v>3274</v>
      </c>
      <c r="B1375" s="151" t="s">
        <v>3275</v>
      </c>
    </row>
    <row r="1376" spans="1:2">
      <c r="A1376" s="151" t="s">
        <v>3276</v>
      </c>
      <c r="B1376" s="151" t="s">
        <v>3277</v>
      </c>
    </row>
    <row r="1377" spans="1:2">
      <c r="A1377" s="151" t="s">
        <v>3278</v>
      </c>
      <c r="B1377" s="151" t="s">
        <v>3279</v>
      </c>
    </row>
    <row r="1378" spans="1:2">
      <c r="A1378" s="151" t="s">
        <v>3280</v>
      </c>
      <c r="B1378" s="151" t="s">
        <v>3281</v>
      </c>
    </row>
    <row r="1379" spans="1:2">
      <c r="A1379" s="151" t="s">
        <v>3282</v>
      </c>
      <c r="B1379" s="151" t="s">
        <v>3283</v>
      </c>
    </row>
    <row r="1380" spans="1:2">
      <c r="A1380" s="151" t="s">
        <v>3284</v>
      </c>
      <c r="B1380" s="151" t="s">
        <v>3285</v>
      </c>
    </row>
    <row r="1381" spans="1:2">
      <c r="A1381" s="151" t="s">
        <v>3286</v>
      </c>
      <c r="B1381" s="151" t="s">
        <v>3287</v>
      </c>
    </row>
    <row r="1382" spans="1:2">
      <c r="A1382" s="151" t="s">
        <v>3288</v>
      </c>
      <c r="B1382" s="151" t="s">
        <v>3289</v>
      </c>
    </row>
    <row r="1383" spans="1:2">
      <c r="A1383" s="151" t="s">
        <v>3290</v>
      </c>
      <c r="B1383" s="151" t="s">
        <v>3291</v>
      </c>
    </row>
    <row r="1384" spans="1:2">
      <c r="A1384" s="151" t="s">
        <v>3292</v>
      </c>
      <c r="B1384" s="151" t="s">
        <v>3293</v>
      </c>
    </row>
    <row r="1385" spans="1:2">
      <c r="A1385" s="151" t="s">
        <v>3294</v>
      </c>
      <c r="B1385" s="151" t="s">
        <v>917</v>
      </c>
    </row>
    <row r="1386" spans="1:2">
      <c r="A1386" s="151" t="s">
        <v>3295</v>
      </c>
      <c r="B1386" s="151" t="s">
        <v>3296</v>
      </c>
    </row>
    <row r="1387" spans="1:2">
      <c r="A1387" s="151" t="s">
        <v>3297</v>
      </c>
      <c r="B1387" s="151" t="s">
        <v>360</v>
      </c>
    </row>
    <row r="1388" spans="1:2">
      <c r="A1388" s="151" t="s">
        <v>3298</v>
      </c>
      <c r="B1388" s="151" t="s">
        <v>3299</v>
      </c>
    </row>
    <row r="1389" spans="1:2">
      <c r="A1389" s="151" t="s">
        <v>3300</v>
      </c>
      <c r="B1389" s="151" t="s">
        <v>365</v>
      </c>
    </row>
    <row r="1390" spans="1:2">
      <c r="A1390" s="151" t="s">
        <v>3301</v>
      </c>
      <c r="B1390" s="151" t="s">
        <v>3302</v>
      </c>
    </row>
    <row r="1391" spans="1:2">
      <c r="A1391" s="151" t="s">
        <v>3303</v>
      </c>
      <c r="B1391" s="151" t="s">
        <v>370</v>
      </c>
    </row>
    <row r="1392" spans="1:2">
      <c r="A1392" s="151" t="s">
        <v>3304</v>
      </c>
      <c r="B1392" s="151" t="s">
        <v>375</v>
      </c>
    </row>
    <row r="1393" spans="1:2">
      <c r="A1393" s="151" t="s">
        <v>3305</v>
      </c>
      <c r="B1393" s="151" t="s">
        <v>120</v>
      </c>
    </row>
    <row r="1394" spans="1:2">
      <c r="A1394" s="151" t="s">
        <v>3306</v>
      </c>
      <c r="B1394" s="151" t="s">
        <v>3307</v>
      </c>
    </row>
    <row r="1395" spans="1:2">
      <c r="A1395" s="151" t="s">
        <v>3308</v>
      </c>
      <c r="B1395" s="151" t="s">
        <v>3309</v>
      </c>
    </row>
    <row r="1396" spans="1:2">
      <c r="A1396" s="151" t="s">
        <v>3310</v>
      </c>
      <c r="B1396" s="151" t="s">
        <v>3311</v>
      </c>
    </row>
    <row r="1397" spans="1:2">
      <c r="A1397" s="151" t="s">
        <v>3312</v>
      </c>
      <c r="B1397" s="151" t="s">
        <v>380</v>
      </c>
    </row>
    <row r="1398" spans="1:2">
      <c r="A1398" s="151" t="s">
        <v>3313</v>
      </c>
      <c r="B1398" s="151" t="s">
        <v>3314</v>
      </c>
    </row>
    <row r="1399" spans="1:2">
      <c r="A1399" s="151" t="s">
        <v>3315</v>
      </c>
      <c r="B1399" s="151" t="s">
        <v>3316</v>
      </c>
    </row>
    <row r="1400" spans="1:2">
      <c r="A1400" s="151" t="s">
        <v>3317</v>
      </c>
      <c r="B1400" s="151" t="s">
        <v>3318</v>
      </c>
    </row>
    <row r="1401" spans="1:2">
      <c r="A1401" s="151" t="s">
        <v>3319</v>
      </c>
      <c r="B1401" s="151" t="s">
        <v>3320</v>
      </c>
    </row>
    <row r="1402" spans="1:2">
      <c r="A1402" s="151" t="s">
        <v>3321</v>
      </c>
      <c r="B1402" s="151" t="s">
        <v>3322</v>
      </c>
    </row>
    <row r="1403" spans="1:2">
      <c r="A1403" s="151" t="s">
        <v>3323</v>
      </c>
      <c r="B1403" s="151" t="s">
        <v>3324</v>
      </c>
    </row>
    <row r="1404" spans="1:2">
      <c r="A1404" s="151" t="s">
        <v>3325</v>
      </c>
      <c r="B1404" s="151" t="s">
        <v>3326</v>
      </c>
    </row>
    <row r="1405" spans="1:2">
      <c r="A1405" s="151" t="s">
        <v>3327</v>
      </c>
      <c r="B1405" s="151" t="s">
        <v>3328</v>
      </c>
    </row>
    <row r="1406" spans="1:2">
      <c r="A1406" s="151" t="s">
        <v>3329</v>
      </c>
      <c r="B1406" s="151" t="s">
        <v>3330</v>
      </c>
    </row>
    <row r="1407" spans="1:2">
      <c r="A1407" s="151" t="s">
        <v>3331</v>
      </c>
      <c r="B1407" s="151" t="s">
        <v>3332</v>
      </c>
    </row>
    <row r="1408" spans="1:2">
      <c r="A1408" s="151" t="s">
        <v>3333</v>
      </c>
      <c r="B1408" s="151" t="s">
        <v>3334</v>
      </c>
    </row>
    <row r="1409" spans="1:2">
      <c r="A1409" s="151" t="s">
        <v>3335</v>
      </c>
      <c r="B1409" s="151" t="s">
        <v>3336</v>
      </c>
    </row>
    <row r="1410" spans="1:2">
      <c r="A1410" s="151" t="s">
        <v>3337</v>
      </c>
      <c r="B1410" s="151" t="s">
        <v>3338</v>
      </c>
    </row>
    <row r="1411" spans="1:2">
      <c r="A1411" s="151" t="s">
        <v>3339</v>
      </c>
      <c r="B1411" s="151" t="s">
        <v>3340</v>
      </c>
    </row>
    <row r="1412" spans="1:2">
      <c r="A1412" s="151" t="s">
        <v>3341</v>
      </c>
      <c r="B1412" s="151" t="s">
        <v>3342</v>
      </c>
    </row>
    <row r="1413" spans="1:2">
      <c r="A1413" s="151" t="s">
        <v>3343</v>
      </c>
      <c r="B1413" s="151" t="s">
        <v>3344</v>
      </c>
    </row>
    <row r="1414" spans="1:2">
      <c r="A1414" s="151" t="s">
        <v>3345</v>
      </c>
      <c r="B1414" s="151" t="s">
        <v>3346</v>
      </c>
    </row>
    <row r="1415" spans="1:2">
      <c r="A1415" s="151" t="s">
        <v>3347</v>
      </c>
      <c r="B1415" s="151" t="s">
        <v>3348</v>
      </c>
    </row>
    <row r="1416" spans="1:2">
      <c r="A1416" s="151" t="s">
        <v>3349</v>
      </c>
      <c r="B1416" s="151" t="s">
        <v>3350</v>
      </c>
    </row>
    <row r="1417" spans="1:2">
      <c r="A1417" s="151" t="s">
        <v>3351</v>
      </c>
      <c r="B1417" s="151" t="s">
        <v>3352</v>
      </c>
    </row>
    <row r="1418" spans="1:2">
      <c r="A1418" s="151" t="s">
        <v>3353</v>
      </c>
      <c r="B1418" s="151" t="s">
        <v>3354</v>
      </c>
    </row>
    <row r="1419" spans="1:2">
      <c r="A1419" s="151" t="s">
        <v>3355</v>
      </c>
      <c r="B1419" s="151" t="s">
        <v>3356</v>
      </c>
    </row>
    <row r="1420" spans="1:2">
      <c r="A1420" s="151" t="s">
        <v>3357</v>
      </c>
      <c r="B1420" s="151" t="s">
        <v>3358</v>
      </c>
    </row>
    <row r="1421" spans="1:2">
      <c r="A1421" s="151" t="s">
        <v>3359</v>
      </c>
      <c r="B1421" s="151" t="s">
        <v>3360</v>
      </c>
    </row>
    <row r="1422" spans="1:2">
      <c r="A1422" s="151" t="s">
        <v>3361</v>
      </c>
      <c r="B1422" s="151" t="s">
        <v>3362</v>
      </c>
    </row>
    <row r="1423" spans="1:2">
      <c r="A1423" s="151" t="s">
        <v>3363</v>
      </c>
      <c r="B1423" s="151" t="s">
        <v>3364</v>
      </c>
    </row>
    <row r="1424" spans="1:2">
      <c r="A1424" s="151" t="s">
        <v>3365</v>
      </c>
      <c r="B1424" s="151" t="s">
        <v>3366</v>
      </c>
    </row>
    <row r="1425" spans="1:2">
      <c r="A1425" s="151" t="s">
        <v>3367</v>
      </c>
      <c r="B1425" s="151" t="s">
        <v>3368</v>
      </c>
    </row>
    <row r="1426" spans="1:2">
      <c r="A1426" s="151" t="s">
        <v>3369</v>
      </c>
      <c r="B1426" s="151" t="s">
        <v>3370</v>
      </c>
    </row>
    <row r="1427" spans="1:2">
      <c r="A1427" s="151" t="s">
        <v>3371</v>
      </c>
      <c r="B1427" s="151" t="s">
        <v>3372</v>
      </c>
    </row>
    <row r="1428" spans="1:2">
      <c r="A1428" s="151" t="s">
        <v>3373</v>
      </c>
      <c r="B1428" s="151" t="s">
        <v>3374</v>
      </c>
    </row>
    <row r="1429" spans="1:2">
      <c r="A1429" s="151" t="s">
        <v>3375</v>
      </c>
      <c r="B1429" s="151" t="s">
        <v>3376</v>
      </c>
    </row>
    <row r="1430" spans="1:2">
      <c r="A1430" s="151" t="s">
        <v>3377</v>
      </c>
      <c r="B1430" s="151" t="s">
        <v>3378</v>
      </c>
    </row>
    <row r="1431" spans="1:2">
      <c r="A1431" s="151" t="s">
        <v>3379</v>
      </c>
      <c r="B1431" s="151" t="s">
        <v>3380</v>
      </c>
    </row>
    <row r="1432" spans="1:2">
      <c r="A1432" s="151" t="s">
        <v>3381</v>
      </c>
      <c r="B1432" s="151" t="s">
        <v>3382</v>
      </c>
    </row>
    <row r="1433" spans="1:2">
      <c r="A1433" s="151" t="s">
        <v>3383</v>
      </c>
      <c r="B1433" s="151" t="s">
        <v>3384</v>
      </c>
    </row>
    <row r="1434" spans="1:2">
      <c r="A1434" s="151" t="s">
        <v>3385</v>
      </c>
      <c r="B1434" s="151" t="s">
        <v>3386</v>
      </c>
    </row>
    <row r="1435" spans="1:2">
      <c r="A1435" s="151" t="s">
        <v>3387</v>
      </c>
      <c r="B1435" s="151" t="s">
        <v>3388</v>
      </c>
    </row>
    <row r="1436" spans="1:2">
      <c r="A1436" s="151" t="s">
        <v>3389</v>
      </c>
      <c r="B1436" s="151" t="s">
        <v>3390</v>
      </c>
    </row>
    <row r="1437" spans="1:2">
      <c r="A1437" s="151" t="s">
        <v>3391</v>
      </c>
      <c r="B1437" s="151" t="s">
        <v>3392</v>
      </c>
    </row>
    <row r="1438" spans="1:2">
      <c r="A1438" s="151" t="s">
        <v>3393</v>
      </c>
      <c r="B1438" s="151" t="s">
        <v>3394</v>
      </c>
    </row>
    <row r="1439" spans="1:2">
      <c r="A1439" s="151" t="s">
        <v>3395</v>
      </c>
      <c r="B1439" s="151" t="s">
        <v>3396</v>
      </c>
    </row>
    <row r="1440" spans="1:2">
      <c r="A1440" s="151" t="s">
        <v>3397</v>
      </c>
      <c r="B1440" s="151" t="s">
        <v>3398</v>
      </c>
    </row>
    <row r="1441" spans="1:2">
      <c r="A1441" s="151" t="s">
        <v>3399</v>
      </c>
      <c r="B1441" s="151" t="s">
        <v>3400</v>
      </c>
    </row>
    <row r="1442" spans="1:2">
      <c r="A1442" s="151" t="s">
        <v>3401</v>
      </c>
      <c r="B1442" s="151" t="s">
        <v>3402</v>
      </c>
    </row>
    <row r="1443" spans="1:2">
      <c r="A1443" s="151" t="s">
        <v>3403</v>
      </c>
      <c r="B1443" s="151" t="s">
        <v>3404</v>
      </c>
    </row>
    <row r="1444" spans="1:2">
      <c r="A1444" s="151" t="s">
        <v>3405</v>
      </c>
      <c r="B1444" s="151" t="s">
        <v>3406</v>
      </c>
    </row>
    <row r="1445" spans="1:2">
      <c r="A1445" s="151" t="s">
        <v>3407</v>
      </c>
      <c r="B1445" s="151" t="s">
        <v>3408</v>
      </c>
    </row>
    <row r="1446" spans="1:2">
      <c r="A1446" s="151" t="s">
        <v>3409</v>
      </c>
      <c r="B1446" s="151" t="s">
        <v>3410</v>
      </c>
    </row>
    <row r="1447" spans="1:2">
      <c r="A1447" s="151" t="s">
        <v>3411</v>
      </c>
      <c r="B1447" s="151" t="s">
        <v>3412</v>
      </c>
    </row>
    <row r="1448" spans="1:2">
      <c r="A1448" s="151" t="s">
        <v>3413</v>
      </c>
      <c r="B1448" s="151" t="s">
        <v>3414</v>
      </c>
    </row>
    <row r="1449" spans="1:2">
      <c r="A1449" s="151" t="s">
        <v>3415</v>
      </c>
      <c r="B1449" s="151" t="s">
        <v>3416</v>
      </c>
    </row>
    <row r="1450" spans="1:2">
      <c r="A1450" s="151" t="s">
        <v>3417</v>
      </c>
      <c r="B1450" s="151" t="s">
        <v>3418</v>
      </c>
    </row>
    <row r="1451" spans="1:2">
      <c r="A1451" s="151" t="s">
        <v>3419</v>
      </c>
      <c r="B1451" s="151" t="s">
        <v>3420</v>
      </c>
    </row>
    <row r="1452" spans="1:2">
      <c r="A1452" s="151" t="s">
        <v>3421</v>
      </c>
      <c r="B1452" s="151" t="s">
        <v>3422</v>
      </c>
    </row>
    <row r="1453" spans="1:2">
      <c r="A1453" s="151" t="s">
        <v>3423</v>
      </c>
      <c r="B1453" s="151" t="s">
        <v>3424</v>
      </c>
    </row>
    <row r="1454" spans="1:2">
      <c r="A1454" s="151" t="s">
        <v>3425</v>
      </c>
      <c r="B1454" s="151" t="s">
        <v>3426</v>
      </c>
    </row>
    <row r="1455" spans="1:2">
      <c r="A1455" s="151" t="s">
        <v>3427</v>
      </c>
      <c r="B1455" s="151" t="s">
        <v>3428</v>
      </c>
    </row>
    <row r="1456" spans="1:2">
      <c r="A1456" s="151" t="s">
        <v>3429</v>
      </c>
      <c r="B1456" s="151" t="s">
        <v>3430</v>
      </c>
    </row>
    <row r="1457" spans="1:2">
      <c r="A1457" s="151" t="s">
        <v>3431</v>
      </c>
      <c r="B1457" s="151" t="s">
        <v>3432</v>
      </c>
    </row>
    <row r="1458" spans="1:2">
      <c r="A1458" s="151" t="s">
        <v>3433</v>
      </c>
    </row>
    <row r="1459" spans="1:2">
      <c r="A1459" s="151" t="s">
        <v>3434</v>
      </c>
    </row>
    <row r="1460" spans="1:2">
      <c r="A1460" s="151" t="s">
        <v>3435</v>
      </c>
    </row>
    <row r="1461" spans="1:2">
      <c r="A1461" s="151" t="s">
        <v>3436</v>
      </c>
    </row>
    <row r="1462" spans="1:2">
      <c r="A1462" s="151" t="s">
        <v>3437</v>
      </c>
    </row>
    <row r="1463" spans="1:2">
      <c r="A1463" s="151" t="s">
        <v>3438</v>
      </c>
    </row>
    <row r="1464" spans="1:2">
      <c r="A1464" s="151" t="s">
        <v>3439</v>
      </c>
    </row>
    <row r="1465" spans="1:2">
      <c r="A1465" s="151" t="s">
        <v>3440</v>
      </c>
    </row>
    <row r="1466" spans="1:2">
      <c r="A1466" s="151" t="s">
        <v>3441</v>
      </c>
    </row>
    <row r="1467" spans="1:2">
      <c r="A1467" s="151" t="s">
        <v>3442</v>
      </c>
    </row>
    <row r="1468" spans="1:2">
      <c r="A1468" s="151" t="s">
        <v>3443</v>
      </c>
    </row>
    <row r="1469" spans="1:2">
      <c r="A1469" s="151" t="s">
        <v>3444</v>
      </c>
    </row>
    <row r="1470" spans="1:2">
      <c r="A1470" s="151" t="s">
        <v>3445</v>
      </c>
    </row>
    <row r="1471" spans="1:2">
      <c r="A1471" s="151" t="s">
        <v>3446</v>
      </c>
    </row>
    <row r="1472" spans="1:2">
      <c r="A1472" s="151" t="s">
        <v>3447</v>
      </c>
    </row>
    <row r="1473" spans="1:1">
      <c r="A1473" s="151" t="s">
        <v>3448</v>
      </c>
    </row>
    <row r="1474" spans="1:1">
      <c r="A1474" s="151" t="s">
        <v>3449</v>
      </c>
    </row>
    <row r="1475" spans="1:1">
      <c r="A1475" s="151" t="s">
        <v>3450</v>
      </c>
    </row>
    <row r="1476" spans="1:1">
      <c r="A1476" s="151" t="s">
        <v>3451</v>
      </c>
    </row>
    <row r="1477" spans="1:1">
      <c r="A1477" s="151" t="s">
        <v>3452</v>
      </c>
    </row>
    <row r="1478" spans="1:1">
      <c r="A1478" s="151" t="s">
        <v>3453</v>
      </c>
    </row>
    <row r="1479" spans="1:1">
      <c r="A1479" s="151" t="s">
        <v>3454</v>
      </c>
    </row>
    <row r="1480" spans="1:1">
      <c r="A1480" s="151" t="s">
        <v>3455</v>
      </c>
    </row>
    <row r="1481" spans="1:1">
      <c r="A1481" s="151" t="s">
        <v>3456</v>
      </c>
    </row>
    <row r="1482" spans="1:1">
      <c r="A1482" s="151" t="s">
        <v>3457</v>
      </c>
    </row>
    <row r="1483" spans="1:1">
      <c r="A1483" s="151" t="s">
        <v>3458</v>
      </c>
    </row>
    <row r="1484" spans="1:1">
      <c r="A1484" s="151" t="s">
        <v>3459</v>
      </c>
    </row>
    <row r="1485" spans="1:1">
      <c r="A1485" s="151" t="s">
        <v>3460</v>
      </c>
    </row>
    <row r="1486" spans="1:1">
      <c r="A1486" s="151" t="s">
        <v>3461</v>
      </c>
    </row>
    <row r="1487" spans="1:1">
      <c r="A1487" s="151" t="s">
        <v>3462</v>
      </c>
    </row>
    <row r="1488" spans="1:1">
      <c r="A1488" s="151" t="s">
        <v>3463</v>
      </c>
    </row>
    <row r="1489" spans="1:1">
      <c r="A1489" s="151" t="s">
        <v>3464</v>
      </c>
    </row>
    <row r="1490" spans="1:1">
      <c r="A1490" s="151" t="s">
        <v>3465</v>
      </c>
    </row>
    <row r="1491" spans="1:1">
      <c r="A1491" s="151" t="s">
        <v>3466</v>
      </c>
    </row>
    <row r="1492" spans="1:1">
      <c r="A1492" s="151" t="s">
        <v>3467</v>
      </c>
    </row>
    <row r="1493" spans="1:1">
      <c r="A1493" s="151" t="s">
        <v>3468</v>
      </c>
    </row>
    <row r="1494" spans="1:1">
      <c r="A1494" s="151" t="s">
        <v>3469</v>
      </c>
    </row>
    <row r="1495" spans="1:1">
      <c r="A1495" s="151" t="s">
        <v>3470</v>
      </c>
    </row>
    <row r="1496" spans="1:1">
      <c r="A1496" s="151" t="s">
        <v>3471</v>
      </c>
    </row>
    <row r="1497" spans="1:1">
      <c r="A1497" s="151" t="s">
        <v>3472</v>
      </c>
    </row>
    <row r="1498" spans="1:1">
      <c r="A1498" s="151" t="s">
        <v>3473</v>
      </c>
    </row>
    <row r="1499" spans="1:1">
      <c r="A1499" s="151" t="s">
        <v>3474</v>
      </c>
    </row>
    <row r="1500" spans="1:1">
      <c r="A1500" s="151" t="s">
        <v>3475</v>
      </c>
    </row>
    <row r="1501" spans="1:1">
      <c r="A1501" s="151" t="s">
        <v>3476</v>
      </c>
    </row>
    <row r="1502" spans="1:1">
      <c r="A1502" s="151" t="s">
        <v>3477</v>
      </c>
    </row>
    <row r="1503" spans="1:1">
      <c r="A1503" s="151" t="s">
        <v>3478</v>
      </c>
    </row>
    <row r="1504" spans="1:1">
      <c r="A1504" s="151" t="s">
        <v>3479</v>
      </c>
    </row>
    <row r="1505" spans="1:1">
      <c r="A1505" s="151" t="s">
        <v>3480</v>
      </c>
    </row>
    <row r="1506" spans="1:1">
      <c r="A1506" s="151" t="s">
        <v>3481</v>
      </c>
    </row>
    <row r="1507" spans="1:1">
      <c r="A1507" s="151" t="s">
        <v>3482</v>
      </c>
    </row>
    <row r="1508" spans="1:1">
      <c r="A1508" s="151" t="s">
        <v>3483</v>
      </c>
    </row>
    <row r="1509" spans="1:1">
      <c r="A1509" s="151" t="s">
        <v>3484</v>
      </c>
    </row>
    <row r="1510" spans="1:1">
      <c r="A1510" s="151" t="s">
        <v>3485</v>
      </c>
    </row>
    <row r="1511" spans="1:1">
      <c r="A1511" s="151" t="s">
        <v>3486</v>
      </c>
    </row>
    <row r="1512" spans="1:1">
      <c r="A1512" s="151" t="s">
        <v>3487</v>
      </c>
    </row>
    <row r="1513" spans="1:1">
      <c r="A1513" s="151" t="s">
        <v>3488</v>
      </c>
    </row>
    <row r="1514" spans="1:1">
      <c r="A1514" s="151" t="s">
        <v>3489</v>
      </c>
    </row>
    <row r="1515" spans="1:1">
      <c r="A1515" s="151" t="s">
        <v>3490</v>
      </c>
    </row>
    <row r="1516" spans="1:1">
      <c r="A1516" s="151" t="s">
        <v>3491</v>
      </c>
    </row>
    <row r="1517" spans="1:1">
      <c r="A1517" s="151" t="s">
        <v>3492</v>
      </c>
    </row>
    <row r="1518" spans="1:1">
      <c r="A1518" s="151" t="s">
        <v>3493</v>
      </c>
    </row>
    <row r="1519" spans="1:1">
      <c r="A1519" s="151" t="s">
        <v>3494</v>
      </c>
    </row>
    <row r="1520" spans="1:1">
      <c r="A1520" s="151" t="s">
        <v>3495</v>
      </c>
    </row>
    <row r="1521" spans="1:1">
      <c r="A1521" s="151" t="s">
        <v>3496</v>
      </c>
    </row>
    <row r="1522" spans="1:1">
      <c r="A1522" s="151" t="s">
        <v>3497</v>
      </c>
    </row>
    <row r="1523" spans="1:1">
      <c r="A1523" s="151" t="s">
        <v>3498</v>
      </c>
    </row>
    <row r="1524" spans="1:1">
      <c r="A1524" s="151" t="s">
        <v>3499</v>
      </c>
    </row>
    <row r="1525" spans="1:1">
      <c r="A1525" s="151" t="s">
        <v>3500</v>
      </c>
    </row>
    <row r="1526" spans="1:1">
      <c r="A1526" s="151" t="s">
        <v>3501</v>
      </c>
    </row>
    <row r="1527" spans="1:1">
      <c r="A1527" s="151" t="s">
        <v>3502</v>
      </c>
    </row>
    <row r="1528" spans="1:1">
      <c r="A1528" s="151" t="s">
        <v>3503</v>
      </c>
    </row>
    <row r="1529" spans="1:1">
      <c r="A1529" s="151" t="s">
        <v>3504</v>
      </c>
    </row>
    <row r="1530" spans="1:1">
      <c r="A1530" s="151" t="s">
        <v>3505</v>
      </c>
    </row>
    <row r="1531" spans="1:1">
      <c r="A1531" s="151" t="s">
        <v>3506</v>
      </c>
    </row>
    <row r="1532" spans="1:1">
      <c r="A1532" s="151" t="s">
        <v>3507</v>
      </c>
    </row>
    <row r="1533" spans="1:1">
      <c r="A1533" s="151" t="s">
        <v>3508</v>
      </c>
    </row>
    <row r="1534" spans="1:1">
      <c r="A1534" s="151" t="s">
        <v>3509</v>
      </c>
    </row>
    <row r="1535" spans="1:1">
      <c r="A1535" s="151" t="s">
        <v>3510</v>
      </c>
    </row>
    <row r="1536" spans="1:1">
      <c r="A1536" s="151" t="s">
        <v>3511</v>
      </c>
    </row>
    <row r="1537" spans="1:1">
      <c r="A1537" s="151" t="s">
        <v>3512</v>
      </c>
    </row>
    <row r="1538" spans="1:1">
      <c r="A1538" s="151" t="s">
        <v>3513</v>
      </c>
    </row>
    <row r="1539" spans="1:1">
      <c r="A1539" s="151" t="s">
        <v>3514</v>
      </c>
    </row>
    <row r="1540" spans="1:1">
      <c r="A1540" s="151" t="s">
        <v>3515</v>
      </c>
    </row>
    <row r="1541" spans="1:1">
      <c r="A1541" s="151" t="s">
        <v>3516</v>
      </c>
    </row>
    <row r="1542" spans="1:1">
      <c r="A1542" s="151" t="s">
        <v>3517</v>
      </c>
    </row>
    <row r="1543" spans="1:1">
      <c r="A1543" s="151" t="s">
        <v>3518</v>
      </c>
    </row>
    <row r="1544" spans="1:1">
      <c r="A1544" s="151" t="s">
        <v>3519</v>
      </c>
    </row>
    <row r="1545" spans="1:1">
      <c r="A1545" s="151" t="s">
        <v>3520</v>
      </c>
    </row>
    <row r="1546" spans="1:1">
      <c r="A1546" s="151" t="s">
        <v>3521</v>
      </c>
    </row>
    <row r="1547" spans="1:1">
      <c r="A1547" s="151" t="s">
        <v>3522</v>
      </c>
    </row>
    <row r="1548" spans="1:1">
      <c r="A1548" s="151" t="s">
        <v>3523</v>
      </c>
    </row>
    <row r="1549" spans="1:1">
      <c r="A1549" s="151" t="s">
        <v>3524</v>
      </c>
    </row>
    <row r="1550" spans="1:1">
      <c r="A1550" s="151" t="s">
        <v>3525</v>
      </c>
    </row>
    <row r="1551" spans="1:1">
      <c r="A1551" s="151" t="s">
        <v>3526</v>
      </c>
    </row>
    <row r="1552" spans="1:1">
      <c r="A1552" s="151" t="s">
        <v>3527</v>
      </c>
    </row>
    <row r="1553" spans="1:1">
      <c r="A1553" s="151" t="s">
        <v>3528</v>
      </c>
    </row>
    <row r="1554" spans="1:1">
      <c r="A1554" s="151" t="s">
        <v>3529</v>
      </c>
    </row>
    <row r="1555" spans="1:1">
      <c r="A1555" s="151" t="s">
        <v>3530</v>
      </c>
    </row>
    <row r="1556" spans="1:1">
      <c r="A1556" s="151" t="s">
        <v>3531</v>
      </c>
    </row>
    <row r="1557" spans="1:1">
      <c r="A1557" s="151" t="s">
        <v>3532</v>
      </c>
    </row>
    <row r="1558" spans="1:1">
      <c r="A1558" s="151" t="s">
        <v>3533</v>
      </c>
    </row>
    <row r="1559" spans="1:1">
      <c r="A1559" s="151" t="s">
        <v>3534</v>
      </c>
    </row>
    <row r="1560" spans="1:1">
      <c r="A1560" s="151" t="s">
        <v>3535</v>
      </c>
    </row>
    <row r="1561" spans="1:1">
      <c r="A1561" s="151" t="s">
        <v>3536</v>
      </c>
    </row>
    <row r="1562" spans="1:1">
      <c r="A1562" s="151" t="s">
        <v>3537</v>
      </c>
    </row>
    <row r="1563" spans="1:1">
      <c r="A1563" s="151" t="s">
        <v>3538</v>
      </c>
    </row>
    <row r="1564" spans="1:1">
      <c r="A1564" s="151" t="s">
        <v>3539</v>
      </c>
    </row>
    <row r="1565" spans="1:1">
      <c r="A1565" s="151" t="s">
        <v>3540</v>
      </c>
    </row>
    <row r="1566" spans="1:1">
      <c r="A1566" s="151" t="s">
        <v>3541</v>
      </c>
    </row>
    <row r="1567" spans="1:1">
      <c r="A1567" s="151" t="s">
        <v>3542</v>
      </c>
    </row>
    <row r="1568" spans="1:1">
      <c r="A1568" s="151" t="s">
        <v>3543</v>
      </c>
    </row>
    <row r="1569" spans="1:1">
      <c r="A1569" s="151" t="s">
        <v>3544</v>
      </c>
    </row>
    <row r="1570" spans="1:1">
      <c r="A1570" s="151" t="s">
        <v>3545</v>
      </c>
    </row>
    <row r="1571" spans="1:1">
      <c r="A1571" s="151" t="s">
        <v>3546</v>
      </c>
    </row>
    <row r="1572" spans="1:1">
      <c r="A1572" s="151" t="s">
        <v>3547</v>
      </c>
    </row>
    <row r="1573" spans="1:1">
      <c r="A1573" s="151" t="s">
        <v>3548</v>
      </c>
    </row>
    <row r="1574" spans="1:1">
      <c r="A1574" s="151" t="s">
        <v>3549</v>
      </c>
    </row>
    <row r="1575" spans="1:1">
      <c r="A1575" s="151" t="s">
        <v>3550</v>
      </c>
    </row>
    <row r="1576" spans="1:1">
      <c r="A1576" s="151" t="s">
        <v>3551</v>
      </c>
    </row>
    <row r="1577" spans="1:1">
      <c r="A1577" s="151" t="s">
        <v>3552</v>
      </c>
    </row>
    <row r="1578" spans="1:1">
      <c r="A1578" s="151" t="s">
        <v>3553</v>
      </c>
    </row>
    <row r="1579" spans="1:1">
      <c r="A1579" s="151" t="s">
        <v>3554</v>
      </c>
    </row>
    <row r="1580" spans="1:1">
      <c r="A1580" s="151" t="s">
        <v>3555</v>
      </c>
    </row>
    <row r="1581" spans="1:1">
      <c r="A1581" s="151" t="s">
        <v>3556</v>
      </c>
    </row>
    <row r="1582" spans="1:1">
      <c r="A1582" s="151" t="s">
        <v>3557</v>
      </c>
    </row>
    <row r="1583" spans="1:1">
      <c r="A1583" s="151" t="s">
        <v>3558</v>
      </c>
    </row>
    <row r="1584" spans="1:1">
      <c r="A1584" s="151" t="s">
        <v>3559</v>
      </c>
    </row>
    <row r="1585" spans="1:1">
      <c r="A1585" s="151" t="s">
        <v>3560</v>
      </c>
    </row>
    <row r="1586" spans="1:1">
      <c r="A1586" s="151" t="s">
        <v>3561</v>
      </c>
    </row>
    <row r="1587" spans="1:1">
      <c r="A1587" s="151" t="s">
        <v>3562</v>
      </c>
    </row>
    <row r="1588" spans="1:1">
      <c r="A1588" s="151" t="s">
        <v>3563</v>
      </c>
    </row>
    <row r="1589" spans="1:1">
      <c r="A1589" s="151" t="s">
        <v>3564</v>
      </c>
    </row>
    <row r="1590" spans="1:1">
      <c r="A1590" s="151" t="s">
        <v>3565</v>
      </c>
    </row>
    <row r="1591" spans="1:1">
      <c r="A1591" s="151" t="s">
        <v>3566</v>
      </c>
    </row>
    <row r="1592" spans="1:1">
      <c r="A1592" s="151" t="s">
        <v>3567</v>
      </c>
    </row>
    <row r="1593" spans="1:1">
      <c r="A1593" s="151" t="s">
        <v>3568</v>
      </c>
    </row>
    <row r="1594" spans="1:1">
      <c r="A1594" s="151" t="s">
        <v>3569</v>
      </c>
    </row>
    <row r="1595" spans="1:1">
      <c r="A1595" s="151" t="s">
        <v>3570</v>
      </c>
    </row>
    <row r="1596" spans="1:1">
      <c r="A1596" s="151" t="s">
        <v>3571</v>
      </c>
    </row>
    <row r="1597" spans="1:1">
      <c r="A1597" s="151" t="s">
        <v>3572</v>
      </c>
    </row>
    <row r="1598" spans="1:1">
      <c r="A1598" s="151" t="s">
        <v>3573</v>
      </c>
    </row>
    <row r="1599" spans="1:1">
      <c r="A1599" s="151" t="s">
        <v>3574</v>
      </c>
    </row>
    <row r="1600" spans="1:1">
      <c r="A1600" s="151" t="s">
        <v>3575</v>
      </c>
    </row>
    <row r="1601" spans="1:1">
      <c r="A1601" s="151" t="s">
        <v>3576</v>
      </c>
    </row>
    <row r="1602" spans="1:1">
      <c r="A1602" s="151" t="s">
        <v>3577</v>
      </c>
    </row>
    <row r="1603" spans="1:1">
      <c r="A1603" s="151" t="s">
        <v>3578</v>
      </c>
    </row>
    <row r="1604" spans="1:1">
      <c r="A1604" s="151" t="s">
        <v>3579</v>
      </c>
    </row>
    <row r="1605" spans="1:1">
      <c r="A1605" s="151" t="s">
        <v>3580</v>
      </c>
    </row>
    <row r="1606" spans="1:1">
      <c r="A1606" s="151" t="s">
        <v>3581</v>
      </c>
    </row>
    <row r="1607" spans="1:1">
      <c r="A1607" s="151" t="s">
        <v>3582</v>
      </c>
    </row>
    <row r="1608" spans="1:1">
      <c r="A1608" s="151" t="s">
        <v>3583</v>
      </c>
    </row>
    <row r="1609" spans="1:1">
      <c r="A1609" s="151" t="s">
        <v>3584</v>
      </c>
    </row>
    <row r="1610" spans="1:1">
      <c r="A1610" s="151" t="s">
        <v>3585</v>
      </c>
    </row>
    <row r="1611" spans="1:1">
      <c r="A1611" s="151" t="s">
        <v>3586</v>
      </c>
    </row>
    <row r="1612" spans="1:1">
      <c r="A1612" s="151" t="s">
        <v>3587</v>
      </c>
    </row>
    <row r="1613" spans="1:1">
      <c r="A1613" s="151" t="s">
        <v>3588</v>
      </c>
    </row>
    <row r="1614" spans="1:1">
      <c r="A1614" s="151" t="s">
        <v>3589</v>
      </c>
    </row>
    <row r="1615" spans="1:1">
      <c r="A1615" s="151" t="s">
        <v>3590</v>
      </c>
    </row>
    <row r="1616" spans="1:1">
      <c r="A1616" s="151" t="s">
        <v>3591</v>
      </c>
    </row>
    <row r="1617" spans="1:1">
      <c r="A1617" s="151" t="s">
        <v>3592</v>
      </c>
    </row>
    <row r="1618" spans="1:1">
      <c r="A1618" s="151" t="s">
        <v>3593</v>
      </c>
    </row>
    <row r="1619" spans="1:1">
      <c r="A1619" s="151" t="s">
        <v>3594</v>
      </c>
    </row>
    <row r="1620" spans="1:1">
      <c r="A1620" s="151" t="s">
        <v>3595</v>
      </c>
    </row>
    <row r="1621" spans="1:1">
      <c r="A1621" s="151" t="s">
        <v>3596</v>
      </c>
    </row>
    <row r="1622" spans="1:1">
      <c r="A1622" s="151" t="s">
        <v>3597</v>
      </c>
    </row>
    <row r="1623" spans="1:1">
      <c r="A1623" s="151" t="s">
        <v>3598</v>
      </c>
    </row>
    <row r="1624" spans="1:1">
      <c r="A1624" s="151" t="s">
        <v>3599</v>
      </c>
    </row>
    <row r="1625" spans="1:1">
      <c r="A1625" s="151" t="s">
        <v>3600</v>
      </c>
    </row>
    <row r="1626" spans="1:1">
      <c r="A1626" s="151" t="s">
        <v>3601</v>
      </c>
    </row>
    <row r="1627" spans="1:1">
      <c r="A1627" s="151" t="s">
        <v>3602</v>
      </c>
    </row>
    <row r="1628" spans="1:1">
      <c r="A1628" s="151" t="s">
        <v>3603</v>
      </c>
    </row>
    <row r="1629" spans="1:1">
      <c r="A1629" s="151" t="s">
        <v>3604</v>
      </c>
    </row>
    <row r="1630" spans="1:1">
      <c r="A1630" s="151" t="s">
        <v>3605</v>
      </c>
    </row>
    <row r="1631" spans="1:1">
      <c r="A1631" s="151" t="s">
        <v>3606</v>
      </c>
    </row>
    <row r="1632" spans="1:1">
      <c r="A1632" s="151" t="s">
        <v>3607</v>
      </c>
    </row>
    <row r="1633" spans="1:1">
      <c r="A1633" s="151" t="s">
        <v>3608</v>
      </c>
    </row>
    <row r="1634" spans="1:1">
      <c r="A1634" s="151" t="s">
        <v>3609</v>
      </c>
    </row>
    <row r="1635" spans="1:1">
      <c r="A1635" s="151" t="s">
        <v>3610</v>
      </c>
    </row>
    <row r="1636" spans="1:1">
      <c r="A1636" s="151" t="s">
        <v>3611</v>
      </c>
    </row>
    <row r="1637" spans="1:1">
      <c r="A1637" s="151" t="s">
        <v>3612</v>
      </c>
    </row>
    <row r="1638" spans="1:1">
      <c r="A1638" s="151" t="s">
        <v>3613</v>
      </c>
    </row>
    <row r="1639" spans="1:1">
      <c r="A1639" s="151" t="s">
        <v>3614</v>
      </c>
    </row>
    <row r="1640" spans="1:1">
      <c r="A1640" s="151" t="s">
        <v>3615</v>
      </c>
    </row>
    <row r="1641" spans="1:1">
      <c r="A1641" s="151" t="s">
        <v>3616</v>
      </c>
    </row>
    <row r="1642" spans="1:1">
      <c r="A1642" s="151" t="s">
        <v>3617</v>
      </c>
    </row>
    <row r="1643" spans="1:1">
      <c r="A1643" s="151" t="s">
        <v>3618</v>
      </c>
    </row>
    <row r="1644" spans="1:1">
      <c r="A1644" s="151" t="s">
        <v>3619</v>
      </c>
    </row>
    <row r="1645" spans="1:1">
      <c r="A1645" s="151" t="s">
        <v>3620</v>
      </c>
    </row>
    <row r="1646" spans="1:1">
      <c r="A1646" s="151" t="s">
        <v>3621</v>
      </c>
    </row>
    <row r="1647" spans="1:1">
      <c r="A1647" s="151" t="s">
        <v>3622</v>
      </c>
    </row>
    <row r="1648" spans="1:1">
      <c r="A1648" s="151" t="s">
        <v>3623</v>
      </c>
    </row>
    <row r="1649" spans="1:1">
      <c r="A1649" s="151" t="s">
        <v>3624</v>
      </c>
    </row>
    <row r="1650" spans="1:1">
      <c r="A1650" s="151" t="s">
        <v>3625</v>
      </c>
    </row>
    <row r="1651" spans="1:1">
      <c r="A1651" s="151" t="s">
        <v>3626</v>
      </c>
    </row>
    <row r="1652" spans="1:1">
      <c r="A1652" s="151" t="s">
        <v>3627</v>
      </c>
    </row>
    <row r="1653" spans="1:1">
      <c r="A1653" s="151" t="s">
        <v>3628</v>
      </c>
    </row>
    <row r="1654" spans="1:1">
      <c r="A1654" s="151" t="s">
        <v>3629</v>
      </c>
    </row>
    <row r="1655" spans="1:1">
      <c r="A1655" s="151" t="s">
        <v>3630</v>
      </c>
    </row>
    <row r="1656" spans="1:1">
      <c r="A1656" s="151" t="s">
        <v>3631</v>
      </c>
    </row>
    <row r="1657" spans="1:1">
      <c r="A1657" s="151" t="s">
        <v>3632</v>
      </c>
    </row>
    <row r="1658" spans="1:1">
      <c r="A1658" s="151" t="s">
        <v>3633</v>
      </c>
    </row>
    <row r="1659" spans="1:1">
      <c r="A1659" s="151" t="s">
        <v>3634</v>
      </c>
    </row>
    <row r="1660" spans="1:1">
      <c r="A1660" s="151" t="s">
        <v>3635</v>
      </c>
    </row>
    <row r="1661" spans="1:1">
      <c r="A1661" s="151" t="s">
        <v>3636</v>
      </c>
    </row>
    <row r="1662" spans="1:1">
      <c r="A1662" s="151" t="s">
        <v>3637</v>
      </c>
    </row>
    <row r="1663" spans="1:1">
      <c r="A1663" s="151" t="s">
        <v>3638</v>
      </c>
    </row>
    <row r="1664" spans="1:1">
      <c r="A1664" s="151" t="s">
        <v>3639</v>
      </c>
    </row>
    <row r="1665" spans="1:1">
      <c r="A1665" s="151" t="s">
        <v>3640</v>
      </c>
    </row>
    <row r="1666" spans="1:1">
      <c r="A1666" s="151" t="s">
        <v>3641</v>
      </c>
    </row>
    <row r="1667" spans="1:1">
      <c r="A1667" s="151" t="s">
        <v>3642</v>
      </c>
    </row>
    <row r="1668" spans="1:1">
      <c r="A1668" s="151" t="s">
        <v>3643</v>
      </c>
    </row>
    <row r="1669" spans="1:1">
      <c r="A1669" s="151" t="s">
        <v>3644</v>
      </c>
    </row>
    <row r="1670" spans="1:1">
      <c r="A1670" s="151" t="s">
        <v>3645</v>
      </c>
    </row>
    <row r="1671" spans="1:1">
      <c r="A1671" s="151" t="s">
        <v>3646</v>
      </c>
    </row>
    <row r="1672" spans="1:1">
      <c r="A1672" s="151" t="s">
        <v>3647</v>
      </c>
    </row>
    <row r="1673" spans="1:1">
      <c r="A1673" s="151" t="s">
        <v>3648</v>
      </c>
    </row>
    <row r="1674" spans="1:1">
      <c r="A1674" s="151" t="s">
        <v>3649</v>
      </c>
    </row>
    <row r="1675" spans="1:1">
      <c r="A1675" s="151" t="s">
        <v>3650</v>
      </c>
    </row>
    <row r="1676" spans="1:1">
      <c r="A1676" s="151" t="s">
        <v>3651</v>
      </c>
    </row>
    <row r="1677" spans="1:1">
      <c r="A1677" s="151" t="s">
        <v>3652</v>
      </c>
    </row>
    <row r="1678" spans="1:1">
      <c r="A1678" s="151" t="s">
        <v>3653</v>
      </c>
    </row>
    <row r="1679" spans="1:1">
      <c r="A1679" s="151" t="s">
        <v>3654</v>
      </c>
    </row>
    <row r="1680" spans="1:1">
      <c r="A1680" s="151" t="s">
        <v>3655</v>
      </c>
    </row>
    <row r="1681" spans="1:1">
      <c r="A1681" s="151" t="s">
        <v>3656</v>
      </c>
    </row>
    <row r="1682" spans="1:1">
      <c r="A1682" s="151" t="s">
        <v>3657</v>
      </c>
    </row>
    <row r="1683" spans="1:1">
      <c r="A1683" s="151" t="s">
        <v>3658</v>
      </c>
    </row>
    <row r="1684" spans="1:1">
      <c r="A1684" s="151" t="s">
        <v>3659</v>
      </c>
    </row>
    <row r="1685" spans="1:1">
      <c r="A1685" s="151" t="s">
        <v>3660</v>
      </c>
    </row>
    <row r="1686" spans="1:1">
      <c r="A1686" s="151" t="s">
        <v>3661</v>
      </c>
    </row>
    <row r="1687" spans="1:1">
      <c r="A1687" s="151" t="s">
        <v>3662</v>
      </c>
    </row>
    <row r="1688" spans="1:1">
      <c r="A1688" s="151" t="s">
        <v>3663</v>
      </c>
    </row>
    <row r="1689" spans="1:1">
      <c r="A1689" s="151" t="s">
        <v>3664</v>
      </c>
    </row>
    <row r="1690" spans="1:1">
      <c r="A1690" s="151" t="s">
        <v>3665</v>
      </c>
    </row>
    <row r="1691" spans="1:1">
      <c r="A1691" s="151" t="s">
        <v>3666</v>
      </c>
    </row>
    <row r="1692" spans="1:1">
      <c r="A1692" s="151" t="s">
        <v>3667</v>
      </c>
    </row>
    <row r="1693" spans="1:1">
      <c r="A1693" s="151" t="s">
        <v>3668</v>
      </c>
    </row>
    <row r="1694" spans="1:1">
      <c r="A1694" s="151" t="s">
        <v>3669</v>
      </c>
    </row>
    <row r="1695" spans="1:1">
      <c r="A1695" s="151" t="s">
        <v>3670</v>
      </c>
    </row>
    <row r="1696" spans="1:1">
      <c r="A1696" s="151" t="s">
        <v>3671</v>
      </c>
    </row>
    <row r="1697" spans="1:1">
      <c r="A1697" s="151" t="s">
        <v>3672</v>
      </c>
    </row>
    <row r="1698" spans="1:1">
      <c r="A1698" s="151" t="s">
        <v>3673</v>
      </c>
    </row>
    <row r="1699" spans="1:1">
      <c r="A1699" s="151" t="s">
        <v>3674</v>
      </c>
    </row>
    <row r="1700" spans="1:1">
      <c r="A1700" s="151" t="s">
        <v>3675</v>
      </c>
    </row>
    <row r="1701" spans="1:1">
      <c r="A1701" s="151" t="s">
        <v>3676</v>
      </c>
    </row>
    <row r="1702" spans="1:1">
      <c r="A1702" s="151" t="s">
        <v>3677</v>
      </c>
    </row>
    <row r="1703" spans="1:1">
      <c r="A1703" s="151" t="s">
        <v>3678</v>
      </c>
    </row>
    <row r="1704" spans="1:1">
      <c r="A1704" s="151" t="s">
        <v>3679</v>
      </c>
    </row>
    <row r="1705" spans="1:1">
      <c r="A1705" s="151" t="s">
        <v>3680</v>
      </c>
    </row>
    <row r="1706" spans="1:1">
      <c r="A1706" s="151" t="s">
        <v>3681</v>
      </c>
    </row>
    <row r="1707" spans="1:1">
      <c r="A1707" s="151" t="s">
        <v>3682</v>
      </c>
    </row>
    <row r="1708" spans="1:1">
      <c r="A1708" s="151" t="s">
        <v>3683</v>
      </c>
    </row>
    <row r="1709" spans="1:1">
      <c r="A1709" s="151" t="s">
        <v>3684</v>
      </c>
    </row>
    <row r="1710" spans="1:1">
      <c r="A1710" s="151" t="s">
        <v>3685</v>
      </c>
    </row>
    <row r="1711" spans="1:1">
      <c r="A1711" s="151" t="s">
        <v>3686</v>
      </c>
    </row>
    <row r="1712" spans="1:1">
      <c r="A1712" s="151" t="s">
        <v>3687</v>
      </c>
    </row>
    <row r="1713" spans="1:1">
      <c r="A1713" s="151" t="s">
        <v>3688</v>
      </c>
    </row>
    <row r="1714" spans="1:1">
      <c r="A1714" s="151" t="s">
        <v>3689</v>
      </c>
    </row>
    <row r="1715" spans="1:1">
      <c r="A1715" s="151" t="s">
        <v>3690</v>
      </c>
    </row>
    <row r="1716" spans="1:1">
      <c r="A1716" s="151" t="s">
        <v>3691</v>
      </c>
    </row>
    <row r="1717" spans="1:1">
      <c r="A1717" s="151" t="s">
        <v>3692</v>
      </c>
    </row>
    <row r="1718" spans="1:1">
      <c r="A1718" s="151" t="s">
        <v>3693</v>
      </c>
    </row>
    <row r="1719" spans="1:1">
      <c r="A1719" s="151" t="s">
        <v>3694</v>
      </c>
    </row>
    <row r="1720" spans="1:1">
      <c r="A1720" s="151" t="s">
        <v>3695</v>
      </c>
    </row>
    <row r="1721" spans="1:1">
      <c r="A1721" s="151" t="s">
        <v>3696</v>
      </c>
    </row>
    <row r="1722" spans="1:1">
      <c r="A1722" s="151" t="s">
        <v>3697</v>
      </c>
    </row>
    <row r="1723" spans="1:1">
      <c r="A1723" s="151" t="s">
        <v>3698</v>
      </c>
    </row>
    <row r="1724" spans="1:1">
      <c r="A1724" s="151" t="s">
        <v>3699</v>
      </c>
    </row>
    <row r="1725" spans="1:1">
      <c r="A1725" s="151" t="s">
        <v>3700</v>
      </c>
    </row>
    <row r="1726" spans="1:1">
      <c r="A1726" s="151" t="s">
        <v>3701</v>
      </c>
    </row>
    <row r="1727" spans="1:1">
      <c r="A1727" s="151" t="s">
        <v>3702</v>
      </c>
    </row>
    <row r="1728" spans="1:1">
      <c r="A1728" s="151" t="s">
        <v>3703</v>
      </c>
    </row>
    <row r="1729" spans="1:1">
      <c r="A1729" s="151" t="s">
        <v>3704</v>
      </c>
    </row>
    <row r="1730" spans="1:1">
      <c r="A1730" s="151" t="s">
        <v>3705</v>
      </c>
    </row>
    <row r="1731" spans="1:1">
      <c r="A1731" s="151" t="s">
        <v>3706</v>
      </c>
    </row>
    <row r="1732" spans="1:1">
      <c r="A1732" s="151" t="s">
        <v>3707</v>
      </c>
    </row>
    <row r="1733" spans="1:1">
      <c r="A1733" s="151" t="s">
        <v>3708</v>
      </c>
    </row>
    <row r="1734" spans="1:1">
      <c r="A1734" s="151" t="s">
        <v>3709</v>
      </c>
    </row>
    <row r="1735" spans="1:1">
      <c r="A1735" s="151" t="s">
        <v>3710</v>
      </c>
    </row>
    <row r="1736" spans="1:1">
      <c r="A1736" s="151" t="s">
        <v>3711</v>
      </c>
    </row>
    <row r="1737" spans="1:1">
      <c r="A1737" s="151" t="s">
        <v>3712</v>
      </c>
    </row>
    <row r="1738" spans="1:1">
      <c r="A1738" s="151" t="s">
        <v>3713</v>
      </c>
    </row>
    <row r="1739" spans="1:1">
      <c r="A1739" s="151" t="s">
        <v>3714</v>
      </c>
    </row>
    <row r="1740" spans="1:1">
      <c r="A1740" s="151" t="s">
        <v>3715</v>
      </c>
    </row>
    <row r="1741" spans="1:1">
      <c r="A1741" s="151" t="s">
        <v>3716</v>
      </c>
    </row>
    <row r="1742" spans="1:1">
      <c r="A1742" s="151" t="s">
        <v>3717</v>
      </c>
    </row>
    <row r="1743" spans="1:1">
      <c r="A1743" s="151" t="s">
        <v>3718</v>
      </c>
    </row>
    <row r="1744" spans="1:1">
      <c r="A1744" s="151" t="s">
        <v>3719</v>
      </c>
    </row>
    <row r="1745" spans="1:1">
      <c r="A1745" s="151" t="s">
        <v>3720</v>
      </c>
    </row>
    <row r="1746" spans="1:1">
      <c r="A1746" s="151" t="s">
        <v>3721</v>
      </c>
    </row>
    <row r="1747" spans="1:1">
      <c r="A1747" s="151" t="s">
        <v>3722</v>
      </c>
    </row>
    <row r="1748" spans="1:1">
      <c r="A1748" s="151" t="s">
        <v>3723</v>
      </c>
    </row>
    <row r="1749" spans="1:1">
      <c r="A1749" s="151" t="s">
        <v>3724</v>
      </c>
    </row>
    <row r="1750" spans="1:1">
      <c r="A1750" s="151" t="s">
        <v>3725</v>
      </c>
    </row>
    <row r="1751" spans="1:1">
      <c r="A1751" s="151" t="s">
        <v>3726</v>
      </c>
    </row>
    <row r="1752" spans="1:1">
      <c r="A1752" s="151" t="s">
        <v>3727</v>
      </c>
    </row>
    <row r="1753" spans="1:1">
      <c r="A1753" s="151" t="s">
        <v>3728</v>
      </c>
    </row>
    <row r="1754" spans="1:1">
      <c r="A1754" s="151" t="s">
        <v>3729</v>
      </c>
    </row>
    <row r="1755" spans="1:1">
      <c r="A1755" s="151" t="s">
        <v>3730</v>
      </c>
    </row>
    <row r="1756" spans="1:1">
      <c r="A1756" s="151" t="s">
        <v>3731</v>
      </c>
    </row>
    <row r="1757" spans="1:1">
      <c r="A1757" s="151" t="s">
        <v>3732</v>
      </c>
    </row>
    <row r="1758" spans="1:1">
      <c r="A1758" s="151" t="s">
        <v>3733</v>
      </c>
    </row>
    <row r="1759" spans="1:1">
      <c r="A1759" s="151" t="s">
        <v>3734</v>
      </c>
    </row>
    <row r="1760" spans="1:1">
      <c r="A1760" s="151" t="s">
        <v>3735</v>
      </c>
    </row>
    <row r="1761" spans="1:1">
      <c r="A1761" s="151" t="s">
        <v>3736</v>
      </c>
    </row>
    <row r="1762" spans="1:1">
      <c r="A1762" s="151" t="s">
        <v>3737</v>
      </c>
    </row>
    <row r="1763" spans="1:1">
      <c r="A1763" s="151" t="s">
        <v>3738</v>
      </c>
    </row>
    <row r="1764" spans="1:1">
      <c r="A1764" s="151" t="s">
        <v>3739</v>
      </c>
    </row>
    <row r="1765" spans="1:1">
      <c r="A1765" s="151" t="s">
        <v>3740</v>
      </c>
    </row>
    <row r="1766" spans="1:1">
      <c r="A1766" s="151" t="s">
        <v>3741</v>
      </c>
    </row>
    <row r="1767" spans="1:1">
      <c r="A1767" s="151" t="s">
        <v>3742</v>
      </c>
    </row>
    <row r="1768" spans="1:1">
      <c r="A1768" s="151" t="s">
        <v>3743</v>
      </c>
    </row>
    <row r="1769" spans="1:1">
      <c r="A1769" s="151" t="s">
        <v>3744</v>
      </c>
    </row>
    <row r="1770" spans="1:1">
      <c r="A1770" s="151" t="s">
        <v>3745</v>
      </c>
    </row>
    <row r="1771" spans="1:1">
      <c r="A1771" s="151" t="s">
        <v>3746</v>
      </c>
    </row>
    <row r="1772" spans="1:1">
      <c r="A1772" s="151" t="s">
        <v>3747</v>
      </c>
    </row>
    <row r="1773" spans="1:1">
      <c r="A1773" s="151" t="s">
        <v>3748</v>
      </c>
    </row>
    <row r="1774" spans="1:1">
      <c r="A1774" s="151" t="s">
        <v>3749</v>
      </c>
    </row>
    <row r="1775" spans="1:1">
      <c r="A1775" s="151" t="s">
        <v>3750</v>
      </c>
    </row>
    <row r="1776" spans="1:1">
      <c r="A1776" s="151" t="s">
        <v>3751</v>
      </c>
    </row>
    <row r="1777" spans="1:1">
      <c r="A1777" s="151" t="s">
        <v>3752</v>
      </c>
    </row>
    <row r="1778" spans="1:1">
      <c r="A1778" s="151" t="s">
        <v>3753</v>
      </c>
    </row>
    <row r="1779" spans="1:1">
      <c r="A1779" s="151" t="s">
        <v>3754</v>
      </c>
    </row>
    <row r="1780" spans="1:1">
      <c r="A1780" s="151" t="s">
        <v>3755</v>
      </c>
    </row>
    <row r="1781" spans="1:1">
      <c r="A1781" s="151" t="s">
        <v>3756</v>
      </c>
    </row>
    <row r="1782" spans="1:1">
      <c r="A1782" s="151" t="s">
        <v>3757</v>
      </c>
    </row>
    <row r="1783" spans="1:1">
      <c r="A1783" s="151" t="s">
        <v>3758</v>
      </c>
    </row>
    <row r="1784" spans="1:1">
      <c r="A1784" s="151" t="s">
        <v>3759</v>
      </c>
    </row>
    <row r="1785" spans="1:1">
      <c r="A1785" s="151" t="s">
        <v>3760</v>
      </c>
    </row>
    <row r="1786" spans="1:1">
      <c r="A1786" s="151" t="s">
        <v>3761</v>
      </c>
    </row>
    <row r="1787" spans="1:1">
      <c r="A1787" s="151" t="s">
        <v>3762</v>
      </c>
    </row>
    <row r="1788" spans="1:1">
      <c r="A1788" s="151" t="s">
        <v>3763</v>
      </c>
    </row>
    <row r="1789" spans="1:1">
      <c r="A1789" s="151" t="s">
        <v>3764</v>
      </c>
    </row>
    <row r="1790" spans="1:1">
      <c r="A1790" s="151" t="s">
        <v>3765</v>
      </c>
    </row>
    <row r="1791" spans="1:1">
      <c r="A1791" s="151" t="s">
        <v>3766</v>
      </c>
    </row>
    <row r="1792" spans="1:1">
      <c r="A1792" s="151" t="s">
        <v>3767</v>
      </c>
    </row>
    <row r="1793" spans="1:1">
      <c r="A1793" s="151" t="s">
        <v>3768</v>
      </c>
    </row>
    <row r="1794" spans="1:1">
      <c r="A1794" s="151" t="s">
        <v>3769</v>
      </c>
    </row>
    <row r="1795" spans="1:1">
      <c r="A1795" s="151" t="s">
        <v>3770</v>
      </c>
    </row>
    <row r="1796" spans="1:1">
      <c r="A1796" s="151" t="s">
        <v>3771</v>
      </c>
    </row>
    <row r="1797" spans="1:1">
      <c r="A1797" s="151" t="s">
        <v>3772</v>
      </c>
    </row>
    <row r="1798" spans="1:1">
      <c r="A1798" s="151" t="s">
        <v>3773</v>
      </c>
    </row>
    <row r="1799" spans="1:1">
      <c r="A1799" s="151" t="s">
        <v>3774</v>
      </c>
    </row>
    <row r="1800" spans="1:1">
      <c r="A1800" s="151" t="s">
        <v>3775</v>
      </c>
    </row>
    <row r="1801" spans="1:1">
      <c r="A1801" s="151" t="s">
        <v>3776</v>
      </c>
    </row>
    <row r="1802" spans="1:1">
      <c r="A1802" s="151" t="s">
        <v>3777</v>
      </c>
    </row>
    <row r="1803" spans="1:1">
      <c r="A1803" s="151" t="s">
        <v>3778</v>
      </c>
    </row>
    <row r="1804" spans="1:1">
      <c r="A1804" s="151" t="s">
        <v>3779</v>
      </c>
    </row>
    <row r="1805" spans="1:1">
      <c r="A1805" s="151" t="s">
        <v>3780</v>
      </c>
    </row>
    <row r="1806" spans="1:1">
      <c r="A1806" s="151" t="s">
        <v>3781</v>
      </c>
    </row>
    <row r="1807" spans="1:1">
      <c r="A1807" s="151" t="s">
        <v>3782</v>
      </c>
    </row>
    <row r="1808" spans="1:1">
      <c r="A1808" s="151" t="s">
        <v>3783</v>
      </c>
    </row>
    <row r="1809" spans="1:1">
      <c r="A1809" s="151" t="s">
        <v>3784</v>
      </c>
    </row>
    <row r="1810" spans="1:1">
      <c r="A1810" s="151" t="s">
        <v>3785</v>
      </c>
    </row>
    <row r="1811" spans="1:1">
      <c r="A1811" s="151" t="s">
        <v>3786</v>
      </c>
    </row>
    <row r="1812" spans="1:1">
      <c r="A1812" s="151" t="s">
        <v>3787</v>
      </c>
    </row>
    <row r="1813" spans="1:1">
      <c r="A1813" s="151" t="s">
        <v>3788</v>
      </c>
    </row>
    <row r="1814" spans="1:1">
      <c r="A1814" s="151" t="s">
        <v>3789</v>
      </c>
    </row>
    <row r="1815" spans="1:1">
      <c r="A1815" s="151" t="s">
        <v>3790</v>
      </c>
    </row>
    <row r="1816" spans="1:1">
      <c r="A1816" s="151" t="s">
        <v>3791</v>
      </c>
    </row>
    <row r="1817" spans="1:1">
      <c r="A1817" s="151" t="s">
        <v>3792</v>
      </c>
    </row>
    <row r="1818" spans="1:1">
      <c r="A1818" s="151" t="s">
        <v>3793</v>
      </c>
    </row>
    <row r="1819" spans="1:1">
      <c r="A1819" s="151" t="s">
        <v>3794</v>
      </c>
    </row>
    <row r="1820" spans="1:1">
      <c r="A1820" s="151" t="s">
        <v>3795</v>
      </c>
    </row>
    <row r="1821" spans="1:1">
      <c r="A1821" s="151" t="s">
        <v>3796</v>
      </c>
    </row>
    <row r="1822" spans="1:1">
      <c r="A1822" s="151" t="s">
        <v>3797</v>
      </c>
    </row>
    <row r="1823" spans="1:1">
      <c r="A1823" s="151" t="s">
        <v>3798</v>
      </c>
    </row>
    <row r="1824" spans="1:1">
      <c r="A1824" s="151" t="s">
        <v>3799</v>
      </c>
    </row>
    <row r="1825" spans="1:1">
      <c r="A1825" s="151" t="s">
        <v>3800</v>
      </c>
    </row>
    <row r="1826" spans="1:1">
      <c r="A1826" s="151" t="s">
        <v>3801</v>
      </c>
    </row>
    <row r="1827" spans="1:1">
      <c r="A1827" s="151" t="s">
        <v>3802</v>
      </c>
    </row>
    <row r="1828" spans="1:1">
      <c r="A1828" s="151" t="s">
        <v>3803</v>
      </c>
    </row>
    <row r="1829" spans="1:1">
      <c r="A1829" s="151" t="s">
        <v>3804</v>
      </c>
    </row>
    <row r="1830" spans="1:1">
      <c r="A1830" s="151" t="s">
        <v>3805</v>
      </c>
    </row>
    <row r="1831" spans="1:1">
      <c r="A1831" s="151" t="s">
        <v>3806</v>
      </c>
    </row>
    <row r="1832" spans="1:1">
      <c r="A1832" s="151" t="s">
        <v>3807</v>
      </c>
    </row>
    <row r="1833" spans="1:1">
      <c r="A1833" s="151" t="s">
        <v>3808</v>
      </c>
    </row>
    <row r="1834" spans="1:1">
      <c r="A1834" s="151" t="s">
        <v>3809</v>
      </c>
    </row>
    <row r="1835" spans="1:1">
      <c r="A1835" s="151" t="s">
        <v>3810</v>
      </c>
    </row>
    <row r="1836" spans="1:1">
      <c r="A1836" s="151" t="s">
        <v>3811</v>
      </c>
    </row>
    <row r="1837" spans="1:1">
      <c r="A1837" s="151" t="s">
        <v>3812</v>
      </c>
    </row>
    <row r="1838" spans="1:1">
      <c r="A1838" s="151" t="s">
        <v>3813</v>
      </c>
    </row>
    <row r="1839" spans="1:1">
      <c r="A1839" s="151" t="s">
        <v>3814</v>
      </c>
    </row>
    <row r="1840" spans="1:1">
      <c r="A1840" s="151" t="s">
        <v>3815</v>
      </c>
    </row>
    <row r="1841" spans="1:1">
      <c r="A1841" s="151" t="s">
        <v>3816</v>
      </c>
    </row>
    <row r="1842" spans="1:1">
      <c r="A1842" s="151" t="s">
        <v>3817</v>
      </c>
    </row>
    <row r="1843" spans="1:1">
      <c r="A1843" s="151" t="s">
        <v>3818</v>
      </c>
    </row>
    <row r="1844" spans="1:1">
      <c r="A1844" s="151" t="s">
        <v>3819</v>
      </c>
    </row>
    <row r="1845" spans="1:1">
      <c r="A1845" s="151" t="s">
        <v>3820</v>
      </c>
    </row>
    <row r="1846" spans="1:1">
      <c r="A1846" s="151" t="s">
        <v>3821</v>
      </c>
    </row>
    <row r="1847" spans="1:1">
      <c r="A1847" s="151" t="s">
        <v>3822</v>
      </c>
    </row>
    <row r="1848" spans="1:1">
      <c r="A1848" s="151" t="s">
        <v>3823</v>
      </c>
    </row>
    <row r="1849" spans="1:1">
      <c r="A1849" s="151" t="s">
        <v>3824</v>
      </c>
    </row>
    <row r="1850" spans="1:1">
      <c r="A1850" s="151" t="s">
        <v>3825</v>
      </c>
    </row>
    <row r="1851" spans="1:1">
      <c r="A1851" s="151" t="s">
        <v>3826</v>
      </c>
    </row>
    <row r="1852" spans="1:1">
      <c r="A1852" s="151" t="s">
        <v>3827</v>
      </c>
    </row>
    <row r="1853" spans="1:1">
      <c r="A1853" s="151" t="s">
        <v>3828</v>
      </c>
    </row>
    <row r="1854" spans="1:1">
      <c r="A1854" s="151" t="s">
        <v>3829</v>
      </c>
    </row>
    <row r="1855" spans="1:1">
      <c r="A1855" s="151" t="s">
        <v>3830</v>
      </c>
    </row>
    <row r="1856" spans="1:1">
      <c r="A1856" s="151" t="s">
        <v>3831</v>
      </c>
    </row>
    <row r="1857" spans="1:1">
      <c r="A1857" s="151" t="s">
        <v>3832</v>
      </c>
    </row>
    <row r="1858" spans="1:1">
      <c r="A1858" s="151" t="s">
        <v>3833</v>
      </c>
    </row>
    <row r="1859" spans="1:1">
      <c r="A1859" s="151" t="s">
        <v>3834</v>
      </c>
    </row>
    <row r="1860" spans="1:1">
      <c r="A1860" s="151" t="s">
        <v>3835</v>
      </c>
    </row>
    <row r="1861" spans="1:1">
      <c r="A1861" s="151" t="s">
        <v>3836</v>
      </c>
    </row>
    <row r="1862" spans="1:1">
      <c r="A1862" s="151" t="s">
        <v>3837</v>
      </c>
    </row>
    <row r="1863" spans="1:1">
      <c r="A1863" s="151" t="s">
        <v>3838</v>
      </c>
    </row>
    <row r="1864" spans="1:1">
      <c r="A1864" s="151" t="s">
        <v>3839</v>
      </c>
    </row>
    <row r="1865" spans="1:1">
      <c r="A1865" s="151" t="s">
        <v>3840</v>
      </c>
    </row>
    <row r="1866" spans="1:1">
      <c r="A1866" s="151" t="s">
        <v>3841</v>
      </c>
    </row>
    <row r="1867" spans="1:1">
      <c r="A1867" s="151" t="s">
        <v>3842</v>
      </c>
    </row>
    <row r="1868" spans="1:1">
      <c r="A1868" s="151" t="s">
        <v>3843</v>
      </c>
    </row>
    <row r="1869" spans="1:1">
      <c r="A1869" s="151" t="s">
        <v>3844</v>
      </c>
    </row>
    <row r="1870" spans="1:1">
      <c r="A1870" s="151" t="s">
        <v>3845</v>
      </c>
    </row>
    <row r="1871" spans="1:1">
      <c r="A1871" s="151" t="s">
        <v>3846</v>
      </c>
    </row>
    <row r="1872" spans="1:1">
      <c r="A1872" s="151" t="s">
        <v>3847</v>
      </c>
    </row>
    <row r="1873" spans="1:1">
      <c r="A1873" s="151" t="s">
        <v>3848</v>
      </c>
    </row>
    <row r="1874" spans="1:1">
      <c r="A1874" s="151" t="s">
        <v>3849</v>
      </c>
    </row>
    <row r="1875" spans="1:1">
      <c r="A1875" s="151" t="s">
        <v>3850</v>
      </c>
    </row>
    <row r="1876" spans="1:1">
      <c r="A1876" s="151" t="s">
        <v>3851</v>
      </c>
    </row>
    <row r="1877" spans="1:1">
      <c r="A1877" s="151" t="s">
        <v>3852</v>
      </c>
    </row>
    <row r="1878" spans="1:1">
      <c r="A1878" s="151" t="s">
        <v>3853</v>
      </c>
    </row>
    <row r="1879" spans="1:1">
      <c r="A1879" s="151" t="s">
        <v>3854</v>
      </c>
    </row>
    <row r="1880" spans="1:1">
      <c r="A1880" s="151" t="s">
        <v>3855</v>
      </c>
    </row>
    <row r="1881" spans="1:1">
      <c r="A1881" s="151" t="s">
        <v>3856</v>
      </c>
    </row>
    <row r="1882" spans="1:1">
      <c r="A1882" s="151" t="s">
        <v>3857</v>
      </c>
    </row>
    <row r="1883" spans="1:1">
      <c r="A1883" s="151" t="s">
        <v>3858</v>
      </c>
    </row>
    <row r="1884" spans="1:1">
      <c r="A1884" s="151" t="s">
        <v>3859</v>
      </c>
    </row>
    <row r="1885" spans="1:1">
      <c r="A1885" s="151" t="s">
        <v>3860</v>
      </c>
    </row>
    <row r="1886" spans="1:1">
      <c r="A1886" s="151" t="s">
        <v>3861</v>
      </c>
    </row>
    <row r="1887" spans="1:1">
      <c r="A1887" s="151" t="s">
        <v>3862</v>
      </c>
    </row>
    <row r="1888" spans="1:1">
      <c r="A1888" s="151" t="s">
        <v>3863</v>
      </c>
    </row>
    <row r="1889" spans="1:1">
      <c r="A1889" s="151" t="s">
        <v>3864</v>
      </c>
    </row>
    <row r="1890" spans="1:1">
      <c r="A1890" s="151" t="s">
        <v>3865</v>
      </c>
    </row>
    <row r="1891" spans="1:1">
      <c r="A1891" s="151" t="s">
        <v>3866</v>
      </c>
    </row>
    <row r="1892" spans="1:1">
      <c r="A1892" s="151" t="s">
        <v>3867</v>
      </c>
    </row>
    <row r="1893" spans="1:1">
      <c r="A1893" s="151" t="s">
        <v>3868</v>
      </c>
    </row>
    <row r="1894" spans="1:1">
      <c r="A1894" s="151" t="s">
        <v>3869</v>
      </c>
    </row>
    <row r="1895" spans="1:1">
      <c r="A1895" s="151" t="s">
        <v>3870</v>
      </c>
    </row>
    <row r="1896" spans="1:1">
      <c r="A1896" s="151" t="s">
        <v>3871</v>
      </c>
    </row>
    <row r="1897" spans="1:1">
      <c r="A1897" s="151" t="s">
        <v>3872</v>
      </c>
    </row>
    <row r="1898" spans="1:1">
      <c r="A1898" s="151" t="s">
        <v>3873</v>
      </c>
    </row>
    <row r="1899" spans="1:1">
      <c r="A1899" s="151" t="s">
        <v>3874</v>
      </c>
    </row>
    <row r="1900" spans="1:1">
      <c r="A1900" s="151" t="s">
        <v>3875</v>
      </c>
    </row>
    <row r="1901" spans="1:1">
      <c r="A1901" s="151" t="s">
        <v>3876</v>
      </c>
    </row>
    <row r="1902" spans="1:1">
      <c r="A1902" s="151" t="s">
        <v>3877</v>
      </c>
    </row>
    <row r="1903" spans="1:1">
      <c r="A1903" s="151" t="s">
        <v>3878</v>
      </c>
    </row>
    <row r="1904" spans="1:1">
      <c r="A1904" s="151" t="s">
        <v>3879</v>
      </c>
    </row>
    <row r="1905" spans="1:1">
      <c r="A1905" s="151" t="s">
        <v>3880</v>
      </c>
    </row>
    <row r="1906" spans="1:1">
      <c r="A1906" s="151" t="s">
        <v>3881</v>
      </c>
    </row>
    <row r="1907" spans="1:1">
      <c r="A1907" s="151" t="s">
        <v>3882</v>
      </c>
    </row>
    <row r="1908" spans="1:1">
      <c r="A1908" s="151" t="s">
        <v>3883</v>
      </c>
    </row>
    <row r="1909" spans="1:1">
      <c r="A1909" s="151" t="s">
        <v>3884</v>
      </c>
    </row>
    <row r="1910" spans="1:1">
      <c r="A1910" s="151" t="s">
        <v>3885</v>
      </c>
    </row>
    <row r="1911" spans="1:1">
      <c r="A1911" s="151" t="s">
        <v>3886</v>
      </c>
    </row>
    <row r="1912" spans="1:1">
      <c r="A1912" s="151" t="s">
        <v>3887</v>
      </c>
    </row>
    <row r="1913" spans="1:1">
      <c r="A1913" s="151" t="s">
        <v>3888</v>
      </c>
    </row>
    <row r="1914" spans="1:1">
      <c r="A1914" s="151" t="s">
        <v>3889</v>
      </c>
    </row>
    <row r="1915" spans="1:1">
      <c r="A1915" s="151" t="s">
        <v>3890</v>
      </c>
    </row>
    <row r="1916" spans="1:1">
      <c r="A1916" s="151" t="s">
        <v>3891</v>
      </c>
    </row>
    <row r="1917" spans="1:1">
      <c r="A1917" s="151" t="s">
        <v>3892</v>
      </c>
    </row>
    <row r="1918" spans="1:1">
      <c r="A1918" s="151" t="s">
        <v>3893</v>
      </c>
    </row>
    <row r="1919" spans="1:1">
      <c r="A1919" s="151" t="s">
        <v>3894</v>
      </c>
    </row>
    <row r="1920" spans="1:1">
      <c r="A1920" s="151" t="s">
        <v>3895</v>
      </c>
    </row>
    <row r="1921" spans="1:1">
      <c r="A1921" s="151" t="s">
        <v>3896</v>
      </c>
    </row>
    <row r="1922" spans="1:1">
      <c r="A1922" s="151" t="s">
        <v>3897</v>
      </c>
    </row>
    <row r="1923" spans="1:1">
      <c r="A1923" s="151" t="s">
        <v>3898</v>
      </c>
    </row>
    <row r="1924" spans="1:1">
      <c r="A1924" s="151" t="s">
        <v>3899</v>
      </c>
    </row>
    <row r="1925" spans="1:1">
      <c r="A1925" s="151" t="s">
        <v>3900</v>
      </c>
    </row>
    <row r="1926" spans="1:1">
      <c r="A1926" s="151" t="s">
        <v>3901</v>
      </c>
    </row>
    <row r="1927" spans="1:1">
      <c r="A1927" s="151" t="s">
        <v>3902</v>
      </c>
    </row>
    <row r="1928" spans="1:1">
      <c r="A1928" s="151" t="s">
        <v>3903</v>
      </c>
    </row>
    <row r="1929" spans="1:1">
      <c r="A1929" s="151" t="s">
        <v>3904</v>
      </c>
    </row>
    <row r="1930" spans="1:1">
      <c r="A1930" s="151" t="s">
        <v>3905</v>
      </c>
    </row>
    <row r="1931" spans="1:1">
      <c r="A1931" s="151" t="s">
        <v>3906</v>
      </c>
    </row>
    <row r="1932" spans="1:1">
      <c r="A1932" s="151" t="s">
        <v>3907</v>
      </c>
    </row>
    <row r="1933" spans="1:1">
      <c r="A1933" s="151" t="s">
        <v>3908</v>
      </c>
    </row>
    <row r="1934" spans="1:1">
      <c r="A1934" s="151" t="s">
        <v>3909</v>
      </c>
    </row>
    <row r="1935" spans="1:1">
      <c r="A1935" s="151" t="s">
        <v>3910</v>
      </c>
    </row>
    <row r="1936" spans="1:1">
      <c r="A1936" s="151" t="s">
        <v>3911</v>
      </c>
    </row>
    <row r="1937" spans="1:1">
      <c r="A1937" s="151" t="s">
        <v>3912</v>
      </c>
    </row>
    <row r="1938" spans="1:1">
      <c r="A1938" s="151" t="s">
        <v>3913</v>
      </c>
    </row>
    <row r="1939" spans="1:1">
      <c r="A1939" s="151" t="s">
        <v>3914</v>
      </c>
    </row>
    <row r="1940" spans="1:1">
      <c r="A1940" s="151" t="s">
        <v>3915</v>
      </c>
    </row>
    <row r="1941" spans="1:1">
      <c r="A1941" s="151" t="s">
        <v>3916</v>
      </c>
    </row>
    <row r="1942" spans="1:1">
      <c r="A1942" s="151" t="s">
        <v>3917</v>
      </c>
    </row>
    <row r="1943" spans="1:1">
      <c r="A1943" s="151" t="s">
        <v>3918</v>
      </c>
    </row>
    <row r="1944" spans="1:1">
      <c r="A1944" s="151" t="s">
        <v>3919</v>
      </c>
    </row>
    <row r="1945" spans="1:1">
      <c r="A1945" s="151" t="s">
        <v>3920</v>
      </c>
    </row>
    <row r="1946" spans="1:1">
      <c r="A1946" s="151" t="s">
        <v>3921</v>
      </c>
    </row>
    <row r="1947" spans="1:1">
      <c r="A1947" s="151" t="s">
        <v>3922</v>
      </c>
    </row>
    <row r="1948" spans="1:1">
      <c r="A1948" s="151" t="s">
        <v>3923</v>
      </c>
    </row>
    <row r="1949" spans="1:1">
      <c r="A1949" s="151" t="s">
        <v>3924</v>
      </c>
    </row>
    <row r="1950" spans="1:1">
      <c r="A1950" s="151" t="s">
        <v>3925</v>
      </c>
    </row>
    <row r="1951" spans="1:1">
      <c r="A1951" s="151" t="s">
        <v>3926</v>
      </c>
    </row>
    <row r="1952" spans="1:1">
      <c r="A1952" s="151" t="s">
        <v>3927</v>
      </c>
    </row>
    <row r="1953" spans="1:1">
      <c r="A1953" s="151" t="s">
        <v>3928</v>
      </c>
    </row>
    <row r="1954" spans="1:1">
      <c r="A1954" s="151" t="s">
        <v>3929</v>
      </c>
    </row>
    <row r="1955" spans="1:1">
      <c r="A1955" s="151" t="s">
        <v>3930</v>
      </c>
    </row>
    <row r="1956" spans="1:1">
      <c r="A1956" s="151" t="s">
        <v>3931</v>
      </c>
    </row>
    <row r="1957" spans="1:1">
      <c r="A1957" s="151" t="s">
        <v>3932</v>
      </c>
    </row>
    <row r="1958" spans="1:1">
      <c r="A1958" s="151" t="s">
        <v>3933</v>
      </c>
    </row>
    <row r="1959" spans="1:1">
      <c r="A1959" s="151" t="s">
        <v>3934</v>
      </c>
    </row>
    <row r="1960" spans="1:1">
      <c r="A1960" s="151" t="s">
        <v>3935</v>
      </c>
    </row>
    <row r="1961" spans="1:1">
      <c r="A1961" s="151" t="s">
        <v>3936</v>
      </c>
    </row>
    <row r="1962" spans="1:1">
      <c r="A1962" s="151" t="s">
        <v>3937</v>
      </c>
    </row>
    <row r="1963" spans="1:1">
      <c r="A1963" s="151" t="s">
        <v>3938</v>
      </c>
    </row>
    <row r="1964" spans="1:1">
      <c r="A1964" s="151" t="s">
        <v>3939</v>
      </c>
    </row>
    <row r="1965" spans="1:1">
      <c r="A1965" s="151" t="s">
        <v>3940</v>
      </c>
    </row>
    <row r="1966" spans="1:1">
      <c r="A1966" s="151" t="s">
        <v>3941</v>
      </c>
    </row>
    <row r="1967" spans="1:1">
      <c r="A1967" s="151" t="s">
        <v>3942</v>
      </c>
    </row>
    <row r="1968" spans="1:1">
      <c r="A1968" s="151" t="s">
        <v>3943</v>
      </c>
    </row>
    <row r="1969" spans="1:1">
      <c r="A1969" s="151" t="s">
        <v>3944</v>
      </c>
    </row>
    <row r="1970" spans="1:1">
      <c r="A1970" s="151" t="s">
        <v>3945</v>
      </c>
    </row>
    <row r="1971" spans="1:1">
      <c r="A1971" s="151" t="s">
        <v>3946</v>
      </c>
    </row>
    <row r="1972" spans="1:1">
      <c r="A1972" s="151" t="s">
        <v>3947</v>
      </c>
    </row>
    <row r="1973" spans="1:1">
      <c r="A1973" s="151" t="s">
        <v>3948</v>
      </c>
    </row>
    <row r="1974" spans="1:1">
      <c r="A1974" s="151" t="s">
        <v>3949</v>
      </c>
    </row>
    <row r="1975" spans="1:1">
      <c r="A1975" s="151" t="s">
        <v>3950</v>
      </c>
    </row>
    <row r="1976" spans="1:1">
      <c r="A1976" s="151" t="s">
        <v>3951</v>
      </c>
    </row>
    <row r="1977" spans="1:1">
      <c r="A1977" s="151" t="s">
        <v>3952</v>
      </c>
    </row>
    <row r="1978" spans="1:1">
      <c r="A1978" s="151" t="s">
        <v>3953</v>
      </c>
    </row>
    <row r="1979" spans="1:1">
      <c r="A1979" s="151" t="s">
        <v>3954</v>
      </c>
    </row>
    <row r="1980" spans="1:1">
      <c r="A1980" s="151" t="s">
        <v>3955</v>
      </c>
    </row>
    <row r="1981" spans="1:1">
      <c r="A1981" s="151" t="s">
        <v>3956</v>
      </c>
    </row>
    <row r="1982" spans="1:1">
      <c r="A1982" s="151" t="s">
        <v>3957</v>
      </c>
    </row>
    <row r="1983" spans="1:1">
      <c r="A1983" s="151" t="s">
        <v>3958</v>
      </c>
    </row>
    <row r="1984" spans="1:1">
      <c r="A1984" s="151" t="s">
        <v>3959</v>
      </c>
    </row>
    <row r="1985" spans="1:1">
      <c r="A1985" s="151" t="s">
        <v>3960</v>
      </c>
    </row>
    <row r="1986" spans="1:1">
      <c r="A1986" s="151" t="s">
        <v>3961</v>
      </c>
    </row>
    <row r="1987" spans="1:1">
      <c r="A1987" s="151" t="s">
        <v>3962</v>
      </c>
    </row>
    <row r="1988" spans="1:1">
      <c r="A1988" s="151" t="s">
        <v>3963</v>
      </c>
    </row>
    <row r="1989" spans="1:1">
      <c r="A1989" s="151" t="s">
        <v>3964</v>
      </c>
    </row>
    <row r="1990" spans="1:1">
      <c r="A1990" s="151" t="s">
        <v>3965</v>
      </c>
    </row>
    <row r="1991" spans="1:1">
      <c r="A1991" s="151" t="s">
        <v>3966</v>
      </c>
    </row>
    <row r="1992" spans="1:1">
      <c r="A1992" s="151" t="s">
        <v>3967</v>
      </c>
    </row>
    <row r="1993" spans="1:1">
      <c r="A1993" s="151" t="s">
        <v>3968</v>
      </c>
    </row>
    <row r="1994" spans="1:1">
      <c r="A1994" s="151" t="s">
        <v>3969</v>
      </c>
    </row>
    <row r="1995" spans="1:1">
      <c r="A1995" s="151" t="s">
        <v>3970</v>
      </c>
    </row>
    <row r="1996" spans="1:1">
      <c r="A1996" s="151" t="s">
        <v>3971</v>
      </c>
    </row>
    <row r="1997" spans="1:1">
      <c r="A1997" s="151" t="s">
        <v>3972</v>
      </c>
    </row>
    <row r="1998" spans="1:1">
      <c r="A1998" s="151" t="s">
        <v>3973</v>
      </c>
    </row>
    <row r="1999" spans="1:1">
      <c r="A1999" s="151" t="s">
        <v>3974</v>
      </c>
    </row>
    <row r="2000" spans="1:1">
      <c r="A2000" s="151" t="s">
        <v>3975</v>
      </c>
    </row>
    <row r="2001" spans="1:1">
      <c r="A2001" s="151" t="s">
        <v>3976</v>
      </c>
    </row>
    <row r="2002" spans="1:1">
      <c r="A2002" s="151" t="s">
        <v>3977</v>
      </c>
    </row>
    <row r="2003" spans="1:1">
      <c r="A2003" s="151" t="s">
        <v>3978</v>
      </c>
    </row>
    <row r="2004" spans="1:1">
      <c r="A2004" s="151" t="s">
        <v>3979</v>
      </c>
    </row>
    <row r="2005" spans="1:1">
      <c r="A2005" s="151" t="s">
        <v>3980</v>
      </c>
    </row>
    <row r="2006" spans="1:1">
      <c r="A2006" s="151" t="s">
        <v>3981</v>
      </c>
    </row>
    <row r="2007" spans="1:1">
      <c r="A2007" s="151" t="s">
        <v>3982</v>
      </c>
    </row>
    <row r="2008" spans="1:1">
      <c r="A2008" s="151" t="s">
        <v>3983</v>
      </c>
    </row>
    <row r="2009" spans="1:1">
      <c r="A2009" s="151" t="s">
        <v>3984</v>
      </c>
    </row>
    <row r="2010" spans="1:1">
      <c r="A2010" s="151" t="s">
        <v>3985</v>
      </c>
    </row>
    <row r="2011" spans="1:1">
      <c r="A2011" s="151" t="s">
        <v>3986</v>
      </c>
    </row>
    <row r="2012" spans="1:1">
      <c r="A2012" s="151" t="s">
        <v>3987</v>
      </c>
    </row>
    <row r="2013" spans="1:1">
      <c r="A2013" s="151" t="s">
        <v>3988</v>
      </c>
    </row>
    <row r="2014" spans="1:1">
      <c r="A2014" s="151" t="s">
        <v>3989</v>
      </c>
    </row>
    <row r="2015" spans="1:1">
      <c r="A2015" s="151" t="s">
        <v>3990</v>
      </c>
    </row>
    <row r="2016" spans="1:1">
      <c r="A2016" s="151" t="s">
        <v>3991</v>
      </c>
    </row>
    <row r="2017" spans="1:1">
      <c r="A2017" s="151" t="s">
        <v>3992</v>
      </c>
    </row>
    <row r="2018" spans="1:1">
      <c r="A2018" s="151" t="s">
        <v>3993</v>
      </c>
    </row>
    <row r="2019" spans="1:1">
      <c r="A2019" s="151" t="s">
        <v>3994</v>
      </c>
    </row>
    <row r="2020" spans="1:1">
      <c r="A2020" s="151" t="s">
        <v>3995</v>
      </c>
    </row>
    <row r="2021" spans="1:1">
      <c r="A2021" s="151" t="s">
        <v>3996</v>
      </c>
    </row>
    <row r="2022" spans="1:1">
      <c r="A2022" s="151" t="s">
        <v>3997</v>
      </c>
    </row>
    <row r="2023" spans="1:1">
      <c r="A2023" s="151" t="s">
        <v>3998</v>
      </c>
    </row>
    <row r="2024" spans="1:1">
      <c r="A2024" s="151" t="s">
        <v>3999</v>
      </c>
    </row>
    <row r="2025" spans="1:1">
      <c r="A2025" s="151" t="s">
        <v>4000</v>
      </c>
    </row>
    <row r="2026" spans="1:1">
      <c r="A2026" s="151" t="s">
        <v>4001</v>
      </c>
    </row>
    <row r="2027" spans="1:1">
      <c r="A2027" s="151" t="s">
        <v>4002</v>
      </c>
    </row>
    <row r="2028" spans="1:1">
      <c r="A2028" s="151" t="s">
        <v>4003</v>
      </c>
    </row>
    <row r="2029" spans="1:1">
      <c r="A2029" s="151" t="s">
        <v>4004</v>
      </c>
    </row>
    <row r="2030" spans="1:1">
      <c r="A2030" s="151" t="s">
        <v>4005</v>
      </c>
    </row>
    <row r="2031" spans="1:1">
      <c r="A2031" s="151" t="s">
        <v>4006</v>
      </c>
    </row>
    <row r="2032" spans="1:1">
      <c r="A2032" s="151" t="s">
        <v>4007</v>
      </c>
    </row>
    <row r="2033" spans="1:1">
      <c r="A2033" s="151" t="s">
        <v>4008</v>
      </c>
    </row>
    <row r="2034" spans="1:1">
      <c r="A2034" s="151" t="s">
        <v>4009</v>
      </c>
    </row>
    <row r="2035" spans="1:1">
      <c r="A2035" s="151" t="s">
        <v>4010</v>
      </c>
    </row>
    <row r="2036" spans="1:1">
      <c r="A2036" s="151" t="s">
        <v>4011</v>
      </c>
    </row>
    <row r="2037" spans="1:1">
      <c r="A2037" s="151" t="s">
        <v>4012</v>
      </c>
    </row>
    <row r="2038" spans="1:1">
      <c r="A2038" s="151" t="s">
        <v>4013</v>
      </c>
    </row>
    <row r="2039" spans="1:1">
      <c r="A2039" s="151" t="s">
        <v>4014</v>
      </c>
    </row>
    <row r="2040" spans="1:1">
      <c r="A2040" s="151" t="s">
        <v>4015</v>
      </c>
    </row>
    <row r="2041" spans="1:1">
      <c r="A2041" s="151" t="s">
        <v>4016</v>
      </c>
    </row>
    <row r="2042" spans="1:1">
      <c r="A2042" s="151" t="s">
        <v>4017</v>
      </c>
    </row>
    <row r="2043" spans="1:1">
      <c r="A2043" s="151" t="s">
        <v>4018</v>
      </c>
    </row>
    <row r="2044" spans="1:1">
      <c r="A2044" s="151" t="s">
        <v>4019</v>
      </c>
    </row>
    <row r="2045" spans="1:1">
      <c r="A2045" s="151" t="s">
        <v>4020</v>
      </c>
    </row>
    <row r="2046" spans="1:1">
      <c r="A2046" s="151" t="s">
        <v>4021</v>
      </c>
    </row>
    <row r="2047" spans="1:1">
      <c r="A2047" s="151" t="s">
        <v>4022</v>
      </c>
    </row>
    <row r="2048" spans="1:1">
      <c r="A2048" s="151" t="s">
        <v>4023</v>
      </c>
    </row>
    <row r="2049" spans="1:1">
      <c r="A2049" s="151" t="s">
        <v>4024</v>
      </c>
    </row>
    <row r="2050" spans="1:1">
      <c r="A2050" s="151" t="s">
        <v>4025</v>
      </c>
    </row>
    <row r="2051" spans="1:1">
      <c r="A2051" s="151" t="s">
        <v>4026</v>
      </c>
    </row>
    <row r="2052" spans="1:1">
      <c r="A2052" s="151" t="s">
        <v>4027</v>
      </c>
    </row>
    <row r="2053" spans="1:1">
      <c r="A2053" s="151" t="s">
        <v>4028</v>
      </c>
    </row>
    <row r="2054" spans="1:1">
      <c r="A2054" s="151" t="s">
        <v>4029</v>
      </c>
    </row>
    <row r="2055" spans="1:1">
      <c r="A2055" s="151" t="s">
        <v>4030</v>
      </c>
    </row>
    <row r="2056" spans="1:1">
      <c r="A2056" s="151" t="s">
        <v>4031</v>
      </c>
    </row>
    <row r="2057" spans="1:1">
      <c r="A2057" s="151" t="s">
        <v>4032</v>
      </c>
    </row>
    <row r="2058" spans="1:1">
      <c r="A2058" s="151" t="s">
        <v>4033</v>
      </c>
    </row>
    <row r="2059" spans="1:1">
      <c r="A2059" s="151" t="s">
        <v>4034</v>
      </c>
    </row>
    <row r="2060" spans="1:1">
      <c r="A2060" s="151" t="s">
        <v>4035</v>
      </c>
    </row>
    <row r="2061" spans="1:1">
      <c r="A2061" s="151" t="s">
        <v>4036</v>
      </c>
    </row>
    <row r="2062" spans="1:1">
      <c r="A2062" s="151" t="s">
        <v>4037</v>
      </c>
    </row>
    <row r="2063" spans="1:1">
      <c r="A2063" s="151" t="s">
        <v>4038</v>
      </c>
    </row>
    <row r="2064" spans="1:1">
      <c r="A2064" s="151" t="s">
        <v>4039</v>
      </c>
    </row>
    <row r="2065" spans="1:1">
      <c r="A2065" s="151" t="s">
        <v>4040</v>
      </c>
    </row>
    <row r="2066" spans="1:1">
      <c r="A2066" s="151" t="s">
        <v>4041</v>
      </c>
    </row>
    <row r="2067" spans="1:1">
      <c r="A2067" s="151" t="s">
        <v>4042</v>
      </c>
    </row>
    <row r="2068" spans="1:1">
      <c r="A2068" s="151" t="s">
        <v>4043</v>
      </c>
    </row>
    <row r="2069" spans="1:1">
      <c r="A2069" s="151" t="s">
        <v>4044</v>
      </c>
    </row>
    <row r="2070" spans="1:1">
      <c r="A2070" s="151" t="s">
        <v>4045</v>
      </c>
    </row>
    <row r="2071" spans="1:1">
      <c r="A2071" s="151" t="s">
        <v>4046</v>
      </c>
    </row>
    <row r="2072" spans="1:1">
      <c r="A2072" s="151" t="s">
        <v>4047</v>
      </c>
    </row>
    <row r="2073" spans="1:1">
      <c r="A2073" s="151" t="s">
        <v>4048</v>
      </c>
    </row>
    <row r="2074" spans="1:1">
      <c r="A2074" s="151" t="s">
        <v>4049</v>
      </c>
    </row>
    <row r="2075" spans="1:1">
      <c r="A2075" s="151" t="s">
        <v>4050</v>
      </c>
    </row>
    <row r="2076" spans="1:1">
      <c r="A2076" s="151" t="s">
        <v>4051</v>
      </c>
    </row>
    <row r="2077" spans="1:1">
      <c r="A2077" s="151" t="s">
        <v>4052</v>
      </c>
    </row>
    <row r="2078" spans="1:1">
      <c r="A2078" s="151" t="s">
        <v>4053</v>
      </c>
    </row>
    <row r="2079" spans="1:1">
      <c r="A2079" s="151" t="s">
        <v>4054</v>
      </c>
    </row>
    <row r="2080" spans="1:1">
      <c r="A2080" s="151" t="s">
        <v>4055</v>
      </c>
    </row>
    <row r="2081" spans="1:1">
      <c r="A2081" s="151" t="s">
        <v>4056</v>
      </c>
    </row>
    <row r="2082" spans="1:1">
      <c r="A2082" s="151" t="s">
        <v>4057</v>
      </c>
    </row>
    <row r="2083" spans="1:1">
      <c r="A2083" s="151" t="s">
        <v>4058</v>
      </c>
    </row>
    <row r="2084" spans="1:1">
      <c r="A2084" s="151" t="s">
        <v>4059</v>
      </c>
    </row>
    <row r="2085" spans="1:1">
      <c r="A2085" s="151" t="s">
        <v>4060</v>
      </c>
    </row>
    <row r="2086" spans="1:1">
      <c r="A2086" s="151" t="s">
        <v>4061</v>
      </c>
    </row>
    <row r="2087" spans="1:1">
      <c r="A2087" s="151" t="s">
        <v>4062</v>
      </c>
    </row>
    <row r="2088" spans="1:1">
      <c r="A2088" s="151" t="s">
        <v>4063</v>
      </c>
    </row>
    <row r="2089" spans="1:1">
      <c r="A2089" s="151" t="s">
        <v>4064</v>
      </c>
    </row>
    <row r="2090" spans="1:1">
      <c r="A2090" s="151" t="s">
        <v>4065</v>
      </c>
    </row>
    <row r="2091" spans="1:1">
      <c r="A2091" s="151" t="s">
        <v>4066</v>
      </c>
    </row>
    <row r="2092" spans="1:1">
      <c r="A2092" s="151" t="s">
        <v>4067</v>
      </c>
    </row>
    <row r="2093" spans="1:1">
      <c r="A2093" s="151" t="s">
        <v>4068</v>
      </c>
    </row>
    <row r="2094" spans="1:1">
      <c r="A2094" s="151" t="s">
        <v>4069</v>
      </c>
    </row>
    <row r="2095" spans="1:1">
      <c r="A2095" s="151" t="s">
        <v>4070</v>
      </c>
    </row>
    <row r="2096" spans="1:1">
      <c r="A2096" s="151" t="s">
        <v>4071</v>
      </c>
    </row>
    <row r="2097" spans="1:1">
      <c r="A2097" s="151" t="s">
        <v>4072</v>
      </c>
    </row>
    <row r="2098" spans="1:1">
      <c r="A2098" s="151" t="s">
        <v>4073</v>
      </c>
    </row>
    <row r="2099" spans="1:1">
      <c r="A2099" s="151" t="s">
        <v>4074</v>
      </c>
    </row>
    <row r="2100" spans="1:1">
      <c r="A2100" s="151" t="s">
        <v>4075</v>
      </c>
    </row>
    <row r="2101" spans="1:1">
      <c r="A2101" s="151" t="s">
        <v>4076</v>
      </c>
    </row>
    <row r="2102" spans="1:1">
      <c r="A2102" s="151" t="s">
        <v>4077</v>
      </c>
    </row>
    <row r="2103" spans="1:1">
      <c r="A2103" s="151" t="s">
        <v>4078</v>
      </c>
    </row>
    <row r="2104" spans="1:1">
      <c r="A2104" s="151" t="s">
        <v>4079</v>
      </c>
    </row>
    <row r="2105" spans="1:1">
      <c r="A2105" s="151" t="s">
        <v>4080</v>
      </c>
    </row>
    <row r="2106" spans="1:1">
      <c r="A2106" s="151" t="s">
        <v>4081</v>
      </c>
    </row>
    <row r="2107" spans="1:1">
      <c r="A2107" s="151" t="s">
        <v>4082</v>
      </c>
    </row>
    <row r="2108" spans="1:1">
      <c r="A2108" s="151" t="s">
        <v>4083</v>
      </c>
    </row>
    <row r="2109" spans="1:1">
      <c r="A2109" s="151" t="s">
        <v>4084</v>
      </c>
    </row>
    <row r="2110" spans="1:1">
      <c r="A2110" s="151" t="s">
        <v>4085</v>
      </c>
    </row>
    <row r="2111" spans="1:1">
      <c r="A2111" s="151" t="s">
        <v>4086</v>
      </c>
    </row>
    <row r="2112" spans="1:1">
      <c r="A2112" s="151" t="s">
        <v>4087</v>
      </c>
    </row>
    <row r="2113" spans="1:1">
      <c r="A2113" s="151" t="s">
        <v>4088</v>
      </c>
    </row>
    <row r="2114" spans="1:1">
      <c r="A2114" s="151" t="s">
        <v>4089</v>
      </c>
    </row>
    <row r="2115" spans="1:1">
      <c r="A2115" s="151" t="s">
        <v>4090</v>
      </c>
    </row>
    <row r="2116" spans="1:1">
      <c r="A2116" s="151" t="s">
        <v>4091</v>
      </c>
    </row>
    <row r="2117" spans="1:1">
      <c r="A2117" s="151" t="s">
        <v>4092</v>
      </c>
    </row>
    <row r="2118" spans="1:1">
      <c r="A2118" s="151" t="s">
        <v>4093</v>
      </c>
    </row>
    <row r="2119" spans="1:1">
      <c r="A2119" s="151" t="s">
        <v>4094</v>
      </c>
    </row>
    <row r="2120" spans="1:1">
      <c r="A2120" s="151" t="s">
        <v>4095</v>
      </c>
    </row>
    <row r="2121" spans="1:1">
      <c r="A2121" s="151" t="s">
        <v>4096</v>
      </c>
    </row>
    <row r="2122" spans="1:1">
      <c r="A2122" s="151" t="s">
        <v>4097</v>
      </c>
    </row>
    <row r="2123" spans="1:1">
      <c r="A2123" s="151" t="s">
        <v>4098</v>
      </c>
    </row>
    <row r="2124" spans="1:1">
      <c r="A2124" s="151" t="s">
        <v>4099</v>
      </c>
    </row>
    <row r="2125" spans="1:1">
      <c r="A2125" s="151" t="s">
        <v>4100</v>
      </c>
    </row>
    <row r="2126" spans="1:1">
      <c r="A2126" s="151" t="s">
        <v>4101</v>
      </c>
    </row>
    <row r="2127" spans="1:1">
      <c r="A2127" s="151" t="s">
        <v>4102</v>
      </c>
    </row>
    <row r="2128" spans="1:1">
      <c r="A2128" s="151" t="s">
        <v>4103</v>
      </c>
    </row>
    <row r="2129" spans="1:1">
      <c r="A2129" s="151" t="s">
        <v>4104</v>
      </c>
    </row>
    <row r="2130" spans="1:1">
      <c r="A2130" s="151" t="s">
        <v>4105</v>
      </c>
    </row>
    <row r="2131" spans="1:1">
      <c r="A2131" s="151" t="s">
        <v>4106</v>
      </c>
    </row>
    <row r="2132" spans="1:1">
      <c r="A2132" s="151" t="s">
        <v>4107</v>
      </c>
    </row>
    <row r="2133" spans="1:1">
      <c r="A2133" s="151" t="s">
        <v>4108</v>
      </c>
    </row>
    <row r="2134" spans="1:1">
      <c r="A2134" s="151" t="s">
        <v>4109</v>
      </c>
    </row>
    <row r="2135" spans="1:1">
      <c r="A2135" s="151" t="s">
        <v>4110</v>
      </c>
    </row>
    <row r="2136" spans="1:1">
      <c r="A2136" s="151" t="s">
        <v>4111</v>
      </c>
    </row>
    <row r="2137" spans="1:1">
      <c r="A2137" s="151" t="s">
        <v>4112</v>
      </c>
    </row>
    <row r="2138" spans="1:1">
      <c r="A2138" s="151" t="s">
        <v>4113</v>
      </c>
    </row>
    <row r="2139" spans="1:1">
      <c r="A2139" s="151" t="s">
        <v>4114</v>
      </c>
    </row>
    <row r="2140" spans="1:1">
      <c r="A2140" s="151" t="s">
        <v>4115</v>
      </c>
    </row>
    <row r="2141" spans="1:1">
      <c r="A2141" s="151" t="s">
        <v>4116</v>
      </c>
    </row>
    <row r="2142" spans="1:1">
      <c r="A2142" s="151" t="s">
        <v>4117</v>
      </c>
    </row>
    <row r="2143" spans="1:1">
      <c r="A2143" s="151" t="s">
        <v>4118</v>
      </c>
    </row>
    <row r="2144" spans="1:1">
      <c r="A2144" s="151" t="s">
        <v>4119</v>
      </c>
    </row>
    <row r="2145" spans="1:1">
      <c r="A2145" s="151" t="s">
        <v>4120</v>
      </c>
    </row>
    <row r="2146" spans="1:1">
      <c r="A2146" s="151" t="s">
        <v>4121</v>
      </c>
    </row>
    <row r="2147" spans="1:1">
      <c r="A2147" s="151" t="s">
        <v>4122</v>
      </c>
    </row>
    <row r="2148" spans="1:1">
      <c r="A2148" s="151" t="s">
        <v>4123</v>
      </c>
    </row>
    <row r="2149" spans="1:1">
      <c r="A2149" s="151" t="s">
        <v>4124</v>
      </c>
    </row>
    <row r="2150" spans="1:1">
      <c r="A2150" s="151" t="s">
        <v>4125</v>
      </c>
    </row>
    <row r="2151" spans="1:1">
      <c r="A2151" s="151" t="s">
        <v>4126</v>
      </c>
    </row>
    <row r="2152" spans="1:1">
      <c r="A2152" s="151" t="s">
        <v>4127</v>
      </c>
    </row>
    <row r="2153" spans="1:1">
      <c r="A2153" s="151" t="s">
        <v>4128</v>
      </c>
    </row>
    <row r="2154" spans="1:1">
      <c r="A2154" s="151" t="s">
        <v>4129</v>
      </c>
    </row>
    <row r="2155" spans="1:1">
      <c r="A2155" s="151" t="s">
        <v>4130</v>
      </c>
    </row>
    <row r="2156" spans="1:1">
      <c r="A2156" s="151" t="s">
        <v>4131</v>
      </c>
    </row>
    <row r="2157" spans="1:1">
      <c r="A2157" s="151" t="s">
        <v>4132</v>
      </c>
    </row>
    <row r="2158" spans="1:1">
      <c r="A2158" s="151" t="s">
        <v>4133</v>
      </c>
    </row>
    <row r="2159" spans="1:1">
      <c r="A2159" s="151" t="s">
        <v>4134</v>
      </c>
    </row>
    <row r="2160" spans="1:1">
      <c r="A2160" s="151" t="s">
        <v>4135</v>
      </c>
    </row>
    <row r="2161" spans="1:1">
      <c r="A2161" s="151" t="s">
        <v>4136</v>
      </c>
    </row>
    <row r="2162" spans="1:1">
      <c r="A2162" s="151" t="s">
        <v>4137</v>
      </c>
    </row>
    <row r="2163" spans="1:1">
      <c r="A2163" s="151" t="s">
        <v>4138</v>
      </c>
    </row>
    <row r="2164" spans="1:1">
      <c r="A2164" s="151" t="s">
        <v>4139</v>
      </c>
    </row>
    <row r="2165" spans="1:1">
      <c r="A2165" s="151" t="s">
        <v>4140</v>
      </c>
    </row>
    <row r="2166" spans="1:1">
      <c r="A2166" s="151" t="s">
        <v>4141</v>
      </c>
    </row>
    <row r="2167" spans="1:1">
      <c r="A2167" s="151" t="s">
        <v>4142</v>
      </c>
    </row>
    <row r="2168" spans="1:1">
      <c r="A2168" s="151" t="s">
        <v>4143</v>
      </c>
    </row>
    <row r="2169" spans="1:1">
      <c r="A2169" s="151" t="s">
        <v>4144</v>
      </c>
    </row>
    <row r="2170" spans="1:1">
      <c r="A2170" s="151" t="s">
        <v>4145</v>
      </c>
    </row>
    <row r="2171" spans="1:1">
      <c r="A2171" s="151" t="s">
        <v>4146</v>
      </c>
    </row>
    <row r="2172" spans="1:1">
      <c r="A2172" s="151" t="s">
        <v>4147</v>
      </c>
    </row>
    <row r="2173" spans="1:1">
      <c r="A2173" s="151" t="s">
        <v>4148</v>
      </c>
    </row>
    <row r="2174" spans="1:1">
      <c r="A2174" s="151" t="s">
        <v>4149</v>
      </c>
    </row>
    <row r="2175" spans="1:1">
      <c r="A2175" s="151" t="s">
        <v>4150</v>
      </c>
    </row>
    <row r="2176" spans="1:1">
      <c r="A2176" s="151" t="s">
        <v>4151</v>
      </c>
    </row>
    <row r="2177" spans="1:1">
      <c r="A2177" s="151" t="s">
        <v>4152</v>
      </c>
    </row>
    <row r="2178" spans="1:1">
      <c r="A2178" s="151" t="s">
        <v>4153</v>
      </c>
    </row>
    <row r="2179" spans="1:1">
      <c r="A2179" s="151" t="s">
        <v>4154</v>
      </c>
    </row>
    <row r="2180" spans="1:1">
      <c r="A2180" s="151" t="s">
        <v>4155</v>
      </c>
    </row>
    <row r="2181" spans="1:1">
      <c r="A2181" s="151" t="s">
        <v>4156</v>
      </c>
    </row>
    <row r="2182" spans="1:1">
      <c r="A2182" s="151" t="s">
        <v>4157</v>
      </c>
    </row>
    <row r="2183" spans="1:1">
      <c r="A2183" s="151" t="s">
        <v>4158</v>
      </c>
    </row>
    <row r="2184" spans="1:1">
      <c r="A2184" s="151" t="s">
        <v>4159</v>
      </c>
    </row>
    <row r="2185" spans="1:1">
      <c r="A2185" s="151" t="s">
        <v>4160</v>
      </c>
    </row>
    <row r="2186" spans="1:1">
      <c r="A2186" s="151" t="s">
        <v>4161</v>
      </c>
    </row>
    <row r="2187" spans="1:1">
      <c r="A2187" s="151" t="s">
        <v>4162</v>
      </c>
    </row>
    <row r="2188" spans="1:1">
      <c r="A2188" s="151" t="s">
        <v>4163</v>
      </c>
    </row>
    <row r="2189" spans="1:1">
      <c r="A2189" s="151" t="s">
        <v>4164</v>
      </c>
    </row>
    <row r="2190" spans="1:1">
      <c r="A2190" s="151" t="s">
        <v>4165</v>
      </c>
    </row>
    <row r="2191" spans="1:1">
      <c r="A2191" s="151" t="s">
        <v>4166</v>
      </c>
    </row>
    <row r="2192" spans="1:1">
      <c r="A2192" s="151" t="s">
        <v>4167</v>
      </c>
    </row>
    <row r="2193" spans="1:1">
      <c r="A2193" s="151" t="s">
        <v>4168</v>
      </c>
    </row>
    <row r="2194" spans="1:1">
      <c r="A2194" s="151" t="s">
        <v>4169</v>
      </c>
    </row>
    <row r="2195" spans="1:1">
      <c r="A2195" s="151" t="s">
        <v>4170</v>
      </c>
    </row>
    <row r="2196" spans="1:1">
      <c r="A2196" s="151" t="s">
        <v>4171</v>
      </c>
    </row>
    <row r="2197" spans="1:1">
      <c r="A2197" s="151" t="s">
        <v>4172</v>
      </c>
    </row>
    <row r="2198" spans="1:1">
      <c r="A2198" s="151" t="s">
        <v>4173</v>
      </c>
    </row>
    <row r="2199" spans="1:1">
      <c r="A2199" s="151" t="s">
        <v>4174</v>
      </c>
    </row>
    <row r="2200" spans="1:1">
      <c r="A2200" s="151" t="s">
        <v>4175</v>
      </c>
    </row>
    <row r="2201" spans="1:1">
      <c r="A2201" s="151" t="s">
        <v>4176</v>
      </c>
    </row>
    <row r="2202" spans="1:1">
      <c r="A2202" s="151" t="s">
        <v>4177</v>
      </c>
    </row>
    <row r="2203" spans="1:1">
      <c r="A2203" s="151" t="s">
        <v>4178</v>
      </c>
    </row>
    <row r="2204" spans="1:1">
      <c r="A2204" s="151" t="s">
        <v>4179</v>
      </c>
    </row>
    <row r="2205" spans="1:1">
      <c r="A2205" s="151" t="s">
        <v>4180</v>
      </c>
    </row>
    <row r="2206" spans="1:1">
      <c r="A2206" s="151" t="s">
        <v>4181</v>
      </c>
    </row>
    <row r="2207" spans="1:1">
      <c r="A2207" s="151" t="s">
        <v>4182</v>
      </c>
    </row>
    <row r="2208" spans="1:1">
      <c r="A2208" s="151" t="s">
        <v>4183</v>
      </c>
    </row>
    <row r="2209" spans="1:1">
      <c r="A2209" s="151" t="s">
        <v>4184</v>
      </c>
    </row>
    <row r="2210" spans="1:1">
      <c r="A2210" s="151" t="s">
        <v>4185</v>
      </c>
    </row>
    <row r="2211" spans="1:1">
      <c r="A2211" s="151" t="s">
        <v>4186</v>
      </c>
    </row>
    <row r="2212" spans="1:1">
      <c r="A2212" s="151" t="s">
        <v>4187</v>
      </c>
    </row>
    <row r="2213" spans="1:1">
      <c r="A2213" s="151" t="s">
        <v>4188</v>
      </c>
    </row>
    <row r="2214" spans="1:1">
      <c r="A2214" s="151" t="s">
        <v>4189</v>
      </c>
    </row>
    <row r="2215" spans="1:1">
      <c r="A2215" s="151" t="s">
        <v>4190</v>
      </c>
    </row>
    <row r="2216" spans="1:1">
      <c r="A2216" s="151" t="s">
        <v>4191</v>
      </c>
    </row>
    <row r="2217" spans="1:1">
      <c r="A2217" s="151" t="s">
        <v>4192</v>
      </c>
    </row>
    <row r="2218" spans="1:1">
      <c r="A2218" s="151" t="s">
        <v>4193</v>
      </c>
    </row>
    <row r="2219" spans="1:1">
      <c r="A2219" s="151" t="s">
        <v>4194</v>
      </c>
    </row>
    <row r="2220" spans="1:1">
      <c r="A2220" s="151" t="s">
        <v>4195</v>
      </c>
    </row>
    <row r="2221" spans="1:1">
      <c r="A2221" s="151" t="s">
        <v>4196</v>
      </c>
    </row>
    <row r="2222" spans="1:1">
      <c r="A2222" s="151" t="s">
        <v>4197</v>
      </c>
    </row>
    <row r="2223" spans="1:1">
      <c r="A2223" s="151" t="s">
        <v>4198</v>
      </c>
    </row>
    <row r="2224" spans="1:1">
      <c r="A2224" s="151" t="s">
        <v>4199</v>
      </c>
    </row>
    <row r="2225" spans="1:1">
      <c r="A2225" s="151" t="s">
        <v>4200</v>
      </c>
    </row>
    <row r="2226" spans="1:1">
      <c r="A2226" s="151" t="s">
        <v>4201</v>
      </c>
    </row>
    <row r="2227" spans="1:1">
      <c r="A2227" s="151" t="s">
        <v>4202</v>
      </c>
    </row>
    <row r="2228" spans="1:1">
      <c r="A2228" s="151" t="s">
        <v>4203</v>
      </c>
    </row>
    <row r="2229" spans="1:1">
      <c r="A2229" s="151" t="s">
        <v>4204</v>
      </c>
    </row>
    <row r="2230" spans="1:1">
      <c r="A2230" s="151" t="s">
        <v>4205</v>
      </c>
    </row>
    <row r="2231" spans="1:1">
      <c r="A2231" s="151" t="s">
        <v>4206</v>
      </c>
    </row>
    <row r="2232" spans="1:1">
      <c r="A2232" s="151" t="s">
        <v>4207</v>
      </c>
    </row>
    <row r="2233" spans="1:1">
      <c r="A2233" s="151" t="s">
        <v>4208</v>
      </c>
    </row>
    <row r="2234" spans="1:1">
      <c r="A2234" s="151" t="s">
        <v>4209</v>
      </c>
    </row>
    <row r="2235" spans="1:1">
      <c r="A2235" s="151" t="s">
        <v>4210</v>
      </c>
    </row>
    <row r="2236" spans="1:1">
      <c r="A2236" s="151" t="s">
        <v>4211</v>
      </c>
    </row>
    <row r="2237" spans="1:1">
      <c r="A2237" s="151" t="s">
        <v>4212</v>
      </c>
    </row>
    <row r="2238" spans="1:1">
      <c r="A2238" s="151" t="s">
        <v>4213</v>
      </c>
    </row>
    <row r="2239" spans="1:1">
      <c r="A2239" s="151" t="s">
        <v>4214</v>
      </c>
    </row>
    <row r="2240" spans="1:1">
      <c r="A2240" s="151" t="s">
        <v>4215</v>
      </c>
    </row>
    <row r="2241" spans="1:1">
      <c r="A2241" s="151" t="s">
        <v>4216</v>
      </c>
    </row>
    <row r="2242" spans="1:1">
      <c r="A2242" s="151" t="s">
        <v>4217</v>
      </c>
    </row>
    <row r="2243" spans="1:1">
      <c r="A2243" s="151" t="s">
        <v>4218</v>
      </c>
    </row>
    <row r="2244" spans="1:1">
      <c r="A2244" s="151" t="s">
        <v>4219</v>
      </c>
    </row>
    <row r="2245" spans="1:1">
      <c r="A2245" s="151" t="s">
        <v>4220</v>
      </c>
    </row>
    <row r="2246" spans="1:1">
      <c r="A2246" s="151" t="s">
        <v>4221</v>
      </c>
    </row>
    <row r="2247" spans="1:1">
      <c r="A2247" s="151" t="s">
        <v>4222</v>
      </c>
    </row>
    <row r="2248" spans="1:1">
      <c r="A2248" s="151" t="s">
        <v>4223</v>
      </c>
    </row>
    <row r="2249" spans="1:1">
      <c r="A2249" s="151" t="s">
        <v>4224</v>
      </c>
    </row>
    <row r="2250" spans="1:1">
      <c r="A2250" s="151" t="s">
        <v>4225</v>
      </c>
    </row>
    <row r="2251" spans="1:1">
      <c r="A2251" s="151" t="s">
        <v>4226</v>
      </c>
    </row>
    <row r="2252" spans="1:1">
      <c r="A2252" s="151" t="s">
        <v>4227</v>
      </c>
    </row>
    <row r="2253" spans="1:1">
      <c r="A2253" s="151" t="s">
        <v>4228</v>
      </c>
    </row>
    <row r="2254" spans="1:1">
      <c r="A2254" s="151" t="s">
        <v>4229</v>
      </c>
    </row>
    <row r="2255" spans="1:1">
      <c r="A2255" s="151" t="s">
        <v>4230</v>
      </c>
    </row>
    <row r="2256" spans="1:1">
      <c r="A2256" s="151" t="s">
        <v>4231</v>
      </c>
    </row>
    <row r="2257" spans="1:1">
      <c r="A2257" s="151" t="s">
        <v>4232</v>
      </c>
    </row>
    <row r="2258" spans="1:1">
      <c r="A2258" s="151" t="s">
        <v>4233</v>
      </c>
    </row>
    <row r="2259" spans="1:1">
      <c r="A2259" s="151" t="s">
        <v>4234</v>
      </c>
    </row>
    <row r="2260" spans="1:1">
      <c r="A2260" s="151" t="s">
        <v>4235</v>
      </c>
    </row>
    <row r="2261" spans="1:1">
      <c r="A2261" s="151" t="s">
        <v>4236</v>
      </c>
    </row>
    <row r="2262" spans="1:1">
      <c r="A2262" s="151" t="s">
        <v>4237</v>
      </c>
    </row>
    <row r="2263" spans="1:1">
      <c r="A2263" s="151" t="s">
        <v>4238</v>
      </c>
    </row>
    <row r="2264" spans="1:1">
      <c r="A2264" s="151" t="s">
        <v>4239</v>
      </c>
    </row>
    <row r="2265" spans="1:1">
      <c r="A2265" s="151" t="s">
        <v>4240</v>
      </c>
    </row>
    <row r="2266" spans="1:1">
      <c r="A2266" s="151" t="s">
        <v>4241</v>
      </c>
    </row>
    <row r="2267" spans="1:1">
      <c r="A2267" s="151" t="s">
        <v>4242</v>
      </c>
    </row>
    <row r="2268" spans="1:1">
      <c r="A2268" s="151" t="s">
        <v>4243</v>
      </c>
    </row>
    <row r="2269" spans="1:1">
      <c r="A2269" s="151" t="s">
        <v>4244</v>
      </c>
    </row>
    <row r="2270" spans="1:1">
      <c r="A2270" s="151" t="s">
        <v>4245</v>
      </c>
    </row>
    <row r="2271" spans="1:1">
      <c r="A2271" s="151" t="s">
        <v>4246</v>
      </c>
    </row>
    <row r="2272" spans="1:1">
      <c r="A2272" s="151" t="s">
        <v>4247</v>
      </c>
    </row>
    <row r="2273" spans="1:1">
      <c r="A2273" s="151" t="s">
        <v>4248</v>
      </c>
    </row>
    <row r="2274" spans="1:1">
      <c r="A2274" s="151" t="s">
        <v>4249</v>
      </c>
    </row>
    <row r="2275" spans="1:1">
      <c r="A2275" s="151" t="s">
        <v>4250</v>
      </c>
    </row>
    <row r="2276" spans="1:1">
      <c r="A2276" s="151" t="s">
        <v>4251</v>
      </c>
    </row>
    <row r="2277" spans="1:1">
      <c r="A2277" s="151" t="s">
        <v>4252</v>
      </c>
    </row>
    <row r="2278" spans="1:1">
      <c r="A2278" s="151" t="s">
        <v>4253</v>
      </c>
    </row>
    <row r="2279" spans="1:1">
      <c r="A2279" s="151" t="s">
        <v>4254</v>
      </c>
    </row>
    <row r="2280" spans="1:1">
      <c r="A2280" s="151" t="s">
        <v>4255</v>
      </c>
    </row>
    <row r="2281" spans="1:1">
      <c r="A2281" s="151" t="s">
        <v>4256</v>
      </c>
    </row>
    <row r="2282" spans="1:1">
      <c r="A2282" s="151" t="s">
        <v>4257</v>
      </c>
    </row>
    <row r="2283" spans="1:1">
      <c r="A2283" s="151" t="s">
        <v>4258</v>
      </c>
    </row>
    <row r="2284" spans="1:1">
      <c r="A2284" s="151" t="s">
        <v>4259</v>
      </c>
    </row>
    <row r="2285" spans="1:1">
      <c r="A2285" s="151" t="s">
        <v>4260</v>
      </c>
    </row>
    <row r="2286" spans="1:1">
      <c r="A2286" s="151" t="s">
        <v>4261</v>
      </c>
    </row>
    <row r="2287" spans="1:1">
      <c r="A2287" s="151" t="s">
        <v>4262</v>
      </c>
    </row>
    <row r="2288" spans="1:1">
      <c r="A2288" s="151" t="s">
        <v>4263</v>
      </c>
    </row>
    <row r="2289" spans="1:1">
      <c r="A2289" s="151" t="s">
        <v>4264</v>
      </c>
    </row>
    <row r="2290" spans="1:1">
      <c r="A2290" s="151" t="s">
        <v>4265</v>
      </c>
    </row>
    <row r="2291" spans="1:1">
      <c r="A2291" s="151" t="s">
        <v>4266</v>
      </c>
    </row>
    <row r="2292" spans="1:1">
      <c r="A2292" s="151" t="s">
        <v>4267</v>
      </c>
    </row>
    <row r="2293" spans="1:1">
      <c r="A2293" s="151" t="s">
        <v>4268</v>
      </c>
    </row>
    <row r="2294" spans="1:1">
      <c r="A2294" s="151" t="s">
        <v>4269</v>
      </c>
    </row>
    <row r="2295" spans="1:1">
      <c r="A2295" s="151" t="s">
        <v>4270</v>
      </c>
    </row>
    <row r="2296" spans="1:1">
      <c r="A2296" s="151" t="s">
        <v>4271</v>
      </c>
    </row>
    <row r="2297" spans="1:1">
      <c r="A2297" s="151" t="s">
        <v>4272</v>
      </c>
    </row>
    <row r="2298" spans="1:1">
      <c r="A2298" s="151" t="s">
        <v>4273</v>
      </c>
    </row>
    <row r="2299" spans="1:1">
      <c r="A2299" s="151" t="s">
        <v>4274</v>
      </c>
    </row>
    <row r="2300" spans="1:1">
      <c r="A2300" s="151" t="s">
        <v>4275</v>
      </c>
    </row>
    <row r="2301" spans="1:1">
      <c r="A2301" s="151" t="s">
        <v>4276</v>
      </c>
    </row>
    <row r="2302" spans="1:1">
      <c r="A2302" s="151" t="s">
        <v>4277</v>
      </c>
    </row>
    <row r="2303" spans="1:1">
      <c r="A2303" s="151" t="s">
        <v>4278</v>
      </c>
    </row>
    <row r="2304" spans="1:1">
      <c r="A2304" s="151" t="s">
        <v>4279</v>
      </c>
    </row>
    <row r="2305" spans="1:1">
      <c r="A2305" s="151" t="s">
        <v>4280</v>
      </c>
    </row>
    <row r="2306" spans="1:1">
      <c r="A2306" s="151" t="s">
        <v>4281</v>
      </c>
    </row>
    <row r="2307" spans="1:1">
      <c r="A2307" s="151" t="s">
        <v>4282</v>
      </c>
    </row>
    <row r="2308" spans="1:1">
      <c r="A2308" s="151" t="s">
        <v>4283</v>
      </c>
    </row>
    <row r="2309" spans="1:1">
      <c r="A2309" s="151" t="s">
        <v>4284</v>
      </c>
    </row>
    <row r="2310" spans="1:1">
      <c r="A2310" s="151" t="s">
        <v>4285</v>
      </c>
    </row>
    <row r="2311" spans="1:1">
      <c r="A2311" s="151" t="s">
        <v>4286</v>
      </c>
    </row>
    <row r="2312" spans="1:1">
      <c r="A2312" s="151" t="s">
        <v>4287</v>
      </c>
    </row>
    <row r="2313" spans="1:1">
      <c r="A2313" s="151" t="s">
        <v>4288</v>
      </c>
    </row>
    <row r="2314" spans="1:1">
      <c r="A2314" s="151" t="s">
        <v>4289</v>
      </c>
    </row>
    <row r="2315" spans="1:1">
      <c r="A2315" s="151" t="s">
        <v>4290</v>
      </c>
    </row>
    <row r="2316" spans="1:1">
      <c r="A2316" s="151" t="s">
        <v>4291</v>
      </c>
    </row>
    <row r="2317" spans="1:1">
      <c r="A2317" s="151" t="s">
        <v>4292</v>
      </c>
    </row>
    <row r="2318" spans="1:1">
      <c r="A2318" s="151" t="s">
        <v>4293</v>
      </c>
    </row>
    <row r="2319" spans="1:1">
      <c r="A2319" s="151" t="s">
        <v>4294</v>
      </c>
    </row>
    <row r="2320" spans="1:1">
      <c r="A2320" s="151" t="s">
        <v>4295</v>
      </c>
    </row>
    <row r="2321" spans="1:1">
      <c r="A2321" s="151" t="s">
        <v>4296</v>
      </c>
    </row>
    <row r="2322" spans="1:1">
      <c r="A2322" s="151" t="s">
        <v>4297</v>
      </c>
    </row>
    <row r="2323" spans="1:1">
      <c r="A2323" s="151" t="s">
        <v>4298</v>
      </c>
    </row>
    <row r="2324" spans="1:1">
      <c r="A2324" s="151" t="s">
        <v>4299</v>
      </c>
    </row>
    <row r="2325" spans="1:1">
      <c r="A2325" s="151" t="s">
        <v>4300</v>
      </c>
    </row>
    <row r="2326" spans="1:1">
      <c r="A2326" s="151" t="s">
        <v>4301</v>
      </c>
    </row>
    <row r="2327" spans="1:1">
      <c r="A2327" s="151" t="s">
        <v>4302</v>
      </c>
    </row>
    <row r="2328" spans="1:1">
      <c r="A2328" s="151" t="s">
        <v>4303</v>
      </c>
    </row>
    <row r="2329" spans="1:1">
      <c r="A2329" s="151" t="s">
        <v>4304</v>
      </c>
    </row>
    <row r="2330" spans="1:1">
      <c r="A2330" s="151" t="s">
        <v>4305</v>
      </c>
    </row>
    <row r="2331" spans="1:1">
      <c r="A2331" s="151" t="s">
        <v>4306</v>
      </c>
    </row>
    <row r="2332" spans="1:1">
      <c r="A2332" s="151" t="s">
        <v>4307</v>
      </c>
    </row>
    <row r="2333" spans="1:1">
      <c r="A2333" s="151" t="s">
        <v>4308</v>
      </c>
    </row>
    <row r="2334" spans="1:1">
      <c r="A2334" s="151" t="s">
        <v>4309</v>
      </c>
    </row>
    <row r="2335" spans="1:1">
      <c r="A2335" s="151" t="s">
        <v>4310</v>
      </c>
    </row>
    <row r="2336" spans="1:1">
      <c r="A2336" s="151" t="s">
        <v>4311</v>
      </c>
    </row>
    <row r="2337" spans="1:1">
      <c r="A2337" s="151" t="s">
        <v>4312</v>
      </c>
    </row>
    <row r="2338" spans="1:1">
      <c r="A2338" s="151" t="s">
        <v>4313</v>
      </c>
    </row>
    <row r="2339" spans="1:1">
      <c r="A2339" s="151" t="s">
        <v>4314</v>
      </c>
    </row>
    <row r="2340" spans="1:1">
      <c r="A2340" s="151" t="s">
        <v>4315</v>
      </c>
    </row>
    <row r="2341" spans="1:1">
      <c r="A2341" s="151" t="s">
        <v>4316</v>
      </c>
    </row>
    <row r="2342" spans="1:1">
      <c r="A2342" s="151" t="s">
        <v>4317</v>
      </c>
    </row>
    <row r="2343" spans="1:1">
      <c r="A2343" s="151" t="s">
        <v>4318</v>
      </c>
    </row>
    <row r="2344" spans="1:1">
      <c r="A2344" s="151" t="s">
        <v>4319</v>
      </c>
    </row>
    <row r="2345" spans="1:1">
      <c r="A2345" s="151" t="s">
        <v>4320</v>
      </c>
    </row>
    <row r="2346" spans="1:1">
      <c r="A2346" s="151" t="s">
        <v>4321</v>
      </c>
    </row>
    <row r="2347" spans="1:1">
      <c r="A2347" s="151" t="s">
        <v>4322</v>
      </c>
    </row>
    <row r="2348" spans="1:1">
      <c r="A2348" s="151" t="s">
        <v>4323</v>
      </c>
    </row>
    <row r="2349" spans="1:1">
      <c r="A2349" s="151" t="s">
        <v>4324</v>
      </c>
    </row>
    <row r="2350" spans="1:1">
      <c r="A2350" s="151" t="s">
        <v>4325</v>
      </c>
    </row>
    <row r="2351" spans="1:1">
      <c r="A2351" s="151" t="s">
        <v>4326</v>
      </c>
    </row>
    <row r="2352" spans="1:1">
      <c r="A2352" s="151" t="s">
        <v>4327</v>
      </c>
    </row>
    <row r="2353" spans="1:1">
      <c r="A2353" s="151" t="s">
        <v>4328</v>
      </c>
    </row>
    <row r="2354" spans="1:1">
      <c r="A2354" s="151" t="s">
        <v>4329</v>
      </c>
    </row>
    <row r="2355" spans="1:1">
      <c r="A2355" s="151" t="s">
        <v>4330</v>
      </c>
    </row>
    <row r="2356" spans="1:1">
      <c r="A2356" s="151" t="s">
        <v>4331</v>
      </c>
    </row>
    <row r="2357" spans="1:1">
      <c r="A2357" s="151" t="s">
        <v>4332</v>
      </c>
    </row>
    <row r="2358" spans="1:1">
      <c r="A2358" s="151" t="s">
        <v>4333</v>
      </c>
    </row>
    <row r="2359" spans="1:1">
      <c r="A2359" s="151" t="s">
        <v>4334</v>
      </c>
    </row>
    <row r="2360" spans="1:1">
      <c r="A2360" s="151" t="s">
        <v>4335</v>
      </c>
    </row>
    <row r="2361" spans="1:1">
      <c r="A2361" s="151" t="s">
        <v>4336</v>
      </c>
    </row>
    <row r="2362" spans="1:1">
      <c r="A2362" s="151" t="s">
        <v>4337</v>
      </c>
    </row>
    <row r="2363" spans="1:1">
      <c r="A2363" s="151" t="s">
        <v>4338</v>
      </c>
    </row>
    <row r="2364" spans="1:1">
      <c r="A2364" s="151" t="s">
        <v>4339</v>
      </c>
    </row>
    <row r="2365" spans="1:1">
      <c r="A2365" s="151" t="s">
        <v>4340</v>
      </c>
    </row>
    <row r="2366" spans="1:1">
      <c r="A2366" s="151" t="s">
        <v>4341</v>
      </c>
    </row>
    <row r="2367" spans="1:1">
      <c r="A2367" s="151" t="s">
        <v>4342</v>
      </c>
    </row>
    <row r="2368" spans="1:1">
      <c r="A2368" s="151" t="s">
        <v>4343</v>
      </c>
    </row>
    <row r="2369" spans="1:1">
      <c r="A2369" s="151" t="s">
        <v>4344</v>
      </c>
    </row>
    <row r="2370" spans="1:1">
      <c r="A2370" s="151" t="s">
        <v>4345</v>
      </c>
    </row>
    <row r="2371" spans="1:1">
      <c r="A2371" s="151" t="s">
        <v>4346</v>
      </c>
    </row>
    <row r="2372" spans="1:1">
      <c r="A2372" s="151" t="s">
        <v>4347</v>
      </c>
    </row>
    <row r="2373" spans="1:1">
      <c r="A2373" s="151" t="s">
        <v>4348</v>
      </c>
    </row>
    <row r="2374" spans="1:1">
      <c r="A2374" s="151" t="s">
        <v>4349</v>
      </c>
    </row>
    <row r="2375" spans="1:1">
      <c r="A2375" s="151" t="s">
        <v>4350</v>
      </c>
    </row>
    <row r="2376" spans="1:1">
      <c r="A2376" s="151" t="s">
        <v>4351</v>
      </c>
    </row>
    <row r="2377" spans="1:1">
      <c r="A2377" s="151" t="s">
        <v>4352</v>
      </c>
    </row>
    <row r="2378" spans="1:1">
      <c r="A2378" s="151" t="s">
        <v>4353</v>
      </c>
    </row>
    <row r="2379" spans="1:1">
      <c r="A2379" s="151" t="s">
        <v>4354</v>
      </c>
    </row>
    <row r="2380" spans="1:1">
      <c r="A2380" s="151" t="s">
        <v>4355</v>
      </c>
    </row>
    <row r="2381" spans="1:1">
      <c r="A2381" s="151" t="s">
        <v>4356</v>
      </c>
    </row>
    <row r="2382" spans="1:1">
      <c r="A2382" s="151" t="s">
        <v>4357</v>
      </c>
    </row>
    <row r="2383" spans="1:1">
      <c r="A2383" s="151" t="s">
        <v>4358</v>
      </c>
    </row>
    <row r="2384" spans="1:1">
      <c r="A2384" s="151" t="s">
        <v>4359</v>
      </c>
    </row>
    <row r="2385" spans="1:1">
      <c r="A2385" s="151" t="s">
        <v>4360</v>
      </c>
    </row>
    <row r="2386" spans="1:1">
      <c r="A2386" s="151" t="s">
        <v>4361</v>
      </c>
    </row>
    <row r="2387" spans="1:1">
      <c r="A2387" s="151" t="s">
        <v>4362</v>
      </c>
    </row>
    <row r="2388" spans="1:1">
      <c r="A2388" s="151" t="s">
        <v>4363</v>
      </c>
    </row>
    <row r="2389" spans="1:1">
      <c r="A2389" s="151" t="s">
        <v>4364</v>
      </c>
    </row>
    <row r="2390" spans="1:1">
      <c r="A2390" s="151" t="s">
        <v>4365</v>
      </c>
    </row>
    <row r="2391" spans="1:1">
      <c r="A2391" s="151" t="s">
        <v>4366</v>
      </c>
    </row>
    <row r="2392" spans="1:1">
      <c r="A2392" s="151" t="s">
        <v>4367</v>
      </c>
    </row>
    <row r="2393" spans="1:1">
      <c r="A2393" s="151" t="s">
        <v>4368</v>
      </c>
    </row>
    <row r="2394" spans="1:1">
      <c r="A2394" s="151" t="s">
        <v>4369</v>
      </c>
    </row>
    <row r="2395" spans="1:1">
      <c r="A2395" s="151" t="s">
        <v>4370</v>
      </c>
    </row>
    <row r="2396" spans="1:1">
      <c r="A2396" s="151" t="s">
        <v>4371</v>
      </c>
    </row>
    <row r="2397" spans="1:1">
      <c r="A2397" s="151" t="s">
        <v>4372</v>
      </c>
    </row>
    <row r="2398" spans="1:1">
      <c r="A2398" s="151" t="s">
        <v>4373</v>
      </c>
    </row>
    <row r="2399" spans="1:1">
      <c r="A2399" s="151" t="s">
        <v>4374</v>
      </c>
    </row>
    <row r="2400" spans="1:1">
      <c r="A2400" s="151" t="s">
        <v>4375</v>
      </c>
    </row>
    <row r="2401" spans="1:1">
      <c r="A2401" s="151" t="s">
        <v>4376</v>
      </c>
    </row>
    <row r="2402" spans="1:1">
      <c r="A2402" s="151" t="s">
        <v>4377</v>
      </c>
    </row>
    <row r="2403" spans="1:1">
      <c r="A2403" s="151" t="s">
        <v>4378</v>
      </c>
    </row>
    <row r="2404" spans="1:1">
      <c r="A2404" s="151" t="s">
        <v>4379</v>
      </c>
    </row>
    <row r="2405" spans="1:1">
      <c r="A2405" s="151" t="s">
        <v>4380</v>
      </c>
    </row>
    <row r="2406" spans="1:1">
      <c r="A2406" s="151" t="s">
        <v>4381</v>
      </c>
    </row>
    <row r="2407" spans="1:1">
      <c r="A2407" s="151" t="s">
        <v>4382</v>
      </c>
    </row>
    <row r="2408" spans="1:1">
      <c r="A2408" s="151" t="s">
        <v>4383</v>
      </c>
    </row>
    <row r="2409" spans="1:1">
      <c r="A2409" s="151" t="s">
        <v>4384</v>
      </c>
    </row>
    <row r="2410" spans="1:1">
      <c r="A2410" s="151" t="s">
        <v>4385</v>
      </c>
    </row>
    <row r="2411" spans="1:1">
      <c r="A2411" s="151" t="s">
        <v>4386</v>
      </c>
    </row>
    <row r="2412" spans="1:1">
      <c r="A2412" s="151" t="s">
        <v>4387</v>
      </c>
    </row>
    <row r="2413" spans="1:1">
      <c r="A2413" s="151" t="s">
        <v>4388</v>
      </c>
    </row>
    <row r="2414" spans="1:1">
      <c r="A2414" s="151" t="s">
        <v>4389</v>
      </c>
    </row>
    <row r="2415" spans="1:1">
      <c r="A2415" s="151" t="s">
        <v>4390</v>
      </c>
    </row>
    <row r="2416" spans="1:1">
      <c r="A2416" s="151" t="s">
        <v>4391</v>
      </c>
    </row>
    <row r="2417" spans="1:1">
      <c r="A2417" s="151" t="s">
        <v>4392</v>
      </c>
    </row>
    <row r="2418" spans="1:1">
      <c r="A2418" s="151" t="s">
        <v>4393</v>
      </c>
    </row>
    <row r="2419" spans="1:1">
      <c r="A2419" s="151" t="s">
        <v>4394</v>
      </c>
    </row>
    <row r="2420" spans="1:1">
      <c r="A2420" s="151" t="s">
        <v>4395</v>
      </c>
    </row>
    <row r="2421" spans="1:1">
      <c r="A2421" s="151" t="s">
        <v>4396</v>
      </c>
    </row>
    <row r="2422" spans="1:1">
      <c r="A2422" s="151" t="s">
        <v>4397</v>
      </c>
    </row>
    <row r="2423" spans="1:1">
      <c r="A2423" s="151" t="s">
        <v>4398</v>
      </c>
    </row>
    <row r="2424" spans="1:1">
      <c r="A2424" s="151" t="s">
        <v>4399</v>
      </c>
    </row>
    <row r="2425" spans="1:1">
      <c r="A2425" s="151" t="s">
        <v>4400</v>
      </c>
    </row>
    <row r="2426" spans="1:1">
      <c r="A2426" s="151" t="s">
        <v>4401</v>
      </c>
    </row>
    <row r="2427" spans="1:1">
      <c r="A2427" s="151" t="s">
        <v>4402</v>
      </c>
    </row>
    <row r="2428" spans="1:1">
      <c r="A2428" s="151" t="s">
        <v>4403</v>
      </c>
    </row>
    <row r="2429" spans="1:1">
      <c r="A2429" s="151" t="s">
        <v>4404</v>
      </c>
    </row>
    <row r="2430" spans="1:1">
      <c r="A2430" s="151" t="s">
        <v>4405</v>
      </c>
    </row>
    <row r="2431" spans="1:1">
      <c r="A2431" s="151" t="s">
        <v>4406</v>
      </c>
    </row>
    <row r="2432" spans="1:1">
      <c r="A2432" s="151" t="s">
        <v>4407</v>
      </c>
    </row>
    <row r="2433" spans="1:1">
      <c r="A2433" s="151" t="s">
        <v>4408</v>
      </c>
    </row>
    <row r="2434" spans="1:1">
      <c r="A2434" s="151" t="s">
        <v>4409</v>
      </c>
    </row>
    <row r="2435" spans="1:1">
      <c r="A2435" s="151" t="s">
        <v>4410</v>
      </c>
    </row>
    <row r="2436" spans="1:1">
      <c r="A2436" s="151" t="s">
        <v>4411</v>
      </c>
    </row>
    <row r="2437" spans="1:1">
      <c r="A2437" s="151" t="s">
        <v>4412</v>
      </c>
    </row>
    <row r="2438" spans="1:1">
      <c r="A2438" s="151" t="s">
        <v>4413</v>
      </c>
    </row>
    <row r="2439" spans="1:1">
      <c r="A2439" s="151" t="s">
        <v>4414</v>
      </c>
    </row>
    <row r="2440" spans="1:1">
      <c r="A2440" s="151" t="s">
        <v>4415</v>
      </c>
    </row>
    <row r="2441" spans="1:1">
      <c r="A2441" s="151" t="s">
        <v>4416</v>
      </c>
    </row>
    <row r="2442" spans="1:1">
      <c r="A2442" s="151" t="s">
        <v>4417</v>
      </c>
    </row>
    <row r="2443" spans="1:1">
      <c r="A2443" s="151" t="s">
        <v>4418</v>
      </c>
    </row>
    <row r="2444" spans="1:1">
      <c r="A2444" s="151" t="s">
        <v>4419</v>
      </c>
    </row>
    <row r="2445" spans="1:1">
      <c r="A2445" s="151" t="s">
        <v>4420</v>
      </c>
    </row>
    <row r="2446" spans="1:1">
      <c r="A2446" s="151" t="s">
        <v>4421</v>
      </c>
    </row>
    <row r="2447" spans="1:1">
      <c r="A2447" s="151" t="s">
        <v>4422</v>
      </c>
    </row>
    <row r="2448" spans="1:1">
      <c r="A2448" s="151" t="s">
        <v>4423</v>
      </c>
    </row>
    <row r="2449" spans="1:1">
      <c r="A2449" s="151" t="s">
        <v>4424</v>
      </c>
    </row>
    <row r="2450" spans="1:1">
      <c r="A2450" s="151" t="s">
        <v>4425</v>
      </c>
    </row>
    <row r="2451" spans="1:1">
      <c r="A2451" s="151" t="s">
        <v>4426</v>
      </c>
    </row>
    <row r="2452" spans="1:1">
      <c r="A2452" s="151" t="s">
        <v>4427</v>
      </c>
    </row>
    <row r="2453" spans="1:1">
      <c r="A2453" s="151" t="s">
        <v>4428</v>
      </c>
    </row>
    <row r="2454" spans="1:1">
      <c r="A2454" s="151" t="s">
        <v>4429</v>
      </c>
    </row>
    <row r="2455" spans="1:1">
      <c r="A2455" s="151" t="s">
        <v>4430</v>
      </c>
    </row>
    <row r="2456" spans="1:1">
      <c r="A2456" s="151" t="s">
        <v>4431</v>
      </c>
    </row>
    <row r="2457" spans="1:1">
      <c r="A2457" s="151" t="s">
        <v>4432</v>
      </c>
    </row>
    <row r="2458" spans="1:1">
      <c r="A2458" s="151" t="s">
        <v>4433</v>
      </c>
    </row>
    <row r="2459" spans="1:1">
      <c r="A2459" s="151" t="s">
        <v>4434</v>
      </c>
    </row>
    <row r="2460" spans="1:1">
      <c r="A2460" s="151" t="s">
        <v>4435</v>
      </c>
    </row>
    <row r="2461" spans="1:1">
      <c r="A2461" s="151" t="s">
        <v>4436</v>
      </c>
    </row>
    <row r="2462" spans="1:1">
      <c r="A2462" s="151" t="s">
        <v>4437</v>
      </c>
    </row>
    <row r="2463" spans="1:1">
      <c r="A2463" s="151" t="s">
        <v>4438</v>
      </c>
    </row>
    <row r="2464" spans="1:1">
      <c r="A2464" s="151" t="s">
        <v>4439</v>
      </c>
    </row>
    <row r="2465" spans="1:1">
      <c r="A2465" s="151" t="s">
        <v>4440</v>
      </c>
    </row>
    <row r="2466" spans="1:1">
      <c r="A2466" s="151" t="s">
        <v>4441</v>
      </c>
    </row>
    <row r="2467" spans="1:1">
      <c r="A2467" s="151" t="s">
        <v>4442</v>
      </c>
    </row>
    <row r="2468" spans="1:1">
      <c r="A2468" s="151" t="s">
        <v>4443</v>
      </c>
    </row>
    <row r="2469" spans="1:1">
      <c r="A2469" s="151" t="s">
        <v>4444</v>
      </c>
    </row>
    <row r="2470" spans="1:1">
      <c r="A2470" s="151" t="s">
        <v>4445</v>
      </c>
    </row>
    <row r="2471" spans="1:1">
      <c r="A2471" s="151" t="s">
        <v>4446</v>
      </c>
    </row>
    <row r="2472" spans="1:1">
      <c r="A2472" s="151" t="s">
        <v>4447</v>
      </c>
    </row>
    <row r="2473" spans="1:1">
      <c r="A2473" s="151" t="s">
        <v>4448</v>
      </c>
    </row>
    <row r="2474" spans="1:1">
      <c r="A2474" s="151" t="s">
        <v>4449</v>
      </c>
    </row>
    <row r="2475" spans="1:1">
      <c r="A2475" s="151" t="s">
        <v>4450</v>
      </c>
    </row>
    <row r="2476" spans="1:1">
      <c r="A2476" s="151" t="s">
        <v>4451</v>
      </c>
    </row>
    <row r="2477" spans="1:1">
      <c r="A2477" s="151" t="s">
        <v>4452</v>
      </c>
    </row>
    <row r="2478" spans="1:1">
      <c r="A2478" s="151" t="s">
        <v>4453</v>
      </c>
    </row>
    <row r="2479" spans="1:1">
      <c r="A2479" s="151" t="s">
        <v>4454</v>
      </c>
    </row>
    <row r="2480" spans="1:1">
      <c r="A2480" s="151" t="s">
        <v>4455</v>
      </c>
    </row>
    <row r="2481" spans="1:1">
      <c r="A2481" s="151" t="s">
        <v>4456</v>
      </c>
    </row>
    <row r="2482" spans="1:1">
      <c r="A2482" s="151" t="s">
        <v>4457</v>
      </c>
    </row>
    <row r="2483" spans="1:1">
      <c r="A2483" s="151" t="s">
        <v>4458</v>
      </c>
    </row>
    <row r="2484" spans="1:1">
      <c r="A2484" s="151" t="s">
        <v>4459</v>
      </c>
    </row>
    <row r="2485" spans="1:1">
      <c r="A2485" s="151" t="s">
        <v>4460</v>
      </c>
    </row>
    <row r="2486" spans="1:1">
      <c r="A2486" s="151" t="s">
        <v>4461</v>
      </c>
    </row>
    <row r="2487" spans="1:1">
      <c r="A2487" s="151" t="s">
        <v>4462</v>
      </c>
    </row>
    <row r="2488" spans="1:1">
      <c r="A2488" s="151" t="s">
        <v>4463</v>
      </c>
    </row>
    <row r="2489" spans="1:1">
      <c r="A2489" s="151" t="s">
        <v>4464</v>
      </c>
    </row>
    <row r="2490" spans="1:1">
      <c r="A2490" s="151" t="s">
        <v>4465</v>
      </c>
    </row>
    <row r="2491" spans="1:1">
      <c r="A2491" s="151" t="s">
        <v>4466</v>
      </c>
    </row>
    <row r="2492" spans="1:1">
      <c r="A2492" s="151" t="s">
        <v>4467</v>
      </c>
    </row>
    <row r="2493" spans="1:1">
      <c r="A2493" s="151" t="s">
        <v>4468</v>
      </c>
    </row>
    <row r="2494" spans="1:1">
      <c r="A2494" s="151" t="s">
        <v>4469</v>
      </c>
    </row>
    <row r="2495" spans="1:1">
      <c r="A2495" s="151" t="s">
        <v>4470</v>
      </c>
    </row>
    <row r="2496" spans="1:1">
      <c r="A2496" s="151" t="s">
        <v>4471</v>
      </c>
    </row>
    <row r="2497" spans="1:1">
      <c r="A2497" s="151" t="s">
        <v>4472</v>
      </c>
    </row>
    <row r="2498" spans="1:1">
      <c r="A2498" s="151" t="s">
        <v>4473</v>
      </c>
    </row>
    <row r="2499" spans="1:1">
      <c r="A2499" s="151" t="s">
        <v>4474</v>
      </c>
    </row>
    <row r="2500" spans="1:1">
      <c r="A2500" s="151" t="s">
        <v>4475</v>
      </c>
    </row>
    <row r="2501" spans="1:1">
      <c r="A2501" s="151" t="s">
        <v>4476</v>
      </c>
    </row>
    <row r="2502" spans="1:1">
      <c r="A2502" s="151" t="s">
        <v>4477</v>
      </c>
    </row>
    <row r="2503" spans="1:1">
      <c r="A2503" s="151" t="s">
        <v>4478</v>
      </c>
    </row>
    <row r="2504" spans="1:1">
      <c r="A2504" s="151" t="s">
        <v>4479</v>
      </c>
    </row>
    <row r="2505" spans="1:1">
      <c r="A2505" s="151" t="s">
        <v>4480</v>
      </c>
    </row>
    <row r="2506" spans="1:1">
      <c r="A2506" s="151" t="s">
        <v>4481</v>
      </c>
    </row>
    <row r="2507" spans="1:1">
      <c r="A2507" s="151" t="s">
        <v>4482</v>
      </c>
    </row>
    <row r="2508" spans="1:1">
      <c r="A2508" s="151" t="s">
        <v>4483</v>
      </c>
    </row>
    <row r="2509" spans="1:1">
      <c r="A2509" s="151" t="s">
        <v>4484</v>
      </c>
    </row>
    <row r="2510" spans="1:1">
      <c r="A2510" s="151" t="s">
        <v>4485</v>
      </c>
    </row>
    <row r="2511" spans="1:1">
      <c r="A2511" s="151" t="s">
        <v>4486</v>
      </c>
    </row>
    <row r="2512" spans="1:1">
      <c r="A2512" s="151" t="s">
        <v>4487</v>
      </c>
    </row>
    <row r="2513" spans="1:1">
      <c r="A2513" s="151" t="s">
        <v>4488</v>
      </c>
    </row>
    <row r="2514" spans="1:1">
      <c r="A2514" s="151" t="s">
        <v>4489</v>
      </c>
    </row>
    <row r="2515" spans="1:1">
      <c r="A2515" s="151" t="s">
        <v>4490</v>
      </c>
    </row>
    <row r="2516" spans="1:1">
      <c r="A2516" s="151" t="s">
        <v>4491</v>
      </c>
    </row>
    <row r="2517" spans="1:1">
      <c r="A2517" s="151" t="s">
        <v>4492</v>
      </c>
    </row>
    <row r="2518" spans="1:1">
      <c r="A2518" s="151" t="s">
        <v>4493</v>
      </c>
    </row>
    <row r="2519" spans="1:1">
      <c r="A2519" s="151" t="s">
        <v>4494</v>
      </c>
    </row>
    <row r="2520" spans="1:1">
      <c r="A2520" s="151" t="s">
        <v>4495</v>
      </c>
    </row>
    <row r="2521" spans="1:1">
      <c r="A2521" s="151" t="s">
        <v>4496</v>
      </c>
    </row>
    <row r="2522" spans="1:1">
      <c r="A2522" s="151" t="s">
        <v>4497</v>
      </c>
    </row>
    <row r="2523" spans="1:1">
      <c r="A2523" s="151" t="s">
        <v>4498</v>
      </c>
    </row>
    <row r="2524" spans="1:1">
      <c r="A2524" s="151" t="s">
        <v>4499</v>
      </c>
    </row>
    <row r="2525" spans="1:1">
      <c r="A2525" s="151" t="s">
        <v>4500</v>
      </c>
    </row>
    <row r="2526" spans="1:1">
      <c r="A2526" s="151" t="s">
        <v>4501</v>
      </c>
    </row>
    <row r="2527" spans="1:1">
      <c r="A2527" s="151" t="s">
        <v>4502</v>
      </c>
    </row>
    <row r="2528" spans="1:1">
      <c r="A2528" s="151" t="s">
        <v>4503</v>
      </c>
    </row>
    <row r="2529" spans="1:1">
      <c r="A2529" s="151" t="s">
        <v>4504</v>
      </c>
    </row>
    <row r="2530" spans="1:1">
      <c r="A2530" s="151" t="s">
        <v>4505</v>
      </c>
    </row>
    <row r="2531" spans="1:1">
      <c r="A2531" s="151" t="s">
        <v>4506</v>
      </c>
    </row>
    <row r="2532" spans="1:1">
      <c r="A2532" s="151" t="s">
        <v>4507</v>
      </c>
    </row>
    <row r="2533" spans="1:1">
      <c r="A2533" s="151" t="s">
        <v>4508</v>
      </c>
    </row>
    <row r="2534" spans="1:1">
      <c r="A2534" s="151" t="s">
        <v>4509</v>
      </c>
    </row>
    <row r="2535" spans="1:1">
      <c r="A2535" s="151" t="s">
        <v>4510</v>
      </c>
    </row>
    <row r="2536" spans="1:1">
      <c r="A2536" s="151" t="s">
        <v>4511</v>
      </c>
    </row>
    <row r="2537" spans="1:1">
      <c r="A2537" s="151" t="s">
        <v>4512</v>
      </c>
    </row>
    <row r="2538" spans="1:1">
      <c r="A2538" s="151" t="s">
        <v>4513</v>
      </c>
    </row>
    <row r="2539" spans="1:1">
      <c r="A2539" s="151" t="s">
        <v>4514</v>
      </c>
    </row>
    <row r="2540" spans="1:1">
      <c r="A2540" s="151" t="s">
        <v>4515</v>
      </c>
    </row>
    <row r="2541" spans="1:1">
      <c r="A2541" s="151" t="s">
        <v>4516</v>
      </c>
    </row>
    <row r="2542" spans="1:1">
      <c r="A2542" s="151" t="s">
        <v>4517</v>
      </c>
    </row>
    <row r="2543" spans="1:1">
      <c r="A2543" s="151" t="s">
        <v>4518</v>
      </c>
    </row>
    <row r="2544" spans="1:1">
      <c r="A2544" s="151" t="s">
        <v>4519</v>
      </c>
    </row>
    <row r="2545" spans="1:1">
      <c r="A2545" s="151" t="s">
        <v>4520</v>
      </c>
    </row>
    <row r="2546" spans="1:1">
      <c r="A2546" s="151" t="s">
        <v>4521</v>
      </c>
    </row>
    <row r="2547" spans="1:1">
      <c r="A2547" s="151" t="s">
        <v>4522</v>
      </c>
    </row>
    <row r="2548" spans="1:1">
      <c r="A2548" s="151" t="s">
        <v>4523</v>
      </c>
    </row>
    <row r="2549" spans="1:1">
      <c r="A2549" s="151" t="s">
        <v>4524</v>
      </c>
    </row>
    <row r="2550" spans="1:1">
      <c r="A2550" s="151" t="s">
        <v>4525</v>
      </c>
    </row>
    <row r="2551" spans="1:1">
      <c r="A2551" s="151" t="s">
        <v>4526</v>
      </c>
    </row>
    <row r="2552" spans="1:1">
      <c r="A2552" s="151" t="s">
        <v>4527</v>
      </c>
    </row>
    <row r="2553" spans="1:1">
      <c r="A2553" s="151" t="s">
        <v>4528</v>
      </c>
    </row>
    <row r="2554" spans="1:1">
      <c r="A2554" s="151" t="s">
        <v>4529</v>
      </c>
    </row>
    <row r="2555" spans="1:1">
      <c r="A2555" s="151" t="s">
        <v>4530</v>
      </c>
    </row>
    <row r="2556" spans="1:1">
      <c r="A2556" s="151" t="s">
        <v>4531</v>
      </c>
    </row>
    <row r="2557" spans="1:1">
      <c r="A2557" s="151" t="s">
        <v>4532</v>
      </c>
    </row>
    <row r="2558" spans="1:1">
      <c r="A2558" s="151" t="s">
        <v>4533</v>
      </c>
    </row>
    <row r="2559" spans="1:1">
      <c r="A2559" s="151" t="s">
        <v>4534</v>
      </c>
    </row>
    <row r="2560" spans="1:1">
      <c r="A2560" s="151" t="s">
        <v>4535</v>
      </c>
    </row>
    <row r="2561" spans="1:1">
      <c r="A2561" s="151" t="s">
        <v>4536</v>
      </c>
    </row>
    <row r="2562" spans="1:1">
      <c r="A2562" s="151" t="s">
        <v>4537</v>
      </c>
    </row>
    <row r="2563" spans="1:1">
      <c r="A2563" s="151" t="s">
        <v>4538</v>
      </c>
    </row>
    <row r="2564" spans="1:1">
      <c r="A2564" s="151" t="s">
        <v>4539</v>
      </c>
    </row>
    <row r="2565" spans="1:1">
      <c r="A2565" s="151" t="s">
        <v>4540</v>
      </c>
    </row>
    <row r="2566" spans="1:1">
      <c r="A2566" s="151" t="s">
        <v>4541</v>
      </c>
    </row>
    <row r="2567" spans="1:1">
      <c r="A2567" s="151" t="s">
        <v>4542</v>
      </c>
    </row>
    <row r="2568" spans="1:1">
      <c r="A2568" s="151" t="s">
        <v>4543</v>
      </c>
    </row>
    <row r="2569" spans="1:1">
      <c r="A2569" s="151" t="s">
        <v>4544</v>
      </c>
    </row>
    <row r="2570" spans="1:1">
      <c r="A2570" s="151" t="s">
        <v>4545</v>
      </c>
    </row>
    <row r="2571" spans="1:1">
      <c r="A2571" s="151" t="s">
        <v>4546</v>
      </c>
    </row>
    <row r="2572" spans="1:1">
      <c r="A2572" s="151" t="s">
        <v>4547</v>
      </c>
    </row>
    <row r="2573" spans="1:1">
      <c r="A2573" s="151" t="s">
        <v>4548</v>
      </c>
    </row>
    <row r="2574" spans="1:1">
      <c r="A2574" s="151" t="s">
        <v>4549</v>
      </c>
    </row>
    <row r="2575" spans="1:1">
      <c r="A2575" s="151" t="s">
        <v>4550</v>
      </c>
    </row>
    <row r="2576" spans="1:1">
      <c r="A2576" s="151" t="s">
        <v>4551</v>
      </c>
    </row>
    <row r="2577" spans="1:1">
      <c r="A2577" s="151" t="s">
        <v>4552</v>
      </c>
    </row>
    <row r="2578" spans="1:1">
      <c r="A2578" s="151" t="s">
        <v>4553</v>
      </c>
    </row>
    <row r="2579" spans="1:1">
      <c r="A2579" s="151" t="s">
        <v>4554</v>
      </c>
    </row>
    <row r="2580" spans="1:1">
      <c r="A2580" s="151" t="s">
        <v>4555</v>
      </c>
    </row>
    <row r="2581" spans="1:1">
      <c r="A2581" s="151" t="s">
        <v>4556</v>
      </c>
    </row>
    <row r="2582" spans="1:1">
      <c r="A2582" s="151" t="s">
        <v>4557</v>
      </c>
    </row>
    <row r="2583" spans="1:1">
      <c r="A2583" s="151" t="s">
        <v>4558</v>
      </c>
    </row>
    <row r="2584" spans="1:1">
      <c r="A2584" s="151" t="s">
        <v>4559</v>
      </c>
    </row>
    <row r="2585" spans="1:1">
      <c r="A2585" s="151" t="s">
        <v>4560</v>
      </c>
    </row>
    <row r="2586" spans="1:1">
      <c r="A2586" s="151" t="s">
        <v>4561</v>
      </c>
    </row>
    <row r="2587" spans="1:1">
      <c r="A2587" s="151" t="s">
        <v>4562</v>
      </c>
    </row>
    <row r="2588" spans="1:1">
      <c r="A2588" s="151" t="s">
        <v>4563</v>
      </c>
    </row>
    <row r="2589" spans="1:1">
      <c r="A2589" s="151" t="s">
        <v>4564</v>
      </c>
    </row>
    <row r="2590" spans="1:1">
      <c r="A2590" s="151" t="s">
        <v>4565</v>
      </c>
    </row>
    <row r="2591" spans="1:1">
      <c r="A2591" s="151" t="s">
        <v>4566</v>
      </c>
    </row>
    <row r="2592" spans="1:1">
      <c r="A2592" s="151" t="s">
        <v>4567</v>
      </c>
    </row>
    <row r="2593" spans="1:1">
      <c r="A2593" s="151" t="s">
        <v>4568</v>
      </c>
    </row>
    <row r="2594" spans="1:1">
      <c r="A2594" s="151" t="s">
        <v>4569</v>
      </c>
    </row>
    <row r="2595" spans="1:1">
      <c r="A2595" s="151" t="s">
        <v>4570</v>
      </c>
    </row>
    <row r="2596" spans="1:1">
      <c r="A2596" s="151" t="s">
        <v>4571</v>
      </c>
    </row>
    <row r="2597" spans="1:1">
      <c r="A2597" s="151" t="s">
        <v>4572</v>
      </c>
    </row>
    <row r="2598" spans="1:1">
      <c r="A2598" s="151" t="s">
        <v>4573</v>
      </c>
    </row>
    <row r="2599" spans="1:1">
      <c r="A2599" s="151" t="s">
        <v>4574</v>
      </c>
    </row>
    <row r="2600" spans="1:1">
      <c r="A2600" s="151" t="s">
        <v>4575</v>
      </c>
    </row>
    <row r="2601" spans="1:1">
      <c r="A2601" s="151" t="s">
        <v>4576</v>
      </c>
    </row>
    <row r="2602" spans="1:1">
      <c r="A2602" s="151" t="s">
        <v>4577</v>
      </c>
    </row>
    <row r="2603" spans="1:1">
      <c r="A2603" s="151" t="s">
        <v>4578</v>
      </c>
    </row>
    <row r="2604" spans="1:1">
      <c r="A2604" s="151" t="s">
        <v>4579</v>
      </c>
    </row>
    <row r="2605" spans="1:1">
      <c r="A2605" s="151" t="s">
        <v>4580</v>
      </c>
    </row>
    <row r="2606" spans="1:1">
      <c r="A2606" s="151" t="s">
        <v>4581</v>
      </c>
    </row>
    <row r="2607" spans="1:1">
      <c r="A2607" s="151" t="s">
        <v>4582</v>
      </c>
    </row>
    <row r="2608" spans="1:1">
      <c r="A2608" s="151" t="s">
        <v>4583</v>
      </c>
    </row>
    <row r="2609" spans="1:1">
      <c r="A2609" s="151" t="s">
        <v>4584</v>
      </c>
    </row>
    <row r="2610" spans="1:1">
      <c r="A2610" s="151" t="s">
        <v>4585</v>
      </c>
    </row>
    <row r="2611" spans="1:1">
      <c r="A2611" s="151" t="s">
        <v>4586</v>
      </c>
    </row>
    <row r="2612" spans="1:1">
      <c r="A2612" s="151" t="s">
        <v>4587</v>
      </c>
    </row>
    <row r="2613" spans="1:1">
      <c r="A2613" s="151" t="s">
        <v>4588</v>
      </c>
    </row>
    <row r="2614" spans="1:1">
      <c r="A2614" s="151" t="s">
        <v>4589</v>
      </c>
    </row>
    <row r="2615" spans="1:1">
      <c r="A2615" s="151" t="s">
        <v>4590</v>
      </c>
    </row>
    <row r="2616" spans="1:1">
      <c r="A2616" s="151" t="s">
        <v>4591</v>
      </c>
    </row>
    <row r="2617" spans="1:1">
      <c r="A2617" s="151" t="s">
        <v>4592</v>
      </c>
    </row>
    <row r="2618" spans="1:1">
      <c r="A2618" s="151" t="s">
        <v>4593</v>
      </c>
    </row>
    <row r="2619" spans="1:1">
      <c r="A2619" s="151" t="s">
        <v>4594</v>
      </c>
    </row>
    <row r="2620" spans="1:1">
      <c r="A2620" s="151" t="s">
        <v>4595</v>
      </c>
    </row>
    <row r="2621" spans="1:1">
      <c r="A2621" s="151" t="s">
        <v>4596</v>
      </c>
    </row>
    <row r="2622" spans="1:1">
      <c r="A2622" s="151" t="s">
        <v>4597</v>
      </c>
    </row>
    <row r="2623" spans="1:1">
      <c r="A2623" s="151" t="s">
        <v>4598</v>
      </c>
    </row>
    <row r="2624" spans="1:1">
      <c r="A2624" s="151" t="s">
        <v>4599</v>
      </c>
    </row>
    <row r="2625" spans="1:1">
      <c r="A2625" s="151" t="s">
        <v>4600</v>
      </c>
    </row>
    <row r="2626" spans="1:1">
      <c r="A2626" s="151" t="s">
        <v>4601</v>
      </c>
    </row>
    <row r="2627" spans="1:1">
      <c r="A2627" s="151" t="s">
        <v>4602</v>
      </c>
    </row>
    <row r="2628" spans="1:1">
      <c r="A2628" s="151" t="s">
        <v>4603</v>
      </c>
    </row>
    <row r="2629" spans="1:1">
      <c r="A2629" s="151" t="s">
        <v>4604</v>
      </c>
    </row>
    <row r="2630" spans="1:1">
      <c r="A2630" s="151" t="s">
        <v>4605</v>
      </c>
    </row>
    <row r="2631" spans="1:1">
      <c r="A2631" s="151" t="s">
        <v>4606</v>
      </c>
    </row>
    <row r="2632" spans="1:1">
      <c r="A2632" s="151" t="s">
        <v>4607</v>
      </c>
    </row>
    <row r="2633" spans="1:1">
      <c r="A2633" s="151" t="s">
        <v>4608</v>
      </c>
    </row>
    <row r="2634" spans="1:1">
      <c r="A2634" s="151" t="s">
        <v>4609</v>
      </c>
    </row>
    <row r="2635" spans="1:1">
      <c r="A2635" s="151" t="s">
        <v>4610</v>
      </c>
    </row>
    <row r="2636" spans="1:1">
      <c r="A2636" s="151" t="s">
        <v>4611</v>
      </c>
    </row>
    <row r="2637" spans="1:1">
      <c r="A2637" s="151" t="s">
        <v>4612</v>
      </c>
    </row>
    <row r="2638" spans="1:1">
      <c r="A2638" s="151" t="s">
        <v>4613</v>
      </c>
    </row>
    <row r="2639" spans="1:1">
      <c r="A2639" s="151" t="s">
        <v>4614</v>
      </c>
    </row>
    <row r="2640" spans="1:1">
      <c r="A2640" s="151" t="s">
        <v>4615</v>
      </c>
    </row>
    <row r="2641" spans="1:1">
      <c r="A2641" s="151" t="s">
        <v>4616</v>
      </c>
    </row>
    <row r="2642" spans="1:1">
      <c r="A2642" s="151" t="s">
        <v>4617</v>
      </c>
    </row>
    <row r="2643" spans="1:1">
      <c r="A2643" s="151" t="s">
        <v>4618</v>
      </c>
    </row>
    <row r="2644" spans="1:1">
      <c r="A2644" s="151" t="s">
        <v>4619</v>
      </c>
    </row>
    <row r="2645" spans="1:1">
      <c r="A2645" s="151" t="s">
        <v>4620</v>
      </c>
    </row>
    <row r="2646" spans="1:1">
      <c r="A2646" s="151" t="s">
        <v>4621</v>
      </c>
    </row>
    <row r="2647" spans="1:1">
      <c r="A2647" s="151" t="s">
        <v>4622</v>
      </c>
    </row>
    <row r="2648" spans="1:1">
      <c r="A2648" s="151" t="s">
        <v>4623</v>
      </c>
    </row>
    <row r="2649" spans="1:1">
      <c r="A2649" s="151" t="s">
        <v>4624</v>
      </c>
    </row>
    <row r="2650" spans="1:1">
      <c r="A2650" s="151" t="s">
        <v>4625</v>
      </c>
    </row>
    <row r="2651" spans="1:1">
      <c r="A2651" s="151" t="s">
        <v>4626</v>
      </c>
    </row>
    <row r="2652" spans="1:1">
      <c r="A2652" s="151" t="s">
        <v>4627</v>
      </c>
    </row>
    <row r="2653" spans="1:1">
      <c r="A2653" s="151" t="s">
        <v>4628</v>
      </c>
    </row>
    <row r="2654" spans="1:1">
      <c r="A2654" s="151" t="s">
        <v>4629</v>
      </c>
    </row>
    <row r="2655" spans="1:1">
      <c r="A2655" s="151" t="s">
        <v>4630</v>
      </c>
    </row>
    <row r="2656" spans="1:1">
      <c r="A2656" s="151" t="s">
        <v>4631</v>
      </c>
    </row>
    <row r="2657" spans="1:1">
      <c r="A2657" s="151" t="s">
        <v>4632</v>
      </c>
    </row>
    <row r="2658" spans="1:1">
      <c r="A2658" s="151" t="s">
        <v>4633</v>
      </c>
    </row>
    <row r="2659" spans="1:1">
      <c r="A2659" s="151" t="s">
        <v>4634</v>
      </c>
    </row>
    <row r="2660" spans="1:1">
      <c r="A2660" s="151" t="s">
        <v>4635</v>
      </c>
    </row>
    <row r="2661" spans="1:1">
      <c r="A2661" s="151" t="s">
        <v>4636</v>
      </c>
    </row>
    <row r="2662" spans="1:1">
      <c r="A2662" s="151" t="s">
        <v>4637</v>
      </c>
    </row>
    <row r="2663" spans="1:1">
      <c r="A2663" s="151" t="s">
        <v>4638</v>
      </c>
    </row>
    <row r="2664" spans="1:1">
      <c r="A2664" s="151" t="s">
        <v>4639</v>
      </c>
    </row>
    <row r="2665" spans="1:1">
      <c r="A2665" s="151" t="s">
        <v>4640</v>
      </c>
    </row>
    <row r="2666" spans="1:1">
      <c r="A2666" s="151" t="s">
        <v>4641</v>
      </c>
    </row>
    <row r="2667" spans="1:1">
      <c r="A2667" s="151" t="s">
        <v>4642</v>
      </c>
    </row>
    <row r="2668" spans="1:1">
      <c r="A2668" s="151" t="s">
        <v>4643</v>
      </c>
    </row>
    <row r="2669" spans="1:1">
      <c r="A2669" s="151" t="s">
        <v>4644</v>
      </c>
    </row>
    <row r="2670" spans="1:1">
      <c r="A2670" s="151" t="s">
        <v>4645</v>
      </c>
    </row>
    <row r="2671" spans="1:1">
      <c r="A2671" s="151" t="s">
        <v>4646</v>
      </c>
    </row>
    <row r="2672" spans="1:1">
      <c r="A2672" s="151" t="s">
        <v>4647</v>
      </c>
    </row>
    <row r="2673" spans="1:1">
      <c r="A2673" s="151" t="s">
        <v>4648</v>
      </c>
    </row>
    <row r="2674" spans="1:1">
      <c r="A2674" s="151" t="s">
        <v>4649</v>
      </c>
    </row>
    <row r="2675" spans="1:1">
      <c r="A2675" s="151" t="s">
        <v>4650</v>
      </c>
    </row>
    <row r="2676" spans="1:1">
      <c r="A2676" s="151" t="s">
        <v>4651</v>
      </c>
    </row>
    <row r="2677" spans="1:1">
      <c r="A2677" s="151" t="s">
        <v>4652</v>
      </c>
    </row>
    <row r="2678" spans="1:1">
      <c r="A2678" s="151" t="s">
        <v>4653</v>
      </c>
    </row>
    <row r="2679" spans="1:1">
      <c r="A2679" s="151" t="s">
        <v>4654</v>
      </c>
    </row>
    <row r="2680" spans="1:1">
      <c r="A2680" s="151" t="s">
        <v>4655</v>
      </c>
    </row>
    <row r="2681" spans="1:1">
      <c r="A2681" s="151" t="s">
        <v>4656</v>
      </c>
    </row>
    <row r="2682" spans="1:1">
      <c r="A2682" s="151" t="s">
        <v>4657</v>
      </c>
    </row>
    <row r="2683" spans="1:1">
      <c r="A2683" s="151" t="s">
        <v>4658</v>
      </c>
    </row>
    <row r="2684" spans="1:1">
      <c r="A2684" s="151" t="s">
        <v>4659</v>
      </c>
    </row>
    <row r="2685" spans="1:1">
      <c r="A2685" s="151" t="s">
        <v>4660</v>
      </c>
    </row>
    <row r="2686" spans="1:1">
      <c r="A2686" s="151" t="s">
        <v>4661</v>
      </c>
    </row>
    <row r="2687" spans="1:1">
      <c r="A2687" s="151" t="s">
        <v>4662</v>
      </c>
    </row>
    <row r="2688" spans="1:1">
      <c r="A2688" s="151" t="s">
        <v>4663</v>
      </c>
    </row>
    <row r="2689" spans="1:1">
      <c r="A2689" s="151" t="s">
        <v>4664</v>
      </c>
    </row>
    <row r="2690" spans="1:1">
      <c r="A2690" s="151" t="s">
        <v>4665</v>
      </c>
    </row>
    <row r="2691" spans="1:1">
      <c r="A2691" s="151" t="s">
        <v>4666</v>
      </c>
    </row>
    <row r="2692" spans="1:1">
      <c r="A2692" s="151" t="s">
        <v>4667</v>
      </c>
    </row>
    <row r="2693" spans="1:1">
      <c r="A2693" s="151" t="s">
        <v>4668</v>
      </c>
    </row>
    <row r="2694" spans="1:1">
      <c r="A2694" s="151" t="s">
        <v>4669</v>
      </c>
    </row>
    <row r="2695" spans="1:1">
      <c r="A2695" s="151" t="s">
        <v>4670</v>
      </c>
    </row>
    <row r="2696" spans="1:1">
      <c r="A2696" s="151" t="s">
        <v>4671</v>
      </c>
    </row>
    <row r="2697" spans="1:1">
      <c r="A2697" s="151" t="s">
        <v>4672</v>
      </c>
    </row>
    <row r="2698" spans="1:1">
      <c r="A2698" s="151" t="s">
        <v>4673</v>
      </c>
    </row>
    <row r="2699" spans="1:1">
      <c r="A2699" s="151" t="s">
        <v>4674</v>
      </c>
    </row>
    <row r="2700" spans="1:1">
      <c r="A2700" s="151" t="s">
        <v>4675</v>
      </c>
    </row>
    <row r="2701" spans="1:1">
      <c r="A2701" s="151" t="s">
        <v>4676</v>
      </c>
    </row>
    <row r="2702" spans="1:1">
      <c r="A2702" s="151" t="s">
        <v>4677</v>
      </c>
    </row>
    <row r="2703" spans="1:1">
      <c r="A2703" s="151" t="s">
        <v>4678</v>
      </c>
    </row>
    <row r="2704" spans="1:1">
      <c r="A2704" s="151" t="s">
        <v>4679</v>
      </c>
    </row>
    <row r="2705" spans="1:1">
      <c r="A2705" s="151" t="s">
        <v>4680</v>
      </c>
    </row>
    <row r="2706" spans="1:1">
      <c r="A2706" s="151" t="s">
        <v>4681</v>
      </c>
    </row>
    <row r="2707" spans="1:1">
      <c r="A2707" s="151" t="s">
        <v>4682</v>
      </c>
    </row>
    <row r="2708" spans="1:1">
      <c r="A2708" s="151" t="s">
        <v>4683</v>
      </c>
    </row>
    <row r="2709" spans="1:1">
      <c r="A2709" s="151" t="s">
        <v>4684</v>
      </c>
    </row>
    <row r="2710" spans="1:1">
      <c r="A2710" s="151" t="s">
        <v>4685</v>
      </c>
    </row>
    <row r="2711" spans="1:1">
      <c r="A2711" s="151" t="s">
        <v>4686</v>
      </c>
    </row>
    <row r="2712" spans="1:1">
      <c r="A2712" s="151" t="s">
        <v>4687</v>
      </c>
    </row>
    <row r="2713" spans="1:1">
      <c r="A2713" s="151" t="s">
        <v>4688</v>
      </c>
    </row>
    <row r="2714" spans="1:1">
      <c r="A2714" s="151" t="s">
        <v>4689</v>
      </c>
    </row>
    <row r="2715" spans="1:1">
      <c r="A2715" s="151" t="s">
        <v>4690</v>
      </c>
    </row>
    <row r="2716" spans="1:1">
      <c r="A2716" s="151" t="s">
        <v>4691</v>
      </c>
    </row>
    <row r="2717" spans="1:1">
      <c r="A2717" s="151" t="s">
        <v>4692</v>
      </c>
    </row>
    <row r="2718" spans="1:1">
      <c r="A2718" s="151" t="s">
        <v>4693</v>
      </c>
    </row>
    <row r="2719" spans="1:1">
      <c r="A2719" s="151" t="s">
        <v>4694</v>
      </c>
    </row>
    <row r="2720" spans="1:1">
      <c r="A2720" s="151" t="s">
        <v>4695</v>
      </c>
    </row>
    <row r="2721" spans="1:1">
      <c r="A2721" s="151" t="s">
        <v>4696</v>
      </c>
    </row>
    <row r="2722" spans="1:1">
      <c r="A2722" s="151" t="s">
        <v>4697</v>
      </c>
    </row>
    <row r="2723" spans="1:1">
      <c r="A2723" s="151" t="s">
        <v>4698</v>
      </c>
    </row>
    <row r="2724" spans="1:1">
      <c r="A2724" s="151" t="s">
        <v>4699</v>
      </c>
    </row>
    <row r="2725" spans="1:1">
      <c r="A2725" s="151" t="s">
        <v>4700</v>
      </c>
    </row>
    <row r="2726" spans="1:1">
      <c r="A2726" s="151" t="s">
        <v>4701</v>
      </c>
    </row>
    <row r="2727" spans="1:1">
      <c r="A2727" s="151" t="s">
        <v>4702</v>
      </c>
    </row>
    <row r="2728" spans="1:1">
      <c r="A2728" s="151" t="s">
        <v>4703</v>
      </c>
    </row>
    <row r="2729" spans="1:1">
      <c r="A2729" s="151" t="s">
        <v>4704</v>
      </c>
    </row>
    <row r="2730" spans="1:1">
      <c r="A2730" s="151" t="s">
        <v>4705</v>
      </c>
    </row>
    <row r="2731" spans="1:1">
      <c r="A2731" s="151" t="s">
        <v>4706</v>
      </c>
    </row>
    <row r="2732" spans="1:1">
      <c r="A2732" s="151" t="s">
        <v>4707</v>
      </c>
    </row>
    <row r="2733" spans="1:1">
      <c r="A2733" s="151" t="s">
        <v>4708</v>
      </c>
    </row>
    <row r="2734" spans="1:1">
      <c r="A2734" s="151" t="s">
        <v>4709</v>
      </c>
    </row>
    <row r="2735" spans="1:1">
      <c r="A2735" s="151" t="s">
        <v>4710</v>
      </c>
    </row>
    <row r="2736" spans="1:1">
      <c r="A2736" s="151" t="s">
        <v>4711</v>
      </c>
    </row>
    <row r="2737" spans="1:1">
      <c r="A2737" s="151" t="s">
        <v>4712</v>
      </c>
    </row>
    <row r="2738" spans="1:1">
      <c r="A2738" s="151" t="s">
        <v>4713</v>
      </c>
    </row>
    <row r="2739" spans="1:1">
      <c r="A2739" s="151" t="s">
        <v>4714</v>
      </c>
    </row>
    <row r="2740" spans="1:1">
      <c r="A2740" s="151" t="s">
        <v>4715</v>
      </c>
    </row>
    <row r="2741" spans="1:1">
      <c r="A2741" s="151" t="s">
        <v>4716</v>
      </c>
    </row>
    <row r="2742" spans="1:1">
      <c r="A2742" s="151" t="s">
        <v>4717</v>
      </c>
    </row>
    <row r="2743" spans="1:1">
      <c r="A2743" s="151" t="s">
        <v>4718</v>
      </c>
    </row>
    <row r="2744" spans="1:1">
      <c r="A2744" s="151" t="s">
        <v>4719</v>
      </c>
    </row>
    <row r="2745" spans="1:1">
      <c r="A2745" s="151" t="s">
        <v>4720</v>
      </c>
    </row>
    <row r="2746" spans="1:1">
      <c r="A2746" s="151" t="s">
        <v>4721</v>
      </c>
    </row>
    <row r="2747" spans="1:1">
      <c r="A2747" s="151" t="s">
        <v>4722</v>
      </c>
    </row>
    <row r="2748" spans="1:1">
      <c r="A2748" s="151" t="s">
        <v>4723</v>
      </c>
    </row>
    <row r="2749" spans="1:1">
      <c r="A2749" s="151" t="s">
        <v>4724</v>
      </c>
    </row>
    <row r="2750" spans="1:1">
      <c r="A2750" s="151" t="s">
        <v>4725</v>
      </c>
    </row>
    <row r="2751" spans="1:1">
      <c r="A2751" s="151" t="s">
        <v>4726</v>
      </c>
    </row>
    <row r="2752" spans="1:1">
      <c r="A2752" s="151" t="s">
        <v>4727</v>
      </c>
    </row>
    <row r="2753" spans="1:1">
      <c r="A2753" s="151" t="s">
        <v>4728</v>
      </c>
    </row>
    <row r="2754" spans="1:1">
      <c r="A2754" s="151" t="s">
        <v>4729</v>
      </c>
    </row>
    <row r="2755" spans="1:1">
      <c r="A2755" s="151" t="s">
        <v>4730</v>
      </c>
    </row>
    <row r="2756" spans="1:1">
      <c r="A2756" s="151" t="s">
        <v>4731</v>
      </c>
    </row>
    <row r="2757" spans="1:1">
      <c r="A2757" s="151" t="s">
        <v>4732</v>
      </c>
    </row>
    <row r="2758" spans="1:1">
      <c r="A2758" s="151" t="s">
        <v>4733</v>
      </c>
    </row>
    <row r="2759" spans="1:1">
      <c r="A2759" s="151" t="s">
        <v>4734</v>
      </c>
    </row>
    <row r="2760" spans="1:1">
      <c r="A2760" s="151" t="s">
        <v>4735</v>
      </c>
    </row>
    <row r="2761" spans="1:1">
      <c r="A2761" s="151" t="s">
        <v>4736</v>
      </c>
    </row>
    <row r="2762" spans="1:1">
      <c r="A2762" s="151" t="s">
        <v>4737</v>
      </c>
    </row>
    <row r="2763" spans="1:1">
      <c r="A2763" s="151" t="s">
        <v>4738</v>
      </c>
    </row>
    <row r="2764" spans="1:1">
      <c r="A2764" s="151" t="s">
        <v>4739</v>
      </c>
    </row>
    <row r="2765" spans="1:1">
      <c r="A2765" s="151" t="s">
        <v>4740</v>
      </c>
    </row>
    <row r="2766" spans="1:1">
      <c r="A2766" s="151" t="s">
        <v>4741</v>
      </c>
    </row>
    <row r="2767" spans="1:1">
      <c r="A2767" s="151" t="s">
        <v>4742</v>
      </c>
    </row>
    <row r="2768" spans="1:1">
      <c r="A2768" s="151" t="s">
        <v>4743</v>
      </c>
    </row>
    <row r="2769" spans="1:1">
      <c r="A2769" s="151" t="s">
        <v>4744</v>
      </c>
    </row>
    <row r="2770" spans="1:1">
      <c r="A2770" s="151" t="s">
        <v>4745</v>
      </c>
    </row>
    <row r="2771" spans="1:1">
      <c r="A2771" s="151" t="s">
        <v>4746</v>
      </c>
    </row>
    <row r="2772" spans="1:1">
      <c r="A2772" s="151" t="s">
        <v>4747</v>
      </c>
    </row>
    <row r="2773" spans="1:1">
      <c r="A2773" s="151" t="s">
        <v>4748</v>
      </c>
    </row>
    <row r="2774" spans="1:1">
      <c r="A2774" s="151" t="s">
        <v>4749</v>
      </c>
    </row>
    <row r="2775" spans="1:1">
      <c r="A2775" s="151" t="s">
        <v>4750</v>
      </c>
    </row>
    <row r="2776" spans="1:1">
      <c r="A2776" s="151" t="s">
        <v>4751</v>
      </c>
    </row>
    <row r="2777" spans="1:1">
      <c r="A2777" s="151" t="s">
        <v>4752</v>
      </c>
    </row>
    <row r="2778" spans="1:1">
      <c r="A2778" s="151" t="s">
        <v>4753</v>
      </c>
    </row>
    <row r="2779" spans="1:1">
      <c r="A2779" s="151" t="s">
        <v>4754</v>
      </c>
    </row>
    <row r="2780" spans="1:1">
      <c r="A2780" s="151" t="s">
        <v>4755</v>
      </c>
    </row>
    <row r="2781" spans="1:1">
      <c r="A2781" s="151" t="s">
        <v>4756</v>
      </c>
    </row>
    <row r="2782" spans="1:1">
      <c r="A2782" s="151" t="s">
        <v>4757</v>
      </c>
    </row>
    <row r="2783" spans="1:1">
      <c r="A2783" s="151" t="s">
        <v>4758</v>
      </c>
    </row>
    <row r="2784" spans="1:1">
      <c r="A2784" s="151" t="s">
        <v>4759</v>
      </c>
    </row>
    <row r="2785" spans="1:1">
      <c r="A2785" s="151" t="s">
        <v>4760</v>
      </c>
    </row>
    <row r="2786" spans="1:1">
      <c r="A2786" s="151" t="s">
        <v>4761</v>
      </c>
    </row>
    <row r="2787" spans="1:1">
      <c r="A2787" s="151" t="s">
        <v>4762</v>
      </c>
    </row>
    <row r="2788" spans="1:1">
      <c r="A2788" s="151" t="s">
        <v>4763</v>
      </c>
    </row>
    <row r="2789" spans="1:1">
      <c r="A2789" s="151" t="s">
        <v>4764</v>
      </c>
    </row>
    <row r="2790" spans="1:1">
      <c r="A2790" s="151" t="s">
        <v>4765</v>
      </c>
    </row>
    <row r="2791" spans="1:1">
      <c r="A2791" s="151" t="s">
        <v>4766</v>
      </c>
    </row>
    <row r="2792" spans="1:1">
      <c r="A2792" s="151" t="s">
        <v>4767</v>
      </c>
    </row>
    <row r="2793" spans="1:1">
      <c r="A2793" s="151" t="s">
        <v>4768</v>
      </c>
    </row>
    <row r="2794" spans="1:1">
      <c r="A2794" s="151" t="s">
        <v>4769</v>
      </c>
    </row>
    <row r="2795" spans="1:1">
      <c r="A2795" s="151" t="s">
        <v>4770</v>
      </c>
    </row>
    <row r="2796" spans="1:1">
      <c r="A2796" s="151" t="s">
        <v>4771</v>
      </c>
    </row>
    <row r="2797" spans="1:1">
      <c r="A2797" s="151" t="s">
        <v>4772</v>
      </c>
    </row>
    <row r="2798" spans="1:1">
      <c r="A2798" s="151" t="s">
        <v>4773</v>
      </c>
    </row>
    <row r="2799" spans="1:1">
      <c r="A2799" s="151" t="s">
        <v>4774</v>
      </c>
    </row>
    <row r="2800" spans="1:1">
      <c r="A2800" s="151" t="s">
        <v>4775</v>
      </c>
    </row>
    <row r="2801" spans="1:1">
      <c r="A2801" s="151" t="s">
        <v>4776</v>
      </c>
    </row>
    <row r="2802" spans="1:1">
      <c r="A2802" s="151" t="s">
        <v>4777</v>
      </c>
    </row>
    <row r="2803" spans="1:1">
      <c r="A2803" s="151" t="s">
        <v>4778</v>
      </c>
    </row>
    <row r="2804" spans="1:1">
      <c r="A2804" s="151" t="s">
        <v>4779</v>
      </c>
    </row>
    <row r="2805" spans="1:1">
      <c r="A2805" s="151" t="s">
        <v>4780</v>
      </c>
    </row>
    <row r="2806" spans="1:1">
      <c r="A2806" s="151" t="s">
        <v>4781</v>
      </c>
    </row>
    <row r="2807" spans="1:1">
      <c r="A2807" s="151" t="s">
        <v>4782</v>
      </c>
    </row>
    <row r="2808" spans="1:1">
      <c r="A2808" s="151" t="s">
        <v>4783</v>
      </c>
    </row>
    <row r="2809" spans="1:1">
      <c r="A2809" s="151" t="s">
        <v>4784</v>
      </c>
    </row>
    <row r="2810" spans="1:1">
      <c r="A2810" s="151" t="s">
        <v>4785</v>
      </c>
    </row>
    <row r="2811" spans="1:1">
      <c r="A2811" s="151" t="s">
        <v>4786</v>
      </c>
    </row>
    <row r="2812" spans="1:1">
      <c r="A2812" s="151" t="s">
        <v>4787</v>
      </c>
    </row>
    <row r="2813" spans="1:1">
      <c r="A2813" s="151" t="s">
        <v>4788</v>
      </c>
    </row>
    <row r="2814" spans="1:1">
      <c r="A2814" s="151" t="s">
        <v>4789</v>
      </c>
    </row>
    <row r="2815" spans="1:1">
      <c r="A2815" s="151" t="s">
        <v>4790</v>
      </c>
    </row>
    <row r="2816" spans="1:1">
      <c r="A2816" s="151" t="s">
        <v>4791</v>
      </c>
    </row>
    <row r="2817" spans="1:1">
      <c r="A2817" s="151" t="s">
        <v>4792</v>
      </c>
    </row>
    <row r="2818" spans="1:1">
      <c r="A2818" s="151" t="s">
        <v>4793</v>
      </c>
    </row>
    <row r="2819" spans="1:1">
      <c r="A2819" s="151" t="s">
        <v>4794</v>
      </c>
    </row>
    <row r="2820" spans="1:1">
      <c r="A2820" s="151" t="s">
        <v>4795</v>
      </c>
    </row>
    <row r="2821" spans="1:1">
      <c r="A2821" s="151" t="s">
        <v>4796</v>
      </c>
    </row>
    <row r="2822" spans="1:1">
      <c r="A2822" s="151" t="s">
        <v>4797</v>
      </c>
    </row>
    <row r="2823" spans="1:1">
      <c r="A2823" s="151" t="s">
        <v>4798</v>
      </c>
    </row>
    <row r="2824" spans="1:1">
      <c r="A2824" s="151" t="s">
        <v>4799</v>
      </c>
    </row>
    <row r="2825" spans="1:1">
      <c r="A2825" s="151" t="s">
        <v>4800</v>
      </c>
    </row>
    <row r="2826" spans="1:1">
      <c r="A2826" s="151" t="s">
        <v>4801</v>
      </c>
    </row>
    <row r="2827" spans="1:1">
      <c r="A2827" s="151" t="s">
        <v>4802</v>
      </c>
    </row>
    <row r="2828" spans="1:1">
      <c r="A2828" s="151" t="s">
        <v>4803</v>
      </c>
    </row>
    <row r="2829" spans="1:1">
      <c r="A2829" s="151" t="s">
        <v>4804</v>
      </c>
    </row>
    <row r="2830" spans="1:1">
      <c r="A2830" s="151" t="s">
        <v>4805</v>
      </c>
    </row>
    <row r="2831" spans="1:1">
      <c r="A2831" s="151" t="s">
        <v>4806</v>
      </c>
    </row>
    <row r="2832" spans="1:1">
      <c r="A2832" s="151" t="s">
        <v>4807</v>
      </c>
    </row>
    <row r="2833" spans="1:1">
      <c r="A2833" s="151" t="s">
        <v>4808</v>
      </c>
    </row>
    <row r="2834" spans="1:1">
      <c r="A2834" s="151" t="s">
        <v>4809</v>
      </c>
    </row>
    <row r="2835" spans="1:1">
      <c r="A2835" s="151" t="s">
        <v>4810</v>
      </c>
    </row>
    <row r="2836" spans="1:1">
      <c r="A2836" s="151" t="s">
        <v>4811</v>
      </c>
    </row>
    <row r="2837" spans="1:1">
      <c r="A2837" s="151" t="s">
        <v>4812</v>
      </c>
    </row>
    <row r="2838" spans="1:1">
      <c r="A2838" s="151" t="s">
        <v>4813</v>
      </c>
    </row>
    <row r="2839" spans="1:1">
      <c r="A2839" s="151" t="s">
        <v>4814</v>
      </c>
    </row>
    <row r="2840" spans="1:1">
      <c r="A2840" s="151" t="s">
        <v>4815</v>
      </c>
    </row>
    <row r="2841" spans="1:1">
      <c r="A2841" s="151" t="s">
        <v>4816</v>
      </c>
    </row>
    <row r="2842" spans="1:1">
      <c r="A2842" s="151" t="s">
        <v>4817</v>
      </c>
    </row>
    <row r="2843" spans="1:1">
      <c r="A2843" s="151" t="s">
        <v>4818</v>
      </c>
    </row>
    <row r="2844" spans="1:1">
      <c r="A2844" s="151" t="s">
        <v>4819</v>
      </c>
    </row>
    <row r="2845" spans="1:1">
      <c r="A2845" s="151" t="s">
        <v>4820</v>
      </c>
    </row>
    <row r="2846" spans="1:1">
      <c r="A2846" s="151" t="s">
        <v>4821</v>
      </c>
    </row>
    <row r="2847" spans="1:1">
      <c r="A2847" s="151" t="s">
        <v>4822</v>
      </c>
    </row>
    <row r="2848" spans="1:1">
      <c r="A2848" s="151" t="s">
        <v>4823</v>
      </c>
    </row>
    <row r="2849" spans="1:1">
      <c r="A2849" s="151" t="s">
        <v>4824</v>
      </c>
    </row>
    <row r="2850" spans="1:1">
      <c r="A2850" s="151" t="s">
        <v>4825</v>
      </c>
    </row>
    <row r="2851" spans="1:1">
      <c r="A2851" s="151" t="s">
        <v>4826</v>
      </c>
    </row>
    <row r="2852" spans="1:1">
      <c r="A2852" s="151" t="s">
        <v>4827</v>
      </c>
    </row>
    <row r="2853" spans="1:1">
      <c r="A2853" s="151" t="s">
        <v>4828</v>
      </c>
    </row>
    <row r="2854" spans="1:1">
      <c r="A2854" s="151" t="s">
        <v>4829</v>
      </c>
    </row>
    <row r="2855" spans="1:1">
      <c r="A2855" s="151" t="s">
        <v>4830</v>
      </c>
    </row>
    <row r="2856" spans="1:1">
      <c r="A2856" s="151" t="s">
        <v>4831</v>
      </c>
    </row>
    <row r="2857" spans="1:1">
      <c r="A2857" s="151" t="s">
        <v>4832</v>
      </c>
    </row>
    <row r="2858" spans="1:1">
      <c r="A2858" s="151" t="s">
        <v>4833</v>
      </c>
    </row>
    <row r="2859" spans="1:1">
      <c r="A2859" s="151" t="s">
        <v>4834</v>
      </c>
    </row>
    <row r="2860" spans="1:1">
      <c r="A2860" s="151" t="s">
        <v>4835</v>
      </c>
    </row>
    <row r="2861" spans="1:1">
      <c r="A2861" s="151" t="s">
        <v>4836</v>
      </c>
    </row>
    <row r="2862" spans="1:1">
      <c r="A2862" s="151" t="s">
        <v>4837</v>
      </c>
    </row>
    <row r="2863" spans="1:1">
      <c r="A2863" s="151" t="s">
        <v>4838</v>
      </c>
    </row>
    <row r="2864" spans="1:1">
      <c r="A2864" s="151" t="s">
        <v>4839</v>
      </c>
    </row>
    <row r="2865" spans="1:1">
      <c r="A2865" s="151" t="s">
        <v>4840</v>
      </c>
    </row>
    <row r="2866" spans="1:1">
      <c r="A2866" s="151" t="s">
        <v>4841</v>
      </c>
    </row>
    <row r="2867" spans="1:1">
      <c r="A2867" s="151" t="s">
        <v>4842</v>
      </c>
    </row>
    <row r="2868" spans="1:1">
      <c r="A2868" s="151" t="s">
        <v>4843</v>
      </c>
    </row>
    <row r="2869" spans="1:1">
      <c r="A2869" s="151" t="s">
        <v>4844</v>
      </c>
    </row>
    <row r="2870" spans="1:1">
      <c r="A2870" s="151" t="s">
        <v>4845</v>
      </c>
    </row>
    <row r="2871" spans="1:1">
      <c r="A2871" s="151" t="s">
        <v>4846</v>
      </c>
    </row>
    <row r="2872" spans="1:1">
      <c r="A2872" s="151" t="s">
        <v>4847</v>
      </c>
    </row>
    <row r="2873" spans="1:1">
      <c r="A2873" s="151" t="s">
        <v>4848</v>
      </c>
    </row>
    <row r="2874" spans="1:1">
      <c r="A2874" s="151" t="s">
        <v>4849</v>
      </c>
    </row>
    <row r="2875" spans="1:1">
      <c r="A2875" s="151" t="s">
        <v>4850</v>
      </c>
    </row>
    <row r="2876" spans="1:1">
      <c r="A2876" s="151" t="s">
        <v>4851</v>
      </c>
    </row>
    <row r="2877" spans="1:1">
      <c r="A2877" s="151" t="s">
        <v>4852</v>
      </c>
    </row>
    <row r="2878" spans="1:1">
      <c r="A2878" s="151" t="s">
        <v>4853</v>
      </c>
    </row>
    <row r="2879" spans="1:1">
      <c r="A2879" s="151" t="s">
        <v>4854</v>
      </c>
    </row>
    <row r="2880" spans="1:1">
      <c r="A2880" s="151" t="s">
        <v>4855</v>
      </c>
    </row>
    <row r="2881" spans="1:1">
      <c r="A2881" s="151" t="s">
        <v>4856</v>
      </c>
    </row>
    <row r="2882" spans="1:1">
      <c r="A2882" s="151" t="s">
        <v>4857</v>
      </c>
    </row>
    <row r="2883" spans="1:1">
      <c r="A2883" s="151" t="s">
        <v>4858</v>
      </c>
    </row>
    <row r="2884" spans="1:1">
      <c r="A2884" s="151" t="s">
        <v>4859</v>
      </c>
    </row>
    <row r="2885" spans="1:1">
      <c r="A2885" s="151" t="s">
        <v>4860</v>
      </c>
    </row>
    <row r="2886" spans="1:1">
      <c r="A2886" s="151" t="s">
        <v>4861</v>
      </c>
    </row>
    <row r="2887" spans="1:1">
      <c r="A2887" s="151" t="s">
        <v>4862</v>
      </c>
    </row>
    <row r="2888" spans="1:1">
      <c r="A2888" s="151" t="s">
        <v>4863</v>
      </c>
    </row>
    <row r="2889" spans="1:1">
      <c r="A2889" s="151" t="s">
        <v>4864</v>
      </c>
    </row>
    <row r="2890" spans="1:1">
      <c r="A2890" s="151" t="s">
        <v>4865</v>
      </c>
    </row>
    <row r="2891" spans="1:1">
      <c r="A2891" s="151" t="s">
        <v>4866</v>
      </c>
    </row>
    <row r="2892" spans="1:1">
      <c r="A2892" s="151" t="s">
        <v>4867</v>
      </c>
    </row>
    <row r="2893" spans="1:1">
      <c r="A2893" s="151" t="s">
        <v>4868</v>
      </c>
    </row>
    <row r="2894" spans="1:1">
      <c r="A2894" s="151" t="s">
        <v>4869</v>
      </c>
    </row>
    <row r="2895" spans="1:1">
      <c r="A2895" s="151" t="s">
        <v>4870</v>
      </c>
    </row>
    <row r="2896" spans="1:1">
      <c r="A2896" s="151" t="s">
        <v>4871</v>
      </c>
    </row>
    <row r="2897" spans="1:1">
      <c r="A2897" s="151" t="s">
        <v>4872</v>
      </c>
    </row>
    <row r="2898" spans="1:1">
      <c r="A2898" s="151" t="s">
        <v>4873</v>
      </c>
    </row>
    <row r="2899" spans="1:1">
      <c r="A2899" s="151" t="s">
        <v>4874</v>
      </c>
    </row>
    <row r="2900" spans="1:1">
      <c r="A2900" s="151" t="s">
        <v>4875</v>
      </c>
    </row>
    <row r="2901" spans="1:1">
      <c r="A2901" s="151" t="s">
        <v>4876</v>
      </c>
    </row>
    <row r="2902" spans="1:1">
      <c r="A2902" s="151" t="s">
        <v>4877</v>
      </c>
    </row>
    <row r="2903" spans="1:1">
      <c r="A2903" s="151" t="s">
        <v>4878</v>
      </c>
    </row>
    <row r="2904" spans="1:1">
      <c r="A2904" s="151" t="s">
        <v>4879</v>
      </c>
    </row>
    <row r="2905" spans="1:1">
      <c r="A2905" s="151" t="s">
        <v>4880</v>
      </c>
    </row>
    <row r="2906" spans="1:1">
      <c r="A2906" s="151" t="s">
        <v>4881</v>
      </c>
    </row>
    <row r="2907" spans="1:1">
      <c r="A2907" s="151" t="s">
        <v>4882</v>
      </c>
    </row>
    <row r="2908" spans="1:1">
      <c r="A2908" s="151" t="s">
        <v>4883</v>
      </c>
    </row>
    <row r="2909" spans="1:1">
      <c r="A2909" s="151" t="s">
        <v>4884</v>
      </c>
    </row>
    <row r="2910" spans="1:1">
      <c r="A2910" s="151" t="s">
        <v>4885</v>
      </c>
    </row>
    <row r="2911" spans="1:1">
      <c r="A2911" s="151" t="s">
        <v>4886</v>
      </c>
    </row>
    <row r="2912" spans="1:1">
      <c r="A2912" s="151" t="s">
        <v>4887</v>
      </c>
    </row>
    <row r="2913" spans="1:1">
      <c r="A2913" s="151" t="s">
        <v>4888</v>
      </c>
    </row>
    <row r="2914" spans="1:1">
      <c r="A2914" s="151" t="s">
        <v>4889</v>
      </c>
    </row>
    <row r="2915" spans="1:1">
      <c r="A2915" s="151" t="s">
        <v>4890</v>
      </c>
    </row>
    <row r="2916" spans="1:1">
      <c r="A2916" s="151" t="s">
        <v>4891</v>
      </c>
    </row>
    <row r="2917" spans="1:1">
      <c r="A2917" s="151" t="s">
        <v>4892</v>
      </c>
    </row>
    <row r="2918" spans="1:1">
      <c r="A2918" s="151" t="s">
        <v>4893</v>
      </c>
    </row>
    <row r="2919" spans="1:1">
      <c r="A2919" s="151" t="s">
        <v>4894</v>
      </c>
    </row>
    <row r="2920" spans="1:1">
      <c r="A2920" s="151" t="s">
        <v>4895</v>
      </c>
    </row>
    <row r="2921" spans="1:1">
      <c r="A2921" s="151" t="s">
        <v>4896</v>
      </c>
    </row>
    <row r="2922" spans="1:1">
      <c r="A2922" s="151" t="s">
        <v>4897</v>
      </c>
    </row>
    <row r="2923" spans="1:1">
      <c r="A2923" s="151" t="s">
        <v>4898</v>
      </c>
    </row>
    <row r="2924" spans="1:1">
      <c r="A2924" s="151" t="s">
        <v>4899</v>
      </c>
    </row>
    <row r="2925" spans="1:1">
      <c r="A2925" s="151" t="s">
        <v>4900</v>
      </c>
    </row>
    <row r="2926" spans="1:1">
      <c r="A2926" s="151" t="s">
        <v>4901</v>
      </c>
    </row>
    <row r="2927" spans="1:1">
      <c r="A2927" s="151" t="s">
        <v>4902</v>
      </c>
    </row>
    <row r="2928" spans="1:1">
      <c r="A2928" s="151" t="s">
        <v>4903</v>
      </c>
    </row>
    <row r="2929" spans="1:1">
      <c r="A2929" s="151" t="s">
        <v>4904</v>
      </c>
    </row>
    <row r="2930" spans="1:1">
      <c r="A2930" s="151" t="s">
        <v>4905</v>
      </c>
    </row>
    <row r="2931" spans="1:1">
      <c r="A2931" s="151" t="s">
        <v>4906</v>
      </c>
    </row>
    <row r="2932" spans="1:1">
      <c r="A2932" s="151" t="s">
        <v>4907</v>
      </c>
    </row>
    <row r="2933" spans="1:1">
      <c r="A2933" s="151" t="s">
        <v>4908</v>
      </c>
    </row>
    <row r="2934" spans="1:1">
      <c r="A2934" s="151" t="s">
        <v>4909</v>
      </c>
    </row>
    <row r="2935" spans="1:1">
      <c r="A2935" s="151" t="s">
        <v>4910</v>
      </c>
    </row>
    <row r="2936" spans="1:1">
      <c r="A2936" s="151" t="s">
        <v>4911</v>
      </c>
    </row>
    <row r="2937" spans="1:1">
      <c r="A2937" s="151" t="s">
        <v>4912</v>
      </c>
    </row>
    <row r="2938" spans="1:1">
      <c r="A2938" s="151" t="s">
        <v>4913</v>
      </c>
    </row>
    <row r="2939" spans="1:1">
      <c r="A2939" s="151" t="s">
        <v>4914</v>
      </c>
    </row>
    <row r="2940" spans="1:1">
      <c r="A2940" s="151" t="s">
        <v>4915</v>
      </c>
    </row>
    <row r="2941" spans="1:1">
      <c r="A2941" s="151" t="s">
        <v>4916</v>
      </c>
    </row>
    <row r="2942" spans="1:1">
      <c r="A2942" s="151" t="s">
        <v>4917</v>
      </c>
    </row>
    <row r="2943" spans="1:1">
      <c r="A2943" s="151" t="s">
        <v>4918</v>
      </c>
    </row>
    <row r="2944" spans="1:1">
      <c r="A2944" s="151" t="s">
        <v>4919</v>
      </c>
    </row>
    <row r="2945" spans="1:1">
      <c r="A2945" s="151" t="s">
        <v>4920</v>
      </c>
    </row>
    <row r="2946" spans="1:1">
      <c r="A2946" s="151" t="s">
        <v>4921</v>
      </c>
    </row>
    <row r="2947" spans="1:1">
      <c r="A2947" s="151" t="s">
        <v>4922</v>
      </c>
    </row>
    <row r="2948" spans="1:1">
      <c r="A2948" s="151" t="s">
        <v>4923</v>
      </c>
    </row>
    <row r="2949" spans="1:1">
      <c r="A2949" s="151" t="s">
        <v>4924</v>
      </c>
    </row>
    <row r="2950" spans="1:1">
      <c r="A2950" s="151" t="s">
        <v>4925</v>
      </c>
    </row>
    <row r="2951" spans="1:1">
      <c r="A2951" s="151" t="s">
        <v>4926</v>
      </c>
    </row>
    <row r="2952" spans="1:1">
      <c r="A2952" s="151" t="s">
        <v>4927</v>
      </c>
    </row>
    <row r="2953" spans="1:1">
      <c r="A2953" s="151" t="s">
        <v>4928</v>
      </c>
    </row>
    <row r="2954" spans="1:1">
      <c r="A2954" s="151" t="s">
        <v>4929</v>
      </c>
    </row>
    <row r="2955" spans="1:1">
      <c r="A2955" s="151" t="s">
        <v>4930</v>
      </c>
    </row>
    <row r="2956" spans="1:1">
      <c r="A2956" s="151" t="s">
        <v>4931</v>
      </c>
    </row>
    <row r="2957" spans="1:1">
      <c r="A2957" s="151" t="s">
        <v>4932</v>
      </c>
    </row>
    <row r="2958" spans="1:1">
      <c r="A2958" s="151" t="s">
        <v>4933</v>
      </c>
    </row>
    <row r="2959" spans="1:1">
      <c r="A2959" s="151" t="s">
        <v>4934</v>
      </c>
    </row>
    <row r="2960" spans="1:1">
      <c r="A2960" s="151" t="s">
        <v>4935</v>
      </c>
    </row>
    <row r="2961" spans="1:1">
      <c r="A2961" s="151" t="s">
        <v>4936</v>
      </c>
    </row>
    <row r="2962" spans="1:1">
      <c r="A2962" s="151" t="s">
        <v>4937</v>
      </c>
    </row>
    <row r="2963" spans="1:1">
      <c r="A2963" s="151" t="s">
        <v>4938</v>
      </c>
    </row>
    <row r="2964" spans="1:1">
      <c r="A2964" s="151" t="s">
        <v>4939</v>
      </c>
    </row>
    <row r="2965" spans="1:1">
      <c r="A2965" s="151" t="s">
        <v>4940</v>
      </c>
    </row>
    <row r="2966" spans="1:1">
      <c r="A2966" s="151" t="s">
        <v>4941</v>
      </c>
    </row>
    <row r="2967" spans="1:1">
      <c r="A2967" s="151" t="s">
        <v>4942</v>
      </c>
    </row>
    <row r="2968" spans="1:1">
      <c r="A2968" s="151" t="s">
        <v>4943</v>
      </c>
    </row>
    <row r="2969" spans="1:1">
      <c r="A2969" s="151" t="s">
        <v>4944</v>
      </c>
    </row>
    <row r="2970" spans="1:1">
      <c r="A2970" s="151" t="s">
        <v>4945</v>
      </c>
    </row>
    <row r="2971" spans="1:1">
      <c r="A2971" s="151" t="s">
        <v>4946</v>
      </c>
    </row>
    <row r="2972" spans="1:1">
      <c r="A2972" s="151" t="s">
        <v>4947</v>
      </c>
    </row>
    <row r="2973" spans="1:1">
      <c r="A2973" s="151" t="s">
        <v>4948</v>
      </c>
    </row>
    <row r="2974" spans="1:1">
      <c r="A2974" s="151" t="s">
        <v>4949</v>
      </c>
    </row>
    <row r="2975" spans="1:1">
      <c r="A2975" s="151" t="s">
        <v>4950</v>
      </c>
    </row>
    <row r="2976" spans="1:1">
      <c r="A2976" s="151" t="s">
        <v>4951</v>
      </c>
    </row>
    <row r="2977" spans="1:1">
      <c r="A2977" s="151" t="s">
        <v>4952</v>
      </c>
    </row>
    <row r="2978" spans="1:1">
      <c r="A2978" s="151" t="s">
        <v>4953</v>
      </c>
    </row>
    <row r="2979" spans="1:1">
      <c r="A2979" s="151" t="s">
        <v>4954</v>
      </c>
    </row>
    <row r="2980" spans="1:1">
      <c r="A2980" s="151" t="s">
        <v>4955</v>
      </c>
    </row>
    <row r="2981" spans="1:1">
      <c r="A2981" s="151" t="s">
        <v>4956</v>
      </c>
    </row>
    <row r="2982" spans="1:1">
      <c r="A2982" s="151" t="s">
        <v>4957</v>
      </c>
    </row>
    <row r="2983" spans="1:1">
      <c r="A2983" s="151" t="s">
        <v>4958</v>
      </c>
    </row>
    <row r="2984" spans="1:1">
      <c r="A2984" s="151" t="s">
        <v>4959</v>
      </c>
    </row>
    <row r="2985" spans="1:1">
      <c r="A2985" s="151" t="s">
        <v>4960</v>
      </c>
    </row>
    <row r="2986" spans="1:1">
      <c r="A2986" s="151" t="s">
        <v>4961</v>
      </c>
    </row>
    <row r="2987" spans="1:1">
      <c r="A2987" s="151" t="s">
        <v>4962</v>
      </c>
    </row>
    <row r="2988" spans="1:1">
      <c r="A2988" s="151" t="s">
        <v>4963</v>
      </c>
    </row>
    <row r="2989" spans="1:1">
      <c r="A2989" s="151" t="s">
        <v>4964</v>
      </c>
    </row>
    <row r="2990" spans="1:1">
      <c r="A2990" s="151" t="s">
        <v>4965</v>
      </c>
    </row>
    <row r="2991" spans="1:1">
      <c r="A2991" s="151" t="s">
        <v>4966</v>
      </c>
    </row>
    <row r="2992" spans="1:1">
      <c r="A2992" s="151" t="s">
        <v>4967</v>
      </c>
    </row>
    <row r="2993" spans="1:1">
      <c r="A2993" s="151" t="s">
        <v>4968</v>
      </c>
    </row>
    <row r="2994" spans="1:1">
      <c r="A2994" s="151" t="s">
        <v>4969</v>
      </c>
    </row>
    <row r="2995" spans="1:1">
      <c r="A2995" s="151" t="s">
        <v>4970</v>
      </c>
    </row>
    <row r="2996" spans="1:1">
      <c r="A2996" s="151" t="s">
        <v>4971</v>
      </c>
    </row>
    <row r="2997" spans="1:1">
      <c r="A2997" s="151" t="s">
        <v>4972</v>
      </c>
    </row>
    <row r="2998" spans="1:1">
      <c r="A2998" s="151" t="s">
        <v>4973</v>
      </c>
    </row>
    <row r="2999" spans="1:1">
      <c r="A2999" s="151" t="s">
        <v>4974</v>
      </c>
    </row>
    <row r="3000" spans="1:1">
      <c r="A3000" s="151" t="s">
        <v>4975</v>
      </c>
    </row>
    <row r="3001" spans="1:1">
      <c r="A3001" s="151" t="s">
        <v>4976</v>
      </c>
    </row>
    <row r="3002" spans="1:1">
      <c r="A3002" s="151" t="s">
        <v>4977</v>
      </c>
    </row>
    <row r="3003" spans="1:1">
      <c r="A3003" s="151" t="s">
        <v>4978</v>
      </c>
    </row>
    <row r="3004" spans="1:1">
      <c r="A3004" s="151" t="s">
        <v>4979</v>
      </c>
    </row>
    <row r="3005" spans="1:1">
      <c r="A3005" s="151" t="s">
        <v>4980</v>
      </c>
    </row>
    <row r="3006" spans="1:1">
      <c r="A3006" s="151" t="s">
        <v>4981</v>
      </c>
    </row>
    <row r="3007" spans="1:1">
      <c r="A3007" s="151" t="s">
        <v>4982</v>
      </c>
    </row>
    <row r="3008" spans="1:1">
      <c r="A3008" s="151" t="s">
        <v>4983</v>
      </c>
    </row>
    <row r="3009" spans="1:1">
      <c r="A3009" s="151" t="s">
        <v>4984</v>
      </c>
    </row>
    <row r="3010" spans="1:1">
      <c r="A3010" s="151" t="s">
        <v>4985</v>
      </c>
    </row>
    <row r="3011" spans="1:1">
      <c r="A3011" s="151" t="s">
        <v>4986</v>
      </c>
    </row>
    <row r="3012" spans="1:1">
      <c r="A3012" s="151" t="s">
        <v>4987</v>
      </c>
    </row>
    <row r="3013" spans="1:1">
      <c r="A3013" s="151" t="s">
        <v>4988</v>
      </c>
    </row>
    <row r="3014" spans="1:1">
      <c r="A3014" s="151" t="s">
        <v>4989</v>
      </c>
    </row>
    <row r="3015" spans="1:1">
      <c r="A3015" s="151" t="s">
        <v>4990</v>
      </c>
    </row>
    <row r="3016" spans="1:1">
      <c r="A3016" s="151" t="s">
        <v>4991</v>
      </c>
    </row>
    <row r="3017" spans="1:1">
      <c r="A3017" s="151" t="s">
        <v>4992</v>
      </c>
    </row>
    <row r="3018" spans="1:1">
      <c r="A3018" s="151" t="s">
        <v>4993</v>
      </c>
    </row>
    <row r="3019" spans="1:1">
      <c r="A3019" s="151" t="s">
        <v>4994</v>
      </c>
    </row>
    <row r="3020" spans="1:1">
      <c r="A3020" s="151" t="s">
        <v>4995</v>
      </c>
    </row>
    <row r="3021" spans="1:1">
      <c r="A3021" s="151" t="s">
        <v>4996</v>
      </c>
    </row>
    <row r="3022" spans="1:1">
      <c r="A3022" s="151" t="s">
        <v>4997</v>
      </c>
    </row>
    <row r="3023" spans="1:1">
      <c r="A3023" s="151" t="s">
        <v>4998</v>
      </c>
    </row>
    <row r="3024" spans="1:1">
      <c r="A3024" s="151" t="s">
        <v>4999</v>
      </c>
    </row>
    <row r="3025" spans="1:1">
      <c r="A3025" s="151" t="s">
        <v>5000</v>
      </c>
    </row>
    <row r="3026" spans="1:1">
      <c r="A3026" s="151" t="s">
        <v>5001</v>
      </c>
    </row>
    <row r="3027" spans="1:1">
      <c r="A3027" s="151" t="s">
        <v>5002</v>
      </c>
    </row>
    <row r="3028" spans="1:1">
      <c r="A3028" s="151" t="s">
        <v>5003</v>
      </c>
    </row>
    <row r="3029" spans="1:1">
      <c r="A3029" s="151" t="s">
        <v>5004</v>
      </c>
    </row>
    <row r="3030" spans="1:1">
      <c r="A3030" s="151" t="s">
        <v>5005</v>
      </c>
    </row>
    <row r="3031" spans="1:1">
      <c r="A3031" s="151" t="s">
        <v>5006</v>
      </c>
    </row>
    <row r="3032" spans="1:1">
      <c r="A3032" s="151" t="s">
        <v>5007</v>
      </c>
    </row>
    <row r="3033" spans="1:1">
      <c r="A3033" s="151" t="s">
        <v>5008</v>
      </c>
    </row>
    <row r="3034" spans="1:1">
      <c r="A3034" s="151" t="s">
        <v>5009</v>
      </c>
    </row>
    <row r="3035" spans="1:1">
      <c r="A3035" s="151" t="s">
        <v>5010</v>
      </c>
    </row>
    <row r="3036" spans="1:1">
      <c r="A3036" s="151" t="s">
        <v>5011</v>
      </c>
    </row>
    <row r="3037" spans="1:1">
      <c r="A3037" s="151" t="s">
        <v>5012</v>
      </c>
    </row>
    <row r="3038" spans="1:1">
      <c r="A3038" s="151" t="s">
        <v>5013</v>
      </c>
    </row>
    <row r="3039" spans="1:1">
      <c r="A3039" s="151" t="s">
        <v>5014</v>
      </c>
    </row>
    <row r="3040" spans="1:1">
      <c r="A3040" s="151" t="s">
        <v>5015</v>
      </c>
    </row>
    <row r="3041" spans="1:1">
      <c r="A3041" s="151" t="s">
        <v>5016</v>
      </c>
    </row>
    <row r="3042" spans="1:1">
      <c r="A3042" s="151" t="s">
        <v>5017</v>
      </c>
    </row>
    <row r="3043" spans="1:1">
      <c r="A3043" s="151" t="s">
        <v>5018</v>
      </c>
    </row>
    <row r="3044" spans="1:1">
      <c r="A3044" s="151" t="s">
        <v>5019</v>
      </c>
    </row>
    <row r="3045" spans="1:1">
      <c r="A3045" s="151" t="s">
        <v>5020</v>
      </c>
    </row>
    <row r="3046" spans="1:1">
      <c r="A3046" s="151" t="s">
        <v>5021</v>
      </c>
    </row>
    <row r="3047" spans="1:1">
      <c r="A3047" s="151" t="s">
        <v>5022</v>
      </c>
    </row>
    <row r="3048" spans="1:1">
      <c r="A3048" s="151" t="s">
        <v>5023</v>
      </c>
    </row>
    <row r="3049" spans="1:1">
      <c r="A3049" s="151" t="s">
        <v>5024</v>
      </c>
    </row>
    <row r="3050" spans="1:1">
      <c r="A3050" s="151" t="s">
        <v>5025</v>
      </c>
    </row>
    <row r="3051" spans="1:1">
      <c r="A3051" s="151" t="s">
        <v>5026</v>
      </c>
    </row>
    <row r="3052" spans="1:1">
      <c r="A3052" s="151" t="s">
        <v>5027</v>
      </c>
    </row>
    <row r="3053" spans="1:1">
      <c r="A3053" s="151" t="s">
        <v>5028</v>
      </c>
    </row>
    <row r="3054" spans="1:1">
      <c r="A3054" s="151" t="s">
        <v>5029</v>
      </c>
    </row>
    <row r="3055" spans="1:1">
      <c r="A3055" s="151" t="s">
        <v>5030</v>
      </c>
    </row>
    <row r="3056" spans="1:1">
      <c r="A3056" s="151" t="s">
        <v>5031</v>
      </c>
    </row>
    <row r="3057" spans="1:1">
      <c r="A3057" s="151" t="s">
        <v>5032</v>
      </c>
    </row>
    <row r="3058" spans="1:1">
      <c r="A3058" s="151" t="s">
        <v>5033</v>
      </c>
    </row>
    <row r="3059" spans="1:1">
      <c r="A3059" s="151" t="s">
        <v>5034</v>
      </c>
    </row>
    <row r="3060" spans="1:1">
      <c r="A3060" s="151" t="s">
        <v>5035</v>
      </c>
    </row>
    <row r="3061" spans="1:1">
      <c r="A3061" s="151" t="s">
        <v>5036</v>
      </c>
    </row>
    <row r="3062" spans="1:1">
      <c r="A3062" s="151" t="s">
        <v>5037</v>
      </c>
    </row>
    <row r="3063" spans="1:1">
      <c r="A3063" s="151" t="s">
        <v>5038</v>
      </c>
    </row>
    <row r="3064" spans="1:1">
      <c r="A3064" s="151" t="s">
        <v>5039</v>
      </c>
    </row>
    <row r="3065" spans="1:1">
      <c r="A3065" s="151" t="s">
        <v>5040</v>
      </c>
    </row>
    <row r="3066" spans="1:1">
      <c r="A3066" s="151" t="s">
        <v>5041</v>
      </c>
    </row>
    <row r="3067" spans="1:1">
      <c r="A3067" s="151" t="s">
        <v>5042</v>
      </c>
    </row>
    <row r="3068" spans="1:1">
      <c r="A3068" s="151" t="s">
        <v>5043</v>
      </c>
    </row>
    <row r="3069" spans="1:1">
      <c r="A3069" s="151" t="s">
        <v>5044</v>
      </c>
    </row>
    <row r="3070" spans="1:1">
      <c r="A3070" s="151" t="s">
        <v>5045</v>
      </c>
    </row>
    <row r="3071" spans="1:1">
      <c r="A3071" s="151" t="s">
        <v>5046</v>
      </c>
    </row>
    <row r="3072" spans="1:1">
      <c r="A3072" s="151" t="s">
        <v>5047</v>
      </c>
    </row>
    <row r="3073" spans="1:1">
      <c r="A3073" s="151" t="s">
        <v>5048</v>
      </c>
    </row>
    <row r="3074" spans="1:1">
      <c r="A3074" s="151" t="s">
        <v>5049</v>
      </c>
    </row>
    <row r="3075" spans="1:1">
      <c r="A3075" s="151" t="s">
        <v>5050</v>
      </c>
    </row>
    <row r="3076" spans="1:1">
      <c r="A3076" s="151" t="s">
        <v>5051</v>
      </c>
    </row>
    <row r="3077" spans="1:1">
      <c r="A3077" s="151" t="s">
        <v>5052</v>
      </c>
    </row>
    <row r="3078" spans="1:1">
      <c r="A3078" s="151" t="s">
        <v>5053</v>
      </c>
    </row>
    <row r="3079" spans="1:1">
      <c r="A3079" s="151" t="s">
        <v>5054</v>
      </c>
    </row>
    <row r="3080" spans="1:1">
      <c r="A3080" s="151" t="s">
        <v>5055</v>
      </c>
    </row>
    <row r="3081" spans="1:1">
      <c r="A3081" s="151" t="s">
        <v>5056</v>
      </c>
    </row>
    <row r="3082" spans="1:1">
      <c r="A3082" s="151" t="s">
        <v>5057</v>
      </c>
    </row>
    <row r="3083" spans="1:1">
      <c r="A3083" s="151" t="s">
        <v>5058</v>
      </c>
    </row>
    <row r="3084" spans="1:1">
      <c r="A3084" s="151" t="s">
        <v>5059</v>
      </c>
    </row>
    <row r="3085" spans="1:1">
      <c r="A3085" s="151" t="s">
        <v>5060</v>
      </c>
    </row>
    <row r="3086" spans="1:1">
      <c r="A3086" s="151" t="s">
        <v>5061</v>
      </c>
    </row>
    <row r="3087" spans="1:1">
      <c r="A3087" s="151" t="s">
        <v>5062</v>
      </c>
    </row>
    <row r="3088" spans="1:1">
      <c r="A3088" s="151" t="s">
        <v>5063</v>
      </c>
    </row>
    <row r="3089" spans="1:1">
      <c r="A3089" s="151" t="s">
        <v>5064</v>
      </c>
    </row>
    <row r="3090" spans="1:1">
      <c r="A3090" s="151" t="s">
        <v>5065</v>
      </c>
    </row>
    <row r="3091" spans="1:1">
      <c r="A3091" s="151" t="s">
        <v>5066</v>
      </c>
    </row>
    <row r="3092" spans="1:1">
      <c r="A3092" s="151" t="s">
        <v>5067</v>
      </c>
    </row>
    <row r="3093" spans="1:1">
      <c r="A3093" s="151" t="s">
        <v>5068</v>
      </c>
    </row>
    <row r="3094" spans="1:1">
      <c r="A3094" s="151" t="s">
        <v>5069</v>
      </c>
    </row>
    <row r="3095" spans="1:1">
      <c r="A3095" s="151" t="s">
        <v>5070</v>
      </c>
    </row>
    <row r="3096" spans="1:1">
      <c r="A3096" s="151" t="s">
        <v>5071</v>
      </c>
    </row>
    <row r="3097" spans="1:1">
      <c r="A3097" s="151" t="s">
        <v>5072</v>
      </c>
    </row>
    <row r="3098" spans="1:1">
      <c r="A3098" s="151" t="s">
        <v>5073</v>
      </c>
    </row>
    <row r="3099" spans="1:1">
      <c r="A3099" s="151" t="s">
        <v>5074</v>
      </c>
    </row>
    <row r="3100" spans="1:1">
      <c r="A3100" s="151" t="s">
        <v>5075</v>
      </c>
    </row>
    <row r="3101" spans="1:1">
      <c r="A3101" s="151" t="s">
        <v>5076</v>
      </c>
    </row>
    <row r="3102" spans="1:1">
      <c r="A3102" s="151" t="s">
        <v>5077</v>
      </c>
    </row>
    <row r="3103" spans="1:1">
      <c r="A3103" s="151" t="s">
        <v>5078</v>
      </c>
    </row>
    <row r="3104" spans="1:1">
      <c r="A3104" s="151" t="s">
        <v>5079</v>
      </c>
    </row>
    <row r="3105" spans="1:1">
      <c r="A3105" s="151" t="s">
        <v>5080</v>
      </c>
    </row>
    <row r="3106" spans="1:1">
      <c r="A3106" s="151" t="s">
        <v>5081</v>
      </c>
    </row>
    <row r="3107" spans="1:1">
      <c r="A3107" s="151" t="s">
        <v>5082</v>
      </c>
    </row>
    <row r="3108" spans="1:1">
      <c r="A3108" s="151" t="s">
        <v>5083</v>
      </c>
    </row>
    <row r="3109" spans="1:1">
      <c r="A3109" s="151" t="s">
        <v>5084</v>
      </c>
    </row>
    <row r="3110" spans="1:1">
      <c r="A3110" s="151" t="s">
        <v>5085</v>
      </c>
    </row>
    <row r="3111" spans="1:1">
      <c r="A3111" s="151" t="s">
        <v>5086</v>
      </c>
    </row>
    <row r="3112" spans="1:1">
      <c r="A3112" s="151" t="s">
        <v>5087</v>
      </c>
    </row>
    <row r="3113" spans="1:1">
      <c r="A3113" s="151" t="s">
        <v>5088</v>
      </c>
    </row>
    <row r="3114" spans="1:1">
      <c r="A3114" s="151" t="s">
        <v>5089</v>
      </c>
    </row>
    <row r="3115" spans="1:1">
      <c r="A3115" s="151" t="s">
        <v>5090</v>
      </c>
    </row>
    <row r="3116" spans="1:1">
      <c r="A3116" s="151" t="s">
        <v>5091</v>
      </c>
    </row>
    <row r="3117" spans="1:1">
      <c r="A3117" s="151" t="s">
        <v>5092</v>
      </c>
    </row>
    <row r="3118" spans="1:1">
      <c r="A3118" s="151" t="s">
        <v>5093</v>
      </c>
    </row>
    <row r="3119" spans="1:1">
      <c r="A3119" s="151" t="s">
        <v>5094</v>
      </c>
    </row>
    <row r="3120" spans="1:1">
      <c r="A3120" s="151" t="s">
        <v>5095</v>
      </c>
    </row>
    <row r="3121" spans="1:1">
      <c r="A3121" s="151" t="s">
        <v>5096</v>
      </c>
    </row>
    <row r="3122" spans="1:1">
      <c r="A3122" s="151" t="s">
        <v>5097</v>
      </c>
    </row>
    <row r="3123" spans="1:1">
      <c r="A3123" s="151" t="s">
        <v>5098</v>
      </c>
    </row>
    <row r="3124" spans="1:1">
      <c r="A3124" s="151" t="s">
        <v>5099</v>
      </c>
    </row>
    <row r="3125" spans="1:1">
      <c r="A3125" s="151" t="s">
        <v>5100</v>
      </c>
    </row>
    <row r="3126" spans="1:1">
      <c r="A3126" s="151" t="s">
        <v>5101</v>
      </c>
    </row>
    <row r="3127" spans="1:1">
      <c r="A3127" s="151" t="s">
        <v>5102</v>
      </c>
    </row>
    <row r="3128" spans="1:1">
      <c r="A3128" s="151" t="s">
        <v>5103</v>
      </c>
    </row>
    <row r="3129" spans="1:1">
      <c r="A3129" s="151" t="s">
        <v>5104</v>
      </c>
    </row>
    <row r="3130" spans="1:1">
      <c r="A3130" s="151" t="s">
        <v>5105</v>
      </c>
    </row>
    <row r="3131" spans="1:1">
      <c r="A3131" s="151" t="s">
        <v>5106</v>
      </c>
    </row>
    <row r="3132" spans="1:1">
      <c r="A3132" s="151" t="s">
        <v>5107</v>
      </c>
    </row>
    <row r="3133" spans="1:1">
      <c r="A3133" s="151" t="s">
        <v>5108</v>
      </c>
    </row>
    <row r="3134" spans="1:1">
      <c r="A3134" s="151" t="s">
        <v>5109</v>
      </c>
    </row>
    <row r="3135" spans="1:1">
      <c r="A3135" s="151" t="s">
        <v>5110</v>
      </c>
    </row>
    <row r="3136" spans="1:1">
      <c r="A3136" s="151" t="s">
        <v>5111</v>
      </c>
    </row>
    <row r="3137" spans="1:1">
      <c r="A3137" s="151" t="s">
        <v>5112</v>
      </c>
    </row>
    <row r="3138" spans="1:1">
      <c r="A3138" s="151" t="s">
        <v>5113</v>
      </c>
    </row>
    <row r="3139" spans="1:1">
      <c r="A3139" s="151" t="s">
        <v>5114</v>
      </c>
    </row>
    <row r="3140" spans="1:1">
      <c r="A3140" s="151" t="s">
        <v>5115</v>
      </c>
    </row>
    <row r="3141" spans="1:1">
      <c r="A3141" s="151" t="s">
        <v>5116</v>
      </c>
    </row>
    <row r="3142" spans="1:1">
      <c r="A3142" s="151" t="s">
        <v>5117</v>
      </c>
    </row>
    <row r="3143" spans="1:1">
      <c r="A3143" s="151" t="s">
        <v>5118</v>
      </c>
    </row>
    <row r="3144" spans="1:1">
      <c r="A3144" s="151" t="s">
        <v>5119</v>
      </c>
    </row>
    <row r="3145" spans="1:1">
      <c r="A3145" s="151" t="s">
        <v>5120</v>
      </c>
    </row>
    <row r="3146" spans="1:1">
      <c r="A3146" s="151" t="s">
        <v>5121</v>
      </c>
    </row>
    <row r="3147" spans="1:1">
      <c r="A3147" s="151" t="s">
        <v>5122</v>
      </c>
    </row>
    <row r="3148" spans="1:1">
      <c r="A3148" s="151" t="s">
        <v>5123</v>
      </c>
    </row>
    <row r="3149" spans="1:1">
      <c r="A3149" s="151" t="s">
        <v>5124</v>
      </c>
    </row>
    <row r="3150" spans="1:1">
      <c r="A3150" s="151" t="s">
        <v>5125</v>
      </c>
    </row>
    <row r="3151" spans="1:1">
      <c r="A3151" s="151" t="s">
        <v>5126</v>
      </c>
    </row>
    <row r="3152" spans="1:1">
      <c r="A3152" s="151" t="s">
        <v>5127</v>
      </c>
    </row>
    <row r="3153" spans="1:1">
      <c r="A3153" s="151" t="s">
        <v>5128</v>
      </c>
    </row>
    <row r="3154" spans="1:1">
      <c r="A3154" s="151" t="s">
        <v>5129</v>
      </c>
    </row>
    <row r="3155" spans="1:1">
      <c r="A3155" s="151" t="s">
        <v>5130</v>
      </c>
    </row>
    <row r="3156" spans="1:1">
      <c r="A3156" s="151" t="s">
        <v>5131</v>
      </c>
    </row>
    <row r="3157" spans="1:1">
      <c r="A3157" s="151" t="s">
        <v>5132</v>
      </c>
    </row>
    <row r="3158" spans="1:1">
      <c r="A3158" s="151" t="s">
        <v>5133</v>
      </c>
    </row>
    <row r="3159" spans="1:1">
      <c r="A3159" s="151" t="s">
        <v>5134</v>
      </c>
    </row>
    <row r="3160" spans="1:1">
      <c r="A3160" s="151" t="s">
        <v>5135</v>
      </c>
    </row>
    <row r="3161" spans="1:1">
      <c r="A3161" s="151" t="s">
        <v>5136</v>
      </c>
    </row>
    <row r="3162" spans="1:1">
      <c r="A3162" s="151" t="s">
        <v>5137</v>
      </c>
    </row>
    <row r="3163" spans="1:1">
      <c r="A3163" s="151" t="s">
        <v>5138</v>
      </c>
    </row>
    <row r="3164" spans="1:1">
      <c r="A3164" s="151" t="s">
        <v>5139</v>
      </c>
    </row>
    <row r="3165" spans="1:1">
      <c r="A3165" s="151" t="s">
        <v>5140</v>
      </c>
    </row>
    <row r="3166" spans="1:1">
      <c r="A3166" s="151" t="s">
        <v>5141</v>
      </c>
    </row>
    <row r="3167" spans="1:1">
      <c r="A3167" s="151" t="s">
        <v>5142</v>
      </c>
    </row>
    <row r="3168" spans="1:1">
      <c r="A3168" s="151" t="s">
        <v>5143</v>
      </c>
    </row>
    <row r="3169" spans="1:1">
      <c r="A3169" s="151" t="s">
        <v>5144</v>
      </c>
    </row>
    <row r="3170" spans="1:1">
      <c r="A3170" s="151" t="s">
        <v>5145</v>
      </c>
    </row>
    <row r="3171" spans="1:1">
      <c r="A3171" s="151" t="s">
        <v>5146</v>
      </c>
    </row>
    <row r="3172" spans="1:1">
      <c r="A3172" s="151" t="s">
        <v>5147</v>
      </c>
    </row>
    <row r="3173" spans="1:1">
      <c r="A3173" s="151" t="s">
        <v>5148</v>
      </c>
    </row>
    <row r="3174" spans="1:1">
      <c r="A3174" s="151" t="s">
        <v>5149</v>
      </c>
    </row>
    <row r="3175" spans="1:1">
      <c r="A3175" s="151" t="s">
        <v>5150</v>
      </c>
    </row>
    <row r="3176" spans="1:1">
      <c r="A3176" s="151" t="s">
        <v>5151</v>
      </c>
    </row>
    <row r="3177" spans="1:1">
      <c r="A3177" s="151" t="s">
        <v>5152</v>
      </c>
    </row>
    <row r="3178" spans="1:1">
      <c r="A3178" s="151" t="s">
        <v>5153</v>
      </c>
    </row>
    <row r="3179" spans="1:1">
      <c r="A3179" s="151" t="s">
        <v>5154</v>
      </c>
    </row>
    <row r="3180" spans="1:1">
      <c r="A3180" s="151" t="s">
        <v>5155</v>
      </c>
    </row>
    <row r="3181" spans="1:1">
      <c r="A3181" s="151" t="s">
        <v>5156</v>
      </c>
    </row>
    <row r="3182" spans="1:1">
      <c r="A3182" s="151" t="s">
        <v>5157</v>
      </c>
    </row>
    <row r="3183" spans="1:1">
      <c r="A3183" s="151" t="s">
        <v>5158</v>
      </c>
    </row>
    <row r="3184" spans="1:1">
      <c r="A3184" s="151" t="s">
        <v>5159</v>
      </c>
    </row>
    <row r="3185" spans="1:1">
      <c r="A3185" s="151" t="s">
        <v>5160</v>
      </c>
    </row>
    <row r="3186" spans="1:1">
      <c r="A3186" s="151" t="s">
        <v>5161</v>
      </c>
    </row>
    <row r="3187" spans="1:1">
      <c r="A3187" s="151" t="s">
        <v>5162</v>
      </c>
    </row>
    <row r="3188" spans="1:1">
      <c r="A3188" s="151" t="s">
        <v>5163</v>
      </c>
    </row>
    <row r="3189" spans="1:1">
      <c r="A3189" s="151" t="s">
        <v>5164</v>
      </c>
    </row>
    <row r="3190" spans="1:1">
      <c r="A3190" s="151" t="s">
        <v>5165</v>
      </c>
    </row>
    <row r="3191" spans="1:1">
      <c r="A3191" s="151" t="s">
        <v>5166</v>
      </c>
    </row>
    <row r="3192" spans="1:1">
      <c r="A3192" s="151" t="s">
        <v>5167</v>
      </c>
    </row>
    <row r="3193" spans="1:1">
      <c r="A3193" s="151" t="s">
        <v>5168</v>
      </c>
    </row>
    <row r="3194" spans="1:1">
      <c r="A3194" s="151" t="s">
        <v>5169</v>
      </c>
    </row>
    <row r="3195" spans="1:1">
      <c r="A3195" s="151" t="s">
        <v>5170</v>
      </c>
    </row>
    <row r="3196" spans="1:1">
      <c r="A3196" s="151" t="s">
        <v>5171</v>
      </c>
    </row>
    <row r="3197" spans="1:1">
      <c r="A3197" s="151" t="s">
        <v>5172</v>
      </c>
    </row>
    <row r="3198" spans="1:1">
      <c r="A3198" s="151" t="s">
        <v>5173</v>
      </c>
    </row>
    <row r="3199" spans="1:1">
      <c r="A3199" s="151" t="s">
        <v>5174</v>
      </c>
    </row>
    <row r="3200" spans="1:1">
      <c r="A3200" s="151" t="s">
        <v>5175</v>
      </c>
    </row>
    <row r="3201" spans="1:1">
      <c r="A3201" s="151" t="s">
        <v>5176</v>
      </c>
    </row>
    <row r="3202" spans="1:1">
      <c r="A3202" s="151" t="s">
        <v>5177</v>
      </c>
    </row>
    <row r="3203" spans="1:1">
      <c r="A3203" s="151" t="s">
        <v>5178</v>
      </c>
    </row>
    <row r="3204" spans="1:1">
      <c r="A3204" s="151" t="s">
        <v>5179</v>
      </c>
    </row>
    <row r="3205" spans="1:1">
      <c r="A3205" s="151" t="s">
        <v>5180</v>
      </c>
    </row>
    <row r="3206" spans="1:1">
      <c r="A3206" s="151" t="s">
        <v>5181</v>
      </c>
    </row>
    <row r="3207" spans="1:1">
      <c r="A3207" s="151" t="s">
        <v>5182</v>
      </c>
    </row>
    <row r="3208" spans="1:1">
      <c r="A3208" s="151" t="s">
        <v>5183</v>
      </c>
    </row>
    <row r="3209" spans="1:1">
      <c r="A3209" s="151" t="s">
        <v>5184</v>
      </c>
    </row>
    <row r="3210" spans="1:1">
      <c r="A3210" s="151" t="s">
        <v>5185</v>
      </c>
    </row>
    <row r="3211" spans="1:1">
      <c r="A3211" s="151" t="s">
        <v>5186</v>
      </c>
    </row>
    <row r="3212" spans="1:1">
      <c r="A3212" s="151" t="s">
        <v>5187</v>
      </c>
    </row>
    <row r="3213" spans="1:1">
      <c r="A3213" s="151" t="s">
        <v>5188</v>
      </c>
    </row>
    <row r="3214" spans="1:1">
      <c r="A3214" s="151" t="s">
        <v>5189</v>
      </c>
    </row>
    <row r="3215" spans="1:1">
      <c r="A3215" s="151" t="s">
        <v>5190</v>
      </c>
    </row>
    <row r="3216" spans="1:1">
      <c r="A3216" s="151" t="s">
        <v>5191</v>
      </c>
    </row>
    <row r="3217" spans="1:1">
      <c r="A3217" s="151" t="s">
        <v>5192</v>
      </c>
    </row>
    <row r="3218" spans="1:1">
      <c r="A3218" s="151" t="s">
        <v>5193</v>
      </c>
    </row>
    <row r="3219" spans="1:1">
      <c r="A3219" s="151" t="s">
        <v>5194</v>
      </c>
    </row>
    <row r="3220" spans="1:1">
      <c r="A3220" s="151" t="s">
        <v>5195</v>
      </c>
    </row>
    <row r="3221" spans="1:1">
      <c r="A3221" s="151" t="s">
        <v>5196</v>
      </c>
    </row>
    <row r="3222" spans="1:1">
      <c r="A3222" s="151" t="s">
        <v>5197</v>
      </c>
    </row>
    <row r="3223" spans="1:1">
      <c r="A3223" s="151" t="s">
        <v>5198</v>
      </c>
    </row>
    <row r="3224" spans="1:1">
      <c r="A3224" s="151" t="s">
        <v>5199</v>
      </c>
    </row>
    <row r="3225" spans="1:1">
      <c r="A3225" s="151" t="s">
        <v>5200</v>
      </c>
    </row>
    <row r="3226" spans="1:1">
      <c r="A3226" s="151" t="s">
        <v>5201</v>
      </c>
    </row>
    <row r="3227" spans="1:1">
      <c r="A3227" s="151" t="s">
        <v>5202</v>
      </c>
    </row>
    <row r="3228" spans="1:1">
      <c r="A3228" s="151" t="s">
        <v>5203</v>
      </c>
    </row>
    <row r="3229" spans="1:1">
      <c r="A3229" s="151" t="s">
        <v>5204</v>
      </c>
    </row>
    <row r="3230" spans="1:1">
      <c r="A3230" s="151" t="s">
        <v>5205</v>
      </c>
    </row>
    <row r="3231" spans="1:1">
      <c r="A3231" s="151" t="s">
        <v>5206</v>
      </c>
    </row>
    <row r="3232" spans="1:1">
      <c r="A3232" s="151" t="s">
        <v>5207</v>
      </c>
    </row>
    <row r="3233" spans="1:1">
      <c r="A3233" s="151" t="s">
        <v>5208</v>
      </c>
    </row>
    <row r="3234" spans="1:1">
      <c r="A3234" s="151" t="s">
        <v>5209</v>
      </c>
    </row>
    <row r="3235" spans="1:1">
      <c r="A3235" s="151" t="s">
        <v>5210</v>
      </c>
    </row>
    <row r="3236" spans="1:1">
      <c r="A3236" s="151" t="s">
        <v>5211</v>
      </c>
    </row>
    <row r="3237" spans="1:1">
      <c r="A3237" s="151" t="s">
        <v>5212</v>
      </c>
    </row>
    <row r="3238" spans="1:1">
      <c r="A3238" s="151" t="s">
        <v>5213</v>
      </c>
    </row>
    <row r="3239" spans="1:1">
      <c r="A3239" s="151" t="s">
        <v>5214</v>
      </c>
    </row>
    <row r="3240" spans="1:1">
      <c r="A3240" s="151" t="s">
        <v>5215</v>
      </c>
    </row>
    <row r="3241" spans="1:1">
      <c r="A3241" s="151" t="s">
        <v>5216</v>
      </c>
    </row>
    <row r="3242" spans="1:1">
      <c r="A3242" s="151" t="s">
        <v>5217</v>
      </c>
    </row>
    <row r="3243" spans="1:1">
      <c r="A3243" s="151" t="s">
        <v>5218</v>
      </c>
    </row>
    <row r="3244" spans="1:1">
      <c r="A3244" s="151" t="s">
        <v>5219</v>
      </c>
    </row>
    <row r="3245" spans="1:1">
      <c r="A3245" s="151" t="s">
        <v>5220</v>
      </c>
    </row>
    <row r="3246" spans="1:1">
      <c r="A3246" s="151" t="s">
        <v>5221</v>
      </c>
    </row>
    <row r="3247" spans="1:1">
      <c r="A3247" s="151" t="s">
        <v>5222</v>
      </c>
    </row>
    <row r="3248" spans="1:1">
      <c r="A3248" s="151" t="s">
        <v>5223</v>
      </c>
    </row>
    <row r="3249" spans="1:1">
      <c r="A3249" s="151" t="s">
        <v>5224</v>
      </c>
    </row>
    <row r="3250" spans="1:1">
      <c r="A3250" s="151" t="s">
        <v>5225</v>
      </c>
    </row>
    <row r="3251" spans="1:1">
      <c r="A3251" s="151" t="s">
        <v>5226</v>
      </c>
    </row>
    <row r="3252" spans="1:1">
      <c r="A3252" s="151" t="s">
        <v>5227</v>
      </c>
    </row>
    <row r="3253" spans="1:1">
      <c r="A3253" s="151" t="s">
        <v>5228</v>
      </c>
    </row>
    <row r="3254" spans="1:1">
      <c r="A3254" s="151" t="s">
        <v>5229</v>
      </c>
    </row>
    <row r="3255" spans="1:1">
      <c r="A3255" s="151" t="s">
        <v>5230</v>
      </c>
    </row>
    <row r="3256" spans="1:1">
      <c r="A3256" s="151" t="s">
        <v>5231</v>
      </c>
    </row>
    <row r="3257" spans="1:1">
      <c r="A3257" s="151" t="s">
        <v>5232</v>
      </c>
    </row>
    <row r="3258" spans="1:1">
      <c r="A3258" s="151" t="s">
        <v>5233</v>
      </c>
    </row>
    <row r="3259" spans="1:1">
      <c r="A3259" s="151" t="s">
        <v>5234</v>
      </c>
    </row>
    <row r="3260" spans="1:1">
      <c r="A3260" s="151" t="s">
        <v>5235</v>
      </c>
    </row>
    <row r="3261" spans="1:1">
      <c r="A3261" s="151" t="s">
        <v>5236</v>
      </c>
    </row>
    <row r="3262" spans="1:1">
      <c r="A3262" s="151" t="s">
        <v>5237</v>
      </c>
    </row>
    <row r="3263" spans="1:1">
      <c r="A3263" s="151" t="s">
        <v>5238</v>
      </c>
    </row>
    <row r="3264" spans="1:1">
      <c r="A3264" s="151" t="s">
        <v>5239</v>
      </c>
    </row>
    <row r="3265" spans="1:1">
      <c r="A3265" s="151" t="s">
        <v>5240</v>
      </c>
    </row>
    <row r="3266" spans="1:1">
      <c r="A3266" s="151" t="s">
        <v>5241</v>
      </c>
    </row>
    <row r="3267" spans="1:1">
      <c r="A3267" s="151" t="s">
        <v>5242</v>
      </c>
    </row>
    <row r="3268" spans="1:1">
      <c r="A3268" s="151" t="s">
        <v>5243</v>
      </c>
    </row>
    <row r="3269" spans="1:1">
      <c r="A3269" s="151" t="s">
        <v>5244</v>
      </c>
    </row>
    <row r="3270" spans="1:1">
      <c r="A3270" s="151" t="s">
        <v>5245</v>
      </c>
    </row>
    <row r="3271" spans="1:1">
      <c r="A3271" s="151" t="s">
        <v>5246</v>
      </c>
    </row>
    <row r="3272" spans="1:1">
      <c r="A3272" s="151" t="s">
        <v>5247</v>
      </c>
    </row>
    <row r="3273" spans="1:1">
      <c r="A3273" s="151" t="s">
        <v>5248</v>
      </c>
    </row>
    <row r="3274" spans="1:1">
      <c r="A3274" s="151" t="s">
        <v>5249</v>
      </c>
    </row>
    <row r="3275" spans="1:1">
      <c r="A3275" s="151" t="s">
        <v>5250</v>
      </c>
    </row>
    <row r="3276" spans="1:1">
      <c r="A3276" s="151" t="s">
        <v>5251</v>
      </c>
    </row>
    <row r="3277" spans="1:1">
      <c r="A3277" s="151" t="s">
        <v>5252</v>
      </c>
    </row>
    <row r="3278" spans="1:1">
      <c r="A3278" s="151" t="s">
        <v>5253</v>
      </c>
    </row>
    <row r="3279" spans="1:1">
      <c r="A3279" s="151" t="s">
        <v>5254</v>
      </c>
    </row>
    <row r="3280" spans="1:1">
      <c r="A3280" s="151" t="s">
        <v>5255</v>
      </c>
    </row>
    <row r="3281" spans="1:1">
      <c r="A3281" s="151" t="s">
        <v>5256</v>
      </c>
    </row>
    <row r="3282" spans="1:1">
      <c r="A3282" s="151" t="s">
        <v>5257</v>
      </c>
    </row>
    <row r="3283" spans="1:1">
      <c r="A3283" s="151" t="s">
        <v>5258</v>
      </c>
    </row>
    <row r="3284" spans="1:1">
      <c r="A3284" s="151" t="s">
        <v>5259</v>
      </c>
    </row>
    <row r="3285" spans="1:1">
      <c r="A3285" s="151" t="s">
        <v>5260</v>
      </c>
    </row>
    <row r="3286" spans="1:1">
      <c r="A3286" s="151" t="s">
        <v>5261</v>
      </c>
    </row>
    <row r="3287" spans="1:1">
      <c r="A3287" s="151" t="s">
        <v>5262</v>
      </c>
    </row>
    <row r="3288" spans="1:1">
      <c r="A3288" s="151" t="s">
        <v>5263</v>
      </c>
    </row>
    <row r="3289" spans="1:1">
      <c r="A3289" s="151" t="s">
        <v>5264</v>
      </c>
    </row>
    <row r="3290" spans="1:1">
      <c r="A3290" s="151" t="s">
        <v>5265</v>
      </c>
    </row>
    <row r="3291" spans="1:1">
      <c r="A3291" s="151" t="s">
        <v>5266</v>
      </c>
    </row>
    <row r="3292" spans="1:1">
      <c r="A3292" s="151" t="s">
        <v>5267</v>
      </c>
    </row>
    <row r="3293" spans="1:1">
      <c r="A3293" s="151" t="s">
        <v>5268</v>
      </c>
    </row>
    <row r="3294" spans="1:1">
      <c r="A3294" s="151" t="s">
        <v>5269</v>
      </c>
    </row>
    <row r="3295" spans="1:1">
      <c r="A3295" s="151" t="s">
        <v>5270</v>
      </c>
    </row>
    <row r="3296" spans="1:1">
      <c r="A3296" s="151" t="s">
        <v>5271</v>
      </c>
    </row>
    <row r="3297" spans="1:1">
      <c r="A3297" s="151" t="s">
        <v>5272</v>
      </c>
    </row>
    <row r="3298" spans="1:1">
      <c r="A3298" s="151" t="s">
        <v>5273</v>
      </c>
    </row>
    <row r="3299" spans="1:1">
      <c r="A3299" s="151" t="s">
        <v>5274</v>
      </c>
    </row>
    <row r="3300" spans="1:1">
      <c r="A3300" s="151" t="s">
        <v>5275</v>
      </c>
    </row>
    <row r="3301" spans="1:1">
      <c r="A3301" s="151" t="s">
        <v>5276</v>
      </c>
    </row>
    <row r="3302" spans="1:1">
      <c r="A3302" s="151" t="s">
        <v>5277</v>
      </c>
    </row>
    <row r="3303" spans="1:1">
      <c r="A3303" s="151" t="s">
        <v>5278</v>
      </c>
    </row>
    <row r="3304" spans="1:1">
      <c r="A3304" s="151" t="s">
        <v>5279</v>
      </c>
    </row>
    <row r="3305" spans="1:1">
      <c r="A3305" s="151" t="s">
        <v>5280</v>
      </c>
    </row>
    <row r="3306" spans="1:1">
      <c r="A3306" s="151" t="s">
        <v>5281</v>
      </c>
    </row>
    <row r="3307" spans="1:1">
      <c r="A3307" s="151" t="s">
        <v>5282</v>
      </c>
    </row>
    <row r="3308" spans="1:1">
      <c r="A3308" s="151" t="s">
        <v>5283</v>
      </c>
    </row>
    <row r="3309" spans="1:1">
      <c r="A3309" s="151" t="s">
        <v>5284</v>
      </c>
    </row>
    <row r="3310" spans="1:1">
      <c r="A3310" s="151" t="s">
        <v>5285</v>
      </c>
    </row>
    <row r="3311" spans="1:1">
      <c r="A3311" s="151" t="s">
        <v>5286</v>
      </c>
    </row>
    <row r="3312" spans="1:1">
      <c r="A3312" s="151" t="s">
        <v>5287</v>
      </c>
    </row>
    <row r="3313" spans="1:1">
      <c r="A3313" s="151" t="s">
        <v>5288</v>
      </c>
    </row>
    <row r="3314" spans="1:1">
      <c r="A3314" s="151" t="s">
        <v>5289</v>
      </c>
    </row>
    <row r="3315" spans="1:1">
      <c r="A3315" s="151" t="s">
        <v>5290</v>
      </c>
    </row>
    <row r="3316" spans="1:1">
      <c r="A3316" s="151" t="s">
        <v>5291</v>
      </c>
    </row>
    <row r="3317" spans="1:1">
      <c r="A3317" s="151" t="s">
        <v>5292</v>
      </c>
    </row>
    <row r="3318" spans="1:1">
      <c r="A3318" s="151" t="s">
        <v>5293</v>
      </c>
    </row>
    <row r="3319" spans="1:1">
      <c r="A3319" s="151" t="s">
        <v>5294</v>
      </c>
    </row>
    <row r="3320" spans="1:1">
      <c r="A3320" s="151" t="s">
        <v>5295</v>
      </c>
    </row>
    <row r="3321" spans="1:1">
      <c r="A3321" s="151" t="s">
        <v>5296</v>
      </c>
    </row>
    <row r="3322" spans="1:1">
      <c r="A3322" s="151" t="s">
        <v>5297</v>
      </c>
    </row>
    <row r="3323" spans="1:1">
      <c r="A3323" s="151" t="s">
        <v>5298</v>
      </c>
    </row>
    <row r="3324" spans="1:1">
      <c r="A3324" s="151" t="s">
        <v>5299</v>
      </c>
    </row>
    <row r="3325" spans="1:1">
      <c r="A3325" s="151" t="s">
        <v>5300</v>
      </c>
    </row>
    <row r="3326" spans="1:1">
      <c r="A3326" s="151" t="s">
        <v>5301</v>
      </c>
    </row>
    <row r="3327" spans="1:1">
      <c r="A3327" s="151" t="s">
        <v>5302</v>
      </c>
    </row>
    <row r="3328" spans="1:1">
      <c r="A3328" s="151" t="s">
        <v>5303</v>
      </c>
    </row>
    <row r="3329" spans="1:1">
      <c r="A3329" s="151" t="s">
        <v>5304</v>
      </c>
    </row>
    <row r="3330" spans="1:1">
      <c r="A3330" s="151" t="s">
        <v>5305</v>
      </c>
    </row>
    <row r="3331" spans="1:1">
      <c r="A3331" s="151" t="s">
        <v>5306</v>
      </c>
    </row>
    <row r="3332" spans="1:1">
      <c r="A3332" s="151" t="s">
        <v>5307</v>
      </c>
    </row>
    <row r="3333" spans="1:1">
      <c r="A3333" s="151" t="s">
        <v>5308</v>
      </c>
    </row>
    <row r="3334" spans="1:1">
      <c r="A3334" s="151" t="s">
        <v>5309</v>
      </c>
    </row>
    <row r="3335" spans="1:1">
      <c r="A3335" s="151" t="s">
        <v>5310</v>
      </c>
    </row>
    <row r="3336" spans="1:1">
      <c r="A3336" s="151" t="s">
        <v>5311</v>
      </c>
    </row>
    <row r="3337" spans="1:1">
      <c r="A3337" s="151" t="s">
        <v>5312</v>
      </c>
    </row>
    <row r="3338" spans="1:1">
      <c r="A3338" s="151" t="s">
        <v>5313</v>
      </c>
    </row>
    <row r="3339" spans="1:1">
      <c r="A3339" s="151" t="s">
        <v>5314</v>
      </c>
    </row>
    <row r="3340" spans="1:1">
      <c r="A3340" s="151" t="s">
        <v>5315</v>
      </c>
    </row>
    <row r="3341" spans="1:1">
      <c r="A3341" s="151" t="s">
        <v>5316</v>
      </c>
    </row>
    <row r="3342" spans="1:1">
      <c r="A3342" s="151" t="s">
        <v>5317</v>
      </c>
    </row>
    <row r="3343" spans="1:1">
      <c r="A3343" s="151" t="s">
        <v>5318</v>
      </c>
    </row>
    <row r="3344" spans="1:1">
      <c r="A3344" s="151" t="s">
        <v>5319</v>
      </c>
    </row>
    <row r="3345" spans="1:1">
      <c r="A3345" s="151" t="s">
        <v>5320</v>
      </c>
    </row>
    <row r="3346" spans="1:1">
      <c r="A3346" s="151" t="s">
        <v>5321</v>
      </c>
    </row>
    <row r="3347" spans="1:1">
      <c r="A3347" s="151" t="s">
        <v>5322</v>
      </c>
    </row>
    <row r="3348" spans="1:1">
      <c r="A3348" s="151" t="s">
        <v>5323</v>
      </c>
    </row>
    <row r="3349" spans="1:1">
      <c r="A3349" s="151" t="s">
        <v>5324</v>
      </c>
    </row>
    <row r="3350" spans="1:1">
      <c r="A3350" s="151" t="s">
        <v>5325</v>
      </c>
    </row>
    <row r="3351" spans="1:1">
      <c r="A3351" s="151" t="s">
        <v>5326</v>
      </c>
    </row>
    <row r="3352" spans="1:1">
      <c r="A3352" s="151" t="s">
        <v>5327</v>
      </c>
    </row>
    <row r="3353" spans="1:1">
      <c r="A3353" s="151" t="s">
        <v>5328</v>
      </c>
    </row>
    <row r="3354" spans="1:1">
      <c r="A3354" s="151" t="s">
        <v>5329</v>
      </c>
    </row>
    <row r="3355" spans="1:1">
      <c r="A3355" s="151" t="s">
        <v>5330</v>
      </c>
    </row>
    <row r="3356" spans="1:1">
      <c r="A3356" s="151" t="s">
        <v>5331</v>
      </c>
    </row>
    <row r="3357" spans="1:1">
      <c r="A3357" s="151" t="s">
        <v>5332</v>
      </c>
    </row>
    <row r="3358" spans="1:1">
      <c r="A3358" s="151" t="s">
        <v>5333</v>
      </c>
    </row>
    <row r="3359" spans="1:1">
      <c r="A3359" s="151" t="s">
        <v>5334</v>
      </c>
    </row>
    <row r="3360" spans="1:1">
      <c r="A3360" s="151" t="s">
        <v>5335</v>
      </c>
    </row>
    <row r="3361" spans="1:1">
      <c r="A3361" s="151" t="s">
        <v>5336</v>
      </c>
    </row>
    <row r="3362" spans="1:1">
      <c r="A3362" s="151" t="s">
        <v>5337</v>
      </c>
    </row>
    <row r="3363" spans="1:1">
      <c r="A3363" s="151" t="s">
        <v>5338</v>
      </c>
    </row>
    <row r="3364" spans="1:1">
      <c r="A3364" s="151" t="s">
        <v>5339</v>
      </c>
    </row>
    <row r="3365" spans="1:1">
      <c r="A3365" s="151" t="s">
        <v>5340</v>
      </c>
    </row>
    <row r="3366" spans="1:1">
      <c r="A3366" s="151" t="s">
        <v>5341</v>
      </c>
    </row>
    <row r="3367" spans="1:1">
      <c r="A3367" s="151" t="s">
        <v>5342</v>
      </c>
    </row>
    <row r="3368" spans="1:1">
      <c r="A3368" s="151" t="s">
        <v>5343</v>
      </c>
    </row>
    <row r="3369" spans="1:1">
      <c r="A3369" s="151" t="s">
        <v>5344</v>
      </c>
    </row>
    <row r="3370" spans="1:1">
      <c r="A3370" s="151" t="s">
        <v>5345</v>
      </c>
    </row>
    <row r="3371" spans="1:1">
      <c r="A3371" s="151" t="s">
        <v>5346</v>
      </c>
    </row>
    <row r="3372" spans="1:1">
      <c r="A3372" s="151" t="s">
        <v>5347</v>
      </c>
    </row>
    <row r="3373" spans="1:1">
      <c r="A3373" s="151" t="s">
        <v>5348</v>
      </c>
    </row>
    <row r="3374" spans="1:1">
      <c r="A3374" s="151" t="s">
        <v>5349</v>
      </c>
    </row>
    <row r="3375" spans="1:1">
      <c r="A3375" s="151" t="s">
        <v>5350</v>
      </c>
    </row>
    <row r="3376" spans="1:1">
      <c r="A3376" s="151" t="s">
        <v>5351</v>
      </c>
    </row>
    <row r="3377" spans="1:1">
      <c r="A3377" s="151" t="s">
        <v>5352</v>
      </c>
    </row>
    <row r="3378" spans="1:1">
      <c r="A3378" s="151" t="s">
        <v>5353</v>
      </c>
    </row>
    <row r="3379" spans="1:1">
      <c r="A3379" s="151" t="s">
        <v>5354</v>
      </c>
    </row>
    <row r="3380" spans="1:1">
      <c r="A3380" s="151" t="s">
        <v>5355</v>
      </c>
    </row>
    <row r="3381" spans="1:1">
      <c r="A3381" s="151" t="s">
        <v>5356</v>
      </c>
    </row>
    <row r="3382" spans="1:1">
      <c r="A3382" s="151" t="s">
        <v>5357</v>
      </c>
    </row>
    <row r="3383" spans="1:1">
      <c r="A3383" s="151" t="s">
        <v>5358</v>
      </c>
    </row>
    <row r="3384" spans="1:1">
      <c r="A3384" s="151" t="s">
        <v>5359</v>
      </c>
    </row>
    <row r="3385" spans="1:1">
      <c r="A3385" s="151" t="s">
        <v>5360</v>
      </c>
    </row>
    <row r="3386" spans="1:1">
      <c r="A3386" s="151" t="s">
        <v>5361</v>
      </c>
    </row>
    <row r="3387" spans="1:1">
      <c r="A3387" s="151" t="s">
        <v>5362</v>
      </c>
    </row>
    <row r="3388" spans="1:1">
      <c r="A3388" s="151" t="s">
        <v>5363</v>
      </c>
    </row>
    <row r="3389" spans="1:1">
      <c r="A3389" s="151" t="s">
        <v>5364</v>
      </c>
    </row>
    <row r="3390" spans="1:1">
      <c r="A3390" s="151" t="s">
        <v>5365</v>
      </c>
    </row>
    <row r="3391" spans="1:1">
      <c r="A3391" s="151" t="s">
        <v>5366</v>
      </c>
    </row>
    <row r="3392" spans="1:1">
      <c r="A3392" s="151" t="s">
        <v>5367</v>
      </c>
    </row>
    <row r="3393" spans="1:1">
      <c r="A3393" s="151" t="s">
        <v>5368</v>
      </c>
    </row>
    <row r="3394" spans="1:1">
      <c r="A3394" s="151" t="s">
        <v>5369</v>
      </c>
    </row>
    <row r="3395" spans="1:1">
      <c r="A3395" s="151" t="s">
        <v>5370</v>
      </c>
    </row>
    <row r="3396" spans="1:1">
      <c r="A3396" s="151" t="s">
        <v>5371</v>
      </c>
    </row>
    <row r="3397" spans="1:1">
      <c r="A3397" s="151" t="s">
        <v>5372</v>
      </c>
    </row>
    <row r="3398" spans="1:1">
      <c r="A3398" s="151" t="s">
        <v>5373</v>
      </c>
    </row>
    <row r="3399" spans="1:1">
      <c r="A3399" s="151" t="s">
        <v>5374</v>
      </c>
    </row>
    <row r="3400" spans="1:1">
      <c r="A3400" s="151" t="s">
        <v>5375</v>
      </c>
    </row>
    <row r="3401" spans="1:1">
      <c r="A3401" s="151" t="s">
        <v>5376</v>
      </c>
    </row>
    <row r="3402" spans="1:1">
      <c r="A3402" s="151" t="s">
        <v>5377</v>
      </c>
    </row>
    <row r="3403" spans="1:1">
      <c r="A3403" s="151" t="s">
        <v>5378</v>
      </c>
    </row>
    <row r="3404" spans="1:1">
      <c r="A3404" s="151" t="s">
        <v>5379</v>
      </c>
    </row>
    <row r="3405" spans="1:1">
      <c r="A3405" s="151" t="s">
        <v>5380</v>
      </c>
    </row>
    <row r="3406" spans="1:1">
      <c r="A3406" s="151" t="s">
        <v>5381</v>
      </c>
    </row>
    <row r="3407" spans="1:1">
      <c r="A3407" s="151" t="s">
        <v>5382</v>
      </c>
    </row>
    <row r="3408" spans="1:1">
      <c r="A3408" s="151" t="s">
        <v>5383</v>
      </c>
    </row>
    <row r="3409" spans="1:1">
      <c r="A3409" s="151" t="s">
        <v>5384</v>
      </c>
    </row>
    <row r="3410" spans="1:1">
      <c r="A3410" s="151" t="s">
        <v>5385</v>
      </c>
    </row>
    <row r="3411" spans="1:1">
      <c r="A3411" s="151" t="s">
        <v>5386</v>
      </c>
    </row>
    <row r="3412" spans="1:1">
      <c r="A3412" s="151" t="s">
        <v>5387</v>
      </c>
    </row>
    <row r="3413" spans="1:1">
      <c r="A3413" s="151" t="s">
        <v>5388</v>
      </c>
    </row>
    <row r="3414" spans="1:1">
      <c r="A3414" s="151" t="s">
        <v>5389</v>
      </c>
    </row>
    <row r="3415" spans="1:1">
      <c r="A3415" s="151" t="s">
        <v>5390</v>
      </c>
    </row>
    <row r="3416" spans="1:1">
      <c r="A3416" s="151" t="s">
        <v>5391</v>
      </c>
    </row>
    <row r="3417" spans="1:1">
      <c r="A3417" s="151" t="s">
        <v>5392</v>
      </c>
    </row>
    <row r="3418" spans="1:1">
      <c r="A3418" s="151" t="s">
        <v>5393</v>
      </c>
    </row>
    <row r="3419" spans="1:1">
      <c r="A3419" s="151" t="s">
        <v>5394</v>
      </c>
    </row>
    <row r="3420" spans="1:1">
      <c r="A3420" s="151" t="s">
        <v>5395</v>
      </c>
    </row>
    <row r="3421" spans="1:1">
      <c r="A3421" s="151" t="s">
        <v>5396</v>
      </c>
    </row>
    <row r="3422" spans="1:1">
      <c r="A3422" s="151" t="s">
        <v>5397</v>
      </c>
    </row>
    <row r="3423" spans="1:1">
      <c r="A3423" s="151" t="s">
        <v>5398</v>
      </c>
    </row>
    <row r="3424" spans="1:1">
      <c r="A3424" s="151" t="s">
        <v>5399</v>
      </c>
    </row>
    <row r="3425" spans="1:1">
      <c r="A3425" s="151" t="s">
        <v>5400</v>
      </c>
    </row>
    <row r="3426" spans="1:1">
      <c r="A3426" s="151" t="s">
        <v>5401</v>
      </c>
    </row>
    <row r="3427" spans="1:1">
      <c r="A3427" s="151" t="s">
        <v>5402</v>
      </c>
    </row>
    <row r="3428" spans="1:1">
      <c r="A3428" s="151" t="s">
        <v>5403</v>
      </c>
    </row>
    <row r="3429" spans="1:1">
      <c r="A3429" s="151" t="s">
        <v>5404</v>
      </c>
    </row>
    <row r="3430" spans="1:1">
      <c r="A3430" s="151" t="s">
        <v>5405</v>
      </c>
    </row>
    <row r="3431" spans="1:1">
      <c r="A3431" s="151" t="s">
        <v>5406</v>
      </c>
    </row>
    <row r="3432" spans="1:1">
      <c r="A3432" s="151" t="s">
        <v>5407</v>
      </c>
    </row>
    <row r="3433" spans="1:1">
      <c r="A3433" s="151" t="s">
        <v>5408</v>
      </c>
    </row>
    <row r="3434" spans="1:1">
      <c r="A3434" s="151" t="s">
        <v>5409</v>
      </c>
    </row>
    <row r="3435" spans="1:1">
      <c r="A3435" s="151" t="s">
        <v>5410</v>
      </c>
    </row>
    <row r="3436" spans="1:1">
      <c r="A3436" s="151" t="s">
        <v>5411</v>
      </c>
    </row>
    <row r="3437" spans="1:1">
      <c r="A3437" s="151" t="s">
        <v>5412</v>
      </c>
    </row>
    <row r="3438" spans="1:1">
      <c r="A3438" s="151" t="s">
        <v>5413</v>
      </c>
    </row>
    <row r="3439" spans="1:1">
      <c r="A3439" s="151" t="s">
        <v>5414</v>
      </c>
    </row>
    <row r="3440" spans="1:1">
      <c r="A3440" s="151" t="s">
        <v>5415</v>
      </c>
    </row>
    <row r="3441" spans="1:1">
      <c r="A3441" s="151" t="s">
        <v>5416</v>
      </c>
    </row>
    <row r="3442" spans="1:1">
      <c r="A3442" s="151" t="s">
        <v>5417</v>
      </c>
    </row>
    <row r="3443" spans="1:1">
      <c r="A3443" s="151" t="s">
        <v>5418</v>
      </c>
    </row>
    <row r="3444" spans="1:1">
      <c r="A3444" s="151" t="s">
        <v>5419</v>
      </c>
    </row>
    <row r="3445" spans="1:1">
      <c r="A3445" s="151" t="s">
        <v>5420</v>
      </c>
    </row>
    <row r="3446" spans="1:1">
      <c r="A3446" s="151" t="s">
        <v>5421</v>
      </c>
    </row>
    <row r="3447" spans="1:1">
      <c r="A3447" s="151" t="s">
        <v>5422</v>
      </c>
    </row>
    <row r="3448" spans="1:1">
      <c r="A3448" s="151" t="s">
        <v>5423</v>
      </c>
    </row>
    <row r="3449" spans="1:1">
      <c r="A3449" s="151" t="s">
        <v>5424</v>
      </c>
    </row>
    <row r="3450" spans="1:1">
      <c r="A3450" s="151" t="s">
        <v>5425</v>
      </c>
    </row>
    <row r="3451" spans="1:1">
      <c r="A3451" s="151" t="s">
        <v>5426</v>
      </c>
    </row>
    <row r="3452" spans="1:1">
      <c r="A3452" s="151" t="s">
        <v>5427</v>
      </c>
    </row>
    <row r="3453" spans="1:1">
      <c r="A3453" s="151" t="s">
        <v>5428</v>
      </c>
    </row>
    <row r="3454" spans="1:1">
      <c r="A3454" s="151" t="s">
        <v>5429</v>
      </c>
    </row>
    <row r="3455" spans="1:1">
      <c r="A3455" s="151" t="s">
        <v>5430</v>
      </c>
    </row>
    <row r="3456" spans="1:1">
      <c r="A3456" s="151" t="s">
        <v>5431</v>
      </c>
    </row>
    <row r="3457" spans="1:1">
      <c r="A3457" s="151" t="s">
        <v>5432</v>
      </c>
    </row>
    <row r="3458" spans="1:1">
      <c r="A3458" s="151" t="s">
        <v>5433</v>
      </c>
    </row>
    <row r="3459" spans="1:1">
      <c r="A3459" s="151" t="s">
        <v>5434</v>
      </c>
    </row>
    <row r="3460" spans="1:1">
      <c r="A3460" s="151" t="s">
        <v>5435</v>
      </c>
    </row>
    <row r="3461" spans="1:1">
      <c r="A3461" s="151" t="s">
        <v>5436</v>
      </c>
    </row>
    <row r="3462" spans="1:1">
      <c r="A3462" s="151" t="s">
        <v>5437</v>
      </c>
    </row>
    <row r="3463" spans="1:1">
      <c r="A3463" s="151" t="s">
        <v>5438</v>
      </c>
    </row>
    <row r="3464" spans="1:1">
      <c r="A3464" s="151" t="s">
        <v>5439</v>
      </c>
    </row>
    <row r="3465" spans="1:1">
      <c r="A3465" s="151" t="s">
        <v>5440</v>
      </c>
    </row>
    <row r="3466" spans="1:1">
      <c r="A3466" s="151" t="s">
        <v>5441</v>
      </c>
    </row>
    <row r="3467" spans="1:1">
      <c r="A3467" s="151" t="s">
        <v>5442</v>
      </c>
    </row>
    <row r="3468" spans="1:1">
      <c r="A3468" s="151" t="s">
        <v>5443</v>
      </c>
    </row>
    <row r="3469" spans="1:1">
      <c r="A3469" s="151" t="s">
        <v>5444</v>
      </c>
    </row>
    <row r="3470" spans="1:1">
      <c r="A3470" s="151" t="s">
        <v>5445</v>
      </c>
    </row>
    <row r="3471" spans="1:1">
      <c r="A3471" s="151" t="s">
        <v>5446</v>
      </c>
    </row>
    <row r="3472" spans="1:1">
      <c r="A3472" s="151" t="s">
        <v>5447</v>
      </c>
    </row>
    <row r="3473" spans="1:1">
      <c r="A3473" s="151" t="s">
        <v>5448</v>
      </c>
    </row>
    <row r="3474" spans="1:1">
      <c r="A3474" s="151" t="s">
        <v>5449</v>
      </c>
    </row>
    <row r="3475" spans="1:1">
      <c r="A3475" s="151" t="s">
        <v>5450</v>
      </c>
    </row>
    <row r="3476" spans="1:1">
      <c r="A3476" s="151" t="s">
        <v>5451</v>
      </c>
    </row>
    <row r="3477" spans="1:1">
      <c r="A3477" s="151" t="s">
        <v>5452</v>
      </c>
    </row>
    <row r="3478" spans="1:1">
      <c r="A3478" s="151" t="s">
        <v>5453</v>
      </c>
    </row>
    <row r="3479" spans="1:1">
      <c r="A3479" s="151" t="s">
        <v>5454</v>
      </c>
    </row>
    <row r="3480" spans="1:1">
      <c r="A3480" s="151" t="s">
        <v>5455</v>
      </c>
    </row>
    <row r="3481" spans="1:1">
      <c r="A3481" s="151" t="s">
        <v>5456</v>
      </c>
    </row>
    <row r="3482" spans="1:1">
      <c r="A3482" s="151" t="s">
        <v>5457</v>
      </c>
    </row>
    <row r="3483" spans="1:1">
      <c r="A3483" s="151" t="s">
        <v>5458</v>
      </c>
    </row>
    <row r="3484" spans="1:1">
      <c r="A3484" s="151" t="s">
        <v>5459</v>
      </c>
    </row>
    <row r="3485" spans="1:1">
      <c r="A3485" s="151" t="s">
        <v>5460</v>
      </c>
    </row>
    <row r="3486" spans="1:1">
      <c r="A3486" s="151" t="s">
        <v>5461</v>
      </c>
    </row>
    <row r="3487" spans="1:1">
      <c r="A3487" s="151" t="s">
        <v>5462</v>
      </c>
    </row>
    <row r="3488" spans="1:1">
      <c r="A3488" s="151" t="s">
        <v>5463</v>
      </c>
    </row>
    <row r="3489" spans="1:1">
      <c r="A3489" s="151" t="s">
        <v>5464</v>
      </c>
    </row>
    <row r="3490" spans="1:1">
      <c r="A3490" s="151" t="s">
        <v>5465</v>
      </c>
    </row>
    <row r="3491" spans="1:1">
      <c r="A3491" s="151" t="s">
        <v>5466</v>
      </c>
    </row>
    <row r="3492" spans="1:1">
      <c r="A3492" s="151" t="s">
        <v>5467</v>
      </c>
    </row>
    <row r="3493" spans="1:1">
      <c r="A3493" s="151" t="s">
        <v>5468</v>
      </c>
    </row>
    <row r="3494" spans="1:1">
      <c r="A3494" s="151" t="s">
        <v>5469</v>
      </c>
    </row>
    <row r="3495" spans="1:1">
      <c r="A3495" s="151" t="s">
        <v>5470</v>
      </c>
    </row>
    <row r="3496" spans="1:1">
      <c r="A3496" s="151" t="s">
        <v>5471</v>
      </c>
    </row>
    <row r="3497" spans="1:1">
      <c r="A3497" s="151" t="s">
        <v>5472</v>
      </c>
    </row>
    <row r="3498" spans="1:1">
      <c r="A3498" s="151" t="s">
        <v>5473</v>
      </c>
    </row>
    <row r="3499" spans="1:1">
      <c r="A3499" s="151" t="s">
        <v>5474</v>
      </c>
    </row>
    <row r="3500" spans="1:1">
      <c r="A3500" s="151" t="s">
        <v>5475</v>
      </c>
    </row>
    <row r="3501" spans="1:1">
      <c r="A3501" s="151" t="s">
        <v>5476</v>
      </c>
    </row>
    <row r="3502" spans="1:1">
      <c r="A3502" s="151" t="s">
        <v>5477</v>
      </c>
    </row>
    <row r="3503" spans="1:1">
      <c r="A3503" s="151" t="s">
        <v>5478</v>
      </c>
    </row>
    <row r="3504" spans="1:1">
      <c r="A3504" s="151" t="s">
        <v>5479</v>
      </c>
    </row>
    <row r="3505" spans="1:1">
      <c r="A3505" s="151" t="s">
        <v>5480</v>
      </c>
    </row>
    <row r="3506" spans="1:1">
      <c r="A3506" s="151" t="s">
        <v>5481</v>
      </c>
    </row>
    <row r="3507" spans="1:1">
      <c r="A3507" s="151" t="s">
        <v>5482</v>
      </c>
    </row>
    <row r="3508" spans="1:1">
      <c r="A3508" s="151" t="s">
        <v>5483</v>
      </c>
    </row>
    <row r="3509" spans="1:1">
      <c r="A3509" s="151" t="s">
        <v>5484</v>
      </c>
    </row>
    <row r="3510" spans="1:1">
      <c r="A3510" s="151" t="s">
        <v>5485</v>
      </c>
    </row>
    <row r="3511" spans="1:1">
      <c r="A3511" s="151" t="s">
        <v>5486</v>
      </c>
    </row>
    <row r="3512" spans="1:1">
      <c r="A3512" s="151" t="s">
        <v>5487</v>
      </c>
    </row>
    <row r="3513" spans="1:1">
      <c r="A3513" s="151" t="s">
        <v>5488</v>
      </c>
    </row>
    <row r="3514" spans="1:1">
      <c r="A3514" s="151" t="s">
        <v>5489</v>
      </c>
    </row>
    <row r="3515" spans="1:1">
      <c r="A3515" s="151" t="s">
        <v>5490</v>
      </c>
    </row>
    <row r="3516" spans="1:1">
      <c r="A3516" s="151" t="s">
        <v>5491</v>
      </c>
    </row>
    <row r="3517" spans="1:1">
      <c r="A3517" s="151" t="s">
        <v>5492</v>
      </c>
    </row>
    <row r="3518" spans="1:1">
      <c r="A3518" s="151" t="s">
        <v>5493</v>
      </c>
    </row>
    <row r="3519" spans="1:1">
      <c r="A3519" s="151" t="s">
        <v>5494</v>
      </c>
    </row>
    <row r="3520" spans="1:1">
      <c r="A3520" s="151" t="s">
        <v>5495</v>
      </c>
    </row>
    <row r="3521" spans="1:1">
      <c r="A3521" s="151" t="s">
        <v>5496</v>
      </c>
    </row>
    <row r="3522" spans="1:1">
      <c r="A3522" s="151" t="s">
        <v>5497</v>
      </c>
    </row>
    <row r="3523" spans="1:1">
      <c r="A3523" s="151" t="s">
        <v>5498</v>
      </c>
    </row>
    <row r="3524" spans="1:1">
      <c r="A3524" s="151" t="s">
        <v>5499</v>
      </c>
    </row>
    <row r="3525" spans="1:1">
      <c r="A3525" s="151" t="s">
        <v>5500</v>
      </c>
    </row>
    <row r="3526" spans="1:1">
      <c r="A3526" s="151" t="s">
        <v>5501</v>
      </c>
    </row>
    <row r="3527" spans="1:1">
      <c r="A3527" s="151" t="s">
        <v>5502</v>
      </c>
    </row>
    <row r="3528" spans="1:1">
      <c r="A3528" s="151" t="s">
        <v>5503</v>
      </c>
    </row>
    <row r="3529" spans="1:1">
      <c r="A3529" s="151" t="s">
        <v>5504</v>
      </c>
    </row>
    <row r="3530" spans="1:1">
      <c r="A3530" s="151" t="s">
        <v>5505</v>
      </c>
    </row>
    <row r="3531" spans="1:1">
      <c r="A3531" s="151" t="s">
        <v>5506</v>
      </c>
    </row>
    <row r="3532" spans="1:1">
      <c r="A3532" s="151" t="s">
        <v>5507</v>
      </c>
    </row>
    <row r="3533" spans="1:1">
      <c r="A3533" s="151" t="s">
        <v>5508</v>
      </c>
    </row>
    <row r="3534" spans="1:1">
      <c r="A3534" s="151" t="s">
        <v>5509</v>
      </c>
    </row>
    <row r="3535" spans="1:1">
      <c r="A3535" s="151" t="s">
        <v>5510</v>
      </c>
    </row>
    <row r="3536" spans="1:1">
      <c r="A3536" s="151" t="s">
        <v>5511</v>
      </c>
    </row>
    <row r="3537" spans="1:1">
      <c r="A3537" s="151" t="s">
        <v>5512</v>
      </c>
    </row>
    <row r="3538" spans="1:1">
      <c r="A3538" s="151" t="s">
        <v>5513</v>
      </c>
    </row>
    <row r="3539" spans="1:1">
      <c r="A3539" s="151" t="s">
        <v>5514</v>
      </c>
    </row>
    <row r="3540" spans="1:1">
      <c r="A3540" s="151" t="s">
        <v>5515</v>
      </c>
    </row>
    <row r="3541" spans="1:1">
      <c r="A3541" s="151" t="s">
        <v>5516</v>
      </c>
    </row>
    <row r="3542" spans="1:1">
      <c r="A3542" s="151" t="s">
        <v>5517</v>
      </c>
    </row>
    <row r="3543" spans="1:1">
      <c r="A3543" s="151" t="s">
        <v>5518</v>
      </c>
    </row>
    <row r="3544" spans="1:1">
      <c r="A3544" s="151" t="s">
        <v>5519</v>
      </c>
    </row>
    <row r="3545" spans="1:1">
      <c r="A3545" s="151" t="s">
        <v>5520</v>
      </c>
    </row>
    <row r="3546" spans="1:1">
      <c r="A3546" s="151" t="s">
        <v>5521</v>
      </c>
    </row>
    <row r="3547" spans="1:1">
      <c r="A3547" s="151" t="s">
        <v>5522</v>
      </c>
    </row>
    <row r="3548" spans="1:1">
      <c r="A3548" s="151" t="s">
        <v>5523</v>
      </c>
    </row>
    <row r="3549" spans="1:1">
      <c r="A3549" s="151" t="s">
        <v>5524</v>
      </c>
    </row>
    <row r="3550" spans="1:1">
      <c r="A3550" s="151" t="s">
        <v>5525</v>
      </c>
    </row>
    <row r="3551" spans="1:1">
      <c r="A3551" s="151" t="s">
        <v>5526</v>
      </c>
    </row>
    <row r="3552" spans="1:1">
      <c r="A3552" s="151" t="s">
        <v>5527</v>
      </c>
    </row>
    <row r="3553" spans="1:1">
      <c r="A3553" s="151" t="s">
        <v>5528</v>
      </c>
    </row>
    <row r="3554" spans="1:1">
      <c r="A3554" s="151" t="s">
        <v>5529</v>
      </c>
    </row>
    <row r="3555" spans="1:1">
      <c r="A3555" s="151" t="s">
        <v>5530</v>
      </c>
    </row>
    <row r="3556" spans="1:1">
      <c r="A3556" s="151" t="s">
        <v>5531</v>
      </c>
    </row>
    <row r="3557" spans="1:1">
      <c r="A3557" s="151" t="s">
        <v>5532</v>
      </c>
    </row>
    <row r="3558" spans="1:1">
      <c r="A3558" s="151" t="s">
        <v>5533</v>
      </c>
    </row>
    <row r="3559" spans="1:1">
      <c r="A3559" s="151" t="s">
        <v>5534</v>
      </c>
    </row>
    <row r="3560" spans="1:1">
      <c r="A3560" s="151" t="s">
        <v>5535</v>
      </c>
    </row>
    <row r="3561" spans="1:1">
      <c r="A3561" s="151" t="s">
        <v>5536</v>
      </c>
    </row>
    <row r="3562" spans="1:1">
      <c r="A3562" s="151" t="s">
        <v>5537</v>
      </c>
    </row>
    <row r="3563" spans="1:1">
      <c r="A3563" s="151" t="s">
        <v>5538</v>
      </c>
    </row>
    <row r="3564" spans="1:1">
      <c r="A3564" s="151" t="s">
        <v>5539</v>
      </c>
    </row>
    <row r="3565" spans="1:1">
      <c r="A3565" s="151" t="s">
        <v>5540</v>
      </c>
    </row>
    <row r="3566" spans="1:1">
      <c r="A3566" s="151" t="s">
        <v>5541</v>
      </c>
    </row>
    <row r="3567" spans="1:1">
      <c r="A3567" s="151" t="s">
        <v>5542</v>
      </c>
    </row>
    <row r="3568" spans="1:1">
      <c r="A3568" s="151" t="s">
        <v>5543</v>
      </c>
    </row>
    <row r="3569" spans="1:1">
      <c r="A3569" s="151" t="s">
        <v>5544</v>
      </c>
    </row>
    <row r="3570" spans="1:1">
      <c r="A3570" s="151" t="s">
        <v>5545</v>
      </c>
    </row>
    <row r="3571" spans="1:1">
      <c r="A3571" s="151" t="s">
        <v>5546</v>
      </c>
    </row>
    <row r="3572" spans="1:1">
      <c r="A3572" s="151" t="s">
        <v>5547</v>
      </c>
    </row>
    <row r="3573" spans="1:1">
      <c r="A3573" s="151" t="s">
        <v>5548</v>
      </c>
    </row>
    <row r="3574" spans="1:1">
      <c r="A3574" s="151" t="s">
        <v>5549</v>
      </c>
    </row>
    <row r="3575" spans="1:1">
      <c r="A3575" s="151" t="s">
        <v>5550</v>
      </c>
    </row>
    <row r="3576" spans="1:1">
      <c r="A3576" s="151" t="s">
        <v>5551</v>
      </c>
    </row>
    <row r="3577" spans="1:1">
      <c r="A3577" s="151" t="s">
        <v>5552</v>
      </c>
    </row>
    <row r="3578" spans="1:1">
      <c r="A3578" s="151" t="s">
        <v>5553</v>
      </c>
    </row>
    <row r="3579" spans="1:1">
      <c r="A3579" s="151" t="s">
        <v>5554</v>
      </c>
    </row>
    <row r="3580" spans="1:1">
      <c r="A3580" s="151" t="s">
        <v>5555</v>
      </c>
    </row>
    <row r="3581" spans="1:1">
      <c r="A3581" s="151" t="s">
        <v>5556</v>
      </c>
    </row>
    <row r="3582" spans="1:1">
      <c r="A3582" s="151" t="s">
        <v>5557</v>
      </c>
    </row>
    <row r="3583" spans="1:1">
      <c r="A3583" s="151" t="s">
        <v>5558</v>
      </c>
    </row>
    <row r="3584" spans="1:1">
      <c r="A3584" s="151" t="s">
        <v>5559</v>
      </c>
    </row>
    <row r="3585" spans="1:1">
      <c r="A3585" s="151" t="s">
        <v>5560</v>
      </c>
    </row>
    <row r="3586" spans="1:1">
      <c r="A3586" s="151" t="s">
        <v>5561</v>
      </c>
    </row>
    <row r="3587" spans="1:1">
      <c r="A3587" s="151" t="s">
        <v>5562</v>
      </c>
    </row>
    <row r="3588" spans="1:1">
      <c r="A3588" s="151" t="s">
        <v>5563</v>
      </c>
    </row>
    <row r="3589" spans="1:1">
      <c r="A3589" s="151" t="s">
        <v>5564</v>
      </c>
    </row>
    <row r="3590" spans="1:1">
      <c r="A3590" s="151" t="s">
        <v>5565</v>
      </c>
    </row>
    <row r="3591" spans="1:1">
      <c r="A3591" s="151" t="s">
        <v>5566</v>
      </c>
    </row>
    <row r="3592" spans="1:1">
      <c r="A3592" s="151" t="s">
        <v>5567</v>
      </c>
    </row>
    <row r="3593" spans="1:1">
      <c r="A3593" s="151" t="s">
        <v>5568</v>
      </c>
    </row>
    <row r="3594" spans="1:1">
      <c r="A3594" s="151" t="s">
        <v>5569</v>
      </c>
    </row>
    <row r="3595" spans="1:1">
      <c r="A3595" s="151" t="s">
        <v>5570</v>
      </c>
    </row>
    <row r="3596" spans="1:1">
      <c r="A3596" s="151" t="s">
        <v>5571</v>
      </c>
    </row>
    <row r="3597" spans="1:1">
      <c r="A3597" s="151" t="s">
        <v>5572</v>
      </c>
    </row>
    <row r="3598" spans="1:1">
      <c r="A3598" s="151" t="s">
        <v>5573</v>
      </c>
    </row>
    <row r="3599" spans="1:1">
      <c r="A3599" s="151" t="s">
        <v>5574</v>
      </c>
    </row>
    <row r="3600" spans="1:1">
      <c r="A3600" s="151" t="s">
        <v>5575</v>
      </c>
    </row>
    <row r="3601" spans="1:1">
      <c r="A3601" s="151" t="s">
        <v>5576</v>
      </c>
    </row>
    <row r="3602" spans="1:1">
      <c r="A3602" s="151" t="s">
        <v>5577</v>
      </c>
    </row>
    <row r="3603" spans="1:1">
      <c r="A3603" s="151" t="s">
        <v>5578</v>
      </c>
    </row>
    <row r="3604" spans="1:1">
      <c r="A3604" s="151" t="s">
        <v>5579</v>
      </c>
    </row>
    <row r="3605" spans="1:1">
      <c r="A3605" s="151" t="s">
        <v>5580</v>
      </c>
    </row>
    <row r="3606" spans="1:1">
      <c r="A3606" s="151" t="s">
        <v>5581</v>
      </c>
    </row>
    <row r="3607" spans="1:1">
      <c r="A3607" s="151" t="s">
        <v>5582</v>
      </c>
    </row>
    <row r="3608" spans="1:1">
      <c r="A3608" s="151" t="s">
        <v>5583</v>
      </c>
    </row>
    <row r="3609" spans="1:1">
      <c r="A3609" s="151" t="s">
        <v>5584</v>
      </c>
    </row>
    <row r="3610" spans="1:1">
      <c r="A3610" s="151" t="s">
        <v>5585</v>
      </c>
    </row>
    <row r="3611" spans="1:1">
      <c r="A3611" s="151" t="s">
        <v>5586</v>
      </c>
    </row>
    <row r="3612" spans="1:1">
      <c r="A3612" s="151" t="s">
        <v>5587</v>
      </c>
    </row>
    <row r="3613" spans="1:1">
      <c r="A3613" s="151" t="s">
        <v>5588</v>
      </c>
    </row>
    <row r="3614" spans="1:1">
      <c r="A3614" s="151" t="s">
        <v>5589</v>
      </c>
    </row>
    <row r="3615" spans="1:1">
      <c r="A3615" s="151" t="s">
        <v>5590</v>
      </c>
    </row>
    <row r="3616" spans="1:1">
      <c r="A3616" s="151" t="s">
        <v>5591</v>
      </c>
    </row>
    <row r="3617" spans="1:1">
      <c r="A3617" s="151" t="s">
        <v>5592</v>
      </c>
    </row>
    <row r="3618" spans="1:1">
      <c r="A3618" s="151" t="s">
        <v>5593</v>
      </c>
    </row>
    <row r="3619" spans="1:1">
      <c r="A3619" s="151" t="s">
        <v>5594</v>
      </c>
    </row>
    <row r="3620" spans="1:1">
      <c r="A3620" s="151" t="s">
        <v>5595</v>
      </c>
    </row>
    <row r="3621" spans="1:1">
      <c r="A3621" s="151" t="s">
        <v>5596</v>
      </c>
    </row>
    <row r="3622" spans="1:1">
      <c r="A3622" s="151" t="s">
        <v>5597</v>
      </c>
    </row>
    <row r="3623" spans="1:1">
      <c r="A3623" s="151" t="s">
        <v>5598</v>
      </c>
    </row>
    <row r="3624" spans="1:1">
      <c r="A3624" s="151" t="s">
        <v>5599</v>
      </c>
    </row>
    <row r="3625" spans="1:1">
      <c r="A3625" s="151" t="s">
        <v>5600</v>
      </c>
    </row>
    <row r="3626" spans="1:1">
      <c r="A3626" s="151" t="s">
        <v>5601</v>
      </c>
    </row>
    <row r="3627" spans="1:1">
      <c r="A3627" s="151" t="s">
        <v>5602</v>
      </c>
    </row>
    <row r="3628" spans="1:1">
      <c r="A3628" s="151" t="s">
        <v>5603</v>
      </c>
    </row>
    <row r="3629" spans="1:1">
      <c r="A3629" s="151" t="s">
        <v>5604</v>
      </c>
    </row>
    <row r="3630" spans="1:1">
      <c r="A3630" s="151" t="s">
        <v>5605</v>
      </c>
    </row>
    <row r="3631" spans="1:1">
      <c r="A3631" s="151" t="s">
        <v>5606</v>
      </c>
    </row>
    <row r="3632" spans="1:1">
      <c r="A3632" s="151" t="s">
        <v>5607</v>
      </c>
    </row>
    <row r="3633" spans="1:1">
      <c r="A3633" s="151" t="s">
        <v>5608</v>
      </c>
    </row>
    <row r="3634" spans="1:1">
      <c r="A3634" s="151" t="s">
        <v>5609</v>
      </c>
    </row>
    <row r="3635" spans="1:1">
      <c r="A3635" s="151" t="s">
        <v>5610</v>
      </c>
    </row>
    <row r="3636" spans="1:1">
      <c r="A3636" s="151" t="s">
        <v>5611</v>
      </c>
    </row>
    <row r="3637" spans="1:1">
      <c r="A3637" s="151" t="s">
        <v>5612</v>
      </c>
    </row>
    <row r="3638" spans="1:1">
      <c r="A3638" s="151" t="s">
        <v>5613</v>
      </c>
    </row>
    <row r="3639" spans="1:1">
      <c r="A3639" s="151" t="s">
        <v>5614</v>
      </c>
    </row>
    <row r="3640" spans="1:1">
      <c r="A3640" s="151" t="s">
        <v>5615</v>
      </c>
    </row>
    <row r="3641" spans="1:1">
      <c r="A3641" s="151" t="s">
        <v>5616</v>
      </c>
    </row>
    <row r="3642" spans="1:1">
      <c r="A3642" s="151" t="s">
        <v>5617</v>
      </c>
    </row>
    <row r="3643" spans="1:1">
      <c r="A3643" s="151" t="s">
        <v>5618</v>
      </c>
    </row>
    <row r="3644" spans="1:1">
      <c r="A3644" s="151" t="s">
        <v>5619</v>
      </c>
    </row>
    <row r="3645" spans="1:1">
      <c r="A3645" s="151" t="s">
        <v>5620</v>
      </c>
    </row>
    <row r="3646" spans="1:1">
      <c r="A3646" s="151" t="s">
        <v>5621</v>
      </c>
    </row>
    <row r="3647" spans="1:1">
      <c r="A3647" s="151" t="s">
        <v>5622</v>
      </c>
    </row>
    <row r="3648" spans="1:1">
      <c r="A3648" s="151" t="s">
        <v>5623</v>
      </c>
    </row>
    <row r="3649" spans="1:1">
      <c r="A3649" s="151" t="s">
        <v>5624</v>
      </c>
    </row>
    <row r="3650" spans="1:1">
      <c r="A3650" s="151" t="s">
        <v>5625</v>
      </c>
    </row>
    <row r="3651" spans="1:1">
      <c r="A3651" s="151" t="s">
        <v>5626</v>
      </c>
    </row>
    <row r="3652" spans="1:1">
      <c r="A3652" s="151" t="s">
        <v>5627</v>
      </c>
    </row>
    <row r="3653" spans="1:1">
      <c r="A3653" s="151" t="s">
        <v>5628</v>
      </c>
    </row>
    <row r="3654" spans="1:1">
      <c r="A3654" s="151" t="s">
        <v>5629</v>
      </c>
    </row>
    <row r="3655" spans="1:1">
      <c r="A3655" s="151" t="s">
        <v>5630</v>
      </c>
    </row>
    <row r="3656" spans="1:1">
      <c r="A3656" s="151" t="s">
        <v>5631</v>
      </c>
    </row>
    <row r="3657" spans="1:1">
      <c r="A3657" s="151" t="s">
        <v>5632</v>
      </c>
    </row>
    <row r="3658" spans="1:1">
      <c r="A3658" s="151" t="s">
        <v>5633</v>
      </c>
    </row>
    <row r="3659" spans="1:1">
      <c r="A3659" s="151" t="s">
        <v>5634</v>
      </c>
    </row>
    <row r="3660" spans="1:1">
      <c r="A3660" s="151" t="s">
        <v>5635</v>
      </c>
    </row>
    <row r="3661" spans="1:1">
      <c r="A3661" s="151" t="s">
        <v>5636</v>
      </c>
    </row>
    <row r="3662" spans="1:1">
      <c r="A3662" s="151" t="s">
        <v>5637</v>
      </c>
    </row>
    <row r="3663" spans="1:1">
      <c r="A3663" s="151" t="s">
        <v>5638</v>
      </c>
    </row>
    <row r="3664" spans="1:1">
      <c r="A3664" s="151" t="s">
        <v>5639</v>
      </c>
    </row>
    <row r="3665" spans="1:1">
      <c r="A3665" s="151" t="s">
        <v>5640</v>
      </c>
    </row>
    <row r="3666" spans="1:1">
      <c r="A3666" s="151" t="s">
        <v>5641</v>
      </c>
    </row>
    <row r="3667" spans="1:1">
      <c r="A3667" s="151" t="s">
        <v>5642</v>
      </c>
    </row>
    <row r="3668" spans="1:1">
      <c r="A3668" s="151" t="s">
        <v>5643</v>
      </c>
    </row>
    <row r="3669" spans="1:1">
      <c r="A3669" s="151" t="s">
        <v>5644</v>
      </c>
    </row>
    <row r="3670" spans="1:1">
      <c r="A3670" s="151" t="s">
        <v>5645</v>
      </c>
    </row>
    <row r="3671" spans="1:1">
      <c r="A3671" s="151" t="s">
        <v>5646</v>
      </c>
    </row>
    <row r="3672" spans="1:1">
      <c r="A3672" s="151" t="s">
        <v>5647</v>
      </c>
    </row>
    <row r="3673" spans="1:1">
      <c r="A3673" s="151" t="s">
        <v>5648</v>
      </c>
    </row>
    <row r="3674" spans="1:1">
      <c r="A3674" s="151" t="s">
        <v>5649</v>
      </c>
    </row>
    <row r="3675" spans="1:1">
      <c r="A3675" s="151" t="s">
        <v>5650</v>
      </c>
    </row>
    <row r="3676" spans="1:1">
      <c r="A3676" s="151" t="s">
        <v>5651</v>
      </c>
    </row>
    <row r="3677" spans="1:1">
      <c r="A3677" s="151" t="s">
        <v>5652</v>
      </c>
    </row>
    <row r="3678" spans="1:1">
      <c r="A3678" s="151" t="s">
        <v>5653</v>
      </c>
    </row>
    <row r="3679" spans="1:1">
      <c r="A3679" s="151" t="s">
        <v>5654</v>
      </c>
    </row>
    <row r="3680" spans="1:1">
      <c r="A3680" s="151" t="s">
        <v>5655</v>
      </c>
    </row>
    <row r="3681" spans="1:1">
      <c r="A3681" s="151" t="s">
        <v>5656</v>
      </c>
    </row>
    <row r="3682" spans="1:1">
      <c r="A3682" s="151" t="s">
        <v>5657</v>
      </c>
    </row>
    <row r="3683" spans="1:1">
      <c r="A3683" s="151" t="s">
        <v>5658</v>
      </c>
    </row>
    <row r="3684" spans="1:1">
      <c r="A3684" s="151" t="s">
        <v>5659</v>
      </c>
    </row>
    <row r="3685" spans="1:1">
      <c r="A3685" s="151" t="s">
        <v>5660</v>
      </c>
    </row>
    <row r="3686" spans="1:1">
      <c r="A3686" s="151" t="s">
        <v>5661</v>
      </c>
    </row>
    <row r="3687" spans="1:1">
      <c r="A3687" s="151" t="s">
        <v>5662</v>
      </c>
    </row>
    <row r="3688" spans="1:1">
      <c r="A3688" s="151" t="s">
        <v>5663</v>
      </c>
    </row>
    <row r="3689" spans="1:1">
      <c r="A3689" s="151" t="s">
        <v>5664</v>
      </c>
    </row>
    <row r="3690" spans="1:1">
      <c r="A3690" s="151" t="s">
        <v>5665</v>
      </c>
    </row>
    <row r="3691" spans="1:1">
      <c r="A3691" s="151" t="s">
        <v>5666</v>
      </c>
    </row>
    <row r="3692" spans="1:1">
      <c r="A3692" s="151" t="s">
        <v>5667</v>
      </c>
    </row>
    <row r="3693" spans="1:1">
      <c r="A3693" s="151" t="s">
        <v>5668</v>
      </c>
    </row>
    <row r="3694" spans="1:1">
      <c r="A3694" s="151" t="s">
        <v>5669</v>
      </c>
    </row>
    <row r="3695" spans="1:1">
      <c r="A3695" s="151" t="s">
        <v>5670</v>
      </c>
    </row>
    <row r="3696" spans="1:1">
      <c r="A3696" s="151" t="s">
        <v>5671</v>
      </c>
    </row>
    <row r="3697" spans="1:1">
      <c r="A3697" s="151" t="s">
        <v>5672</v>
      </c>
    </row>
    <row r="3698" spans="1:1">
      <c r="A3698" s="151" t="s">
        <v>5673</v>
      </c>
    </row>
    <row r="3699" spans="1:1">
      <c r="A3699" s="151" t="s">
        <v>5674</v>
      </c>
    </row>
    <row r="3700" spans="1:1">
      <c r="A3700" s="151" t="s">
        <v>5675</v>
      </c>
    </row>
    <row r="3701" spans="1:1">
      <c r="A3701" s="151" t="s">
        <v>5676</v>
      </c>
    </row>
    <row r="3702" spans="1:1">
      <c r="A3702" s="151" t="s">
        <v>5677</v>
      </c>
    </row>
    <row r="3703" spans="1:1">
      <c r="A3703" s="151" t="s">
        <v>5678</v>
      </c>
    </row>
    <row r="3704" spans="1:1">
      <c r="A3704" s="151" t="s">
        <v>5679</v>
      </c>
    </row>
    <row r="3705" spans="1:1">
      <c r="A3705" s="151" t="s">
        <v>5680</v>
      </c>
    </row>
    <row r="3706" spans="1:1">
      <c r="A3706" s="151" t="s">
        <v>5681</v>
      </c>
    </row>
    <row r="3707" spans="1:1">
      <c r="A3707" s="151" t="s">
        <v>5682</v>
      </c>
    </row>
    <row r="3708" spans="1:1">
      <c r="A3708" s="151" t="s">
        <v>5683</v>
      </c>
    </row>
    <row r="3709" spans="1:1">
      <c r="A3709" s="151" t="s">
        <v>5684</v>
      </c>
    </row>
    <row r="3710" spans="1:1">
      <c r="A3710" s="151" t="s">
        <v>5685</v>
      </c>
    </row>
    <row r="3711" spans="1:1">
      <c r="A3711" s="151" t="s">
        <v>5686</v>
      </c>
    </row>
    <row r="3712" spans="1:1">
      <c r="A3712" s="151" t="s">
        <v>5687</v>
      </c>
    </row>
    <row r="3713" spans="1:1">
      <c r="A3713" s="151" t="s">
        <v>5688</v>
      </c>
    </row>
    <row r="3714" spans="1:1">
      <c r="A3714" s="151" t="s">
        <v>5689</v>
      </c>
    </row>
    <row r="3715" spans="1:1">
      <c r="A3715" s="151" t="s">
        <v>5690</v>
      </c>
    </row>
    <row r="3716" spans="1:1">
      <c r="A3716" s="151" t="s">
        <v>5691</v>
      </c>
    </row>
    <row r="3717" spans="1:1">
      <c r="A3717" s="151" t="s">
        <v>5692</v>
      </c>
    </row>
    <row r="3718" spans="1:1">
      <c r="A3718" s="151" t="s">
        <v>5693</v>
      </c>
    </row>
    <row r="3719" spans="1:1">
      <c r="A3719" s="151" t="s">
        <v>5694</v>
      </c>
    </row>
    <row r="3720" spans="1:1">
      <c r="A3720" s="151" t="s">
        <v>5695</v>
      </c>
    </row>
    <row r="3721" spans="1:1">
      <c r="A3721" s="151" t="s">
        <v>5696</v>
      </c>
    </row>
    <row r="3722" spans="1:1">
      <c r="A3722" s="151" t="s">
        <v>5697</v>
      </c>
    </row>
    <row r="3723" spans="1:1">
      <c r="A3723" s="151" t="s">
        <v>5698</v>
      </c>
    </row>
    <row r="3724" spans="1:1">
      <c r="A3724" s="151" t="s">
        <v>5699</v>
      </c>
    </row>
    <row r="3725" spans="1:1">
      <c r="A3725" s="151" t="s">
        <v>5700</v>
      </c>
    </row>
    <row r="3726" spans="1:1">
      <c r="A3726" s="151" t="s">
        <v>5701</v>
      </c>
    </row>
    <row r="3727" spans="1:1">
      <c r="A3727" s="151" t="s">
        <v>5702</v>
      </c>
    </row>
    <row r="3728" spans="1:1">
      <c r="A3728" s="151" t="s">
        <v>5703</v>
      </c>
    </row>
    <row r="3729" spans="1:1">
      <c r="A3729" s="151" t="s">
        <v>5704</v>
      </c>
    </row>
    <row r="3730" spans="1:1">
      <c r="A3730" s="151" t="s">
        <v>5705</v>
      </c>
    </row>
    <row r="3731" spans="1:1">
      <c r="A3731" s="151" t="s">
        <v>5706</v>
      </c>
    </row>
    <row r="3732" spans="1:1">
      <c r="A3732" s="151" t="s">
        <v>5707</v>
      </c>
    </row>
    <row r="3733" spans="1:1">
      <c r="A3733" s="151" t="s">
        <v>5708</v>
      </c>
    </row>
    <row r="3734" spans="1:1">
      <c r="A3734" s="151" t="s">
        <v>5709</v>
      </c>
    </row>
    <row r="3735" spans="1:1">
      <c r="A3735" s="151" t="s">
        <v>5710</v>
      </c>
    </row>
    <row r="3736" spans="1:1">
      <c r="A3736" s="151" t="s">
        <v>5711</v>
      </c>
    </row>
    <row r="3737" spans="1:1">
      <c r="A3737" s="151" t="s">
        <v>5712</v>
      </c>
    </row>
    <row r="3738" spans="1:1">
      <c r="A3738" s="151" t="s">
        <v>5713</v>
      </c>
    </row>
    <row r="3739" spans="1:1">
      <c r="A3739" s="151" t="s">
        <v>5714</v>
      </c>
    </row>
    <row r="3740" spans="1:1">
      <c r="A3740" s="151" t="s">
        <v>5715</v>
      </c>
    </row>
    <row r="3741" spans="1:1">
      <c r="A3741" s="151" t="s">
        <v>5716</v>
      </c>
    </row>
    <row r="3742" spans="1:1">
      <c r="A3742" s="151" t="s">
        <v>5717</v>
      </c>
    </row>
    <row r="3743" spans="1:1">
      <c r="A3743" s="151" t="s">
        <v>5718</v>
      </c>
    </row>
    <row r="3744" spans="1:1">
      <c r="A3744" s="151" t="s">
        <v>5719</v>
      </c>
    </row>
    <row r="3745" spans="1:1">
      <c r="A3745" s="151" t="s">
        <v>5720</v>
      </c>
    </row>
    <row r="3746" spans="1:1">
      <c r="A3746" s="151" t="s">
        <v>5721</v>
      </c>
    </row>
    <row r="3747" spans="1:1">
      <c r="A3747" s="151" t="s">
        <v>5722</v>
      </c>
    </row>
    <row r="3748" spans="1:1">
      <c r="A3748" s="151" t="s">
        <v>5723</v>
      </c>
    </row>
    <row r="3749" spans="1:1">
      <c r="A3749" s="151" t="s">
        <v>5724</v>
      </c>
    </row>
    <row r="3750" spans="1:1">
      <c r="A3750" s="151" t="s">
        <v>5725</v>
      </c>
    </row>
    <row r="3751" spans="1:1">
      <c r="A3751" s="151" t="s">
        <v>5726</v>
      </c>
    </row>
    <row r="3752" spans="1:1">
      <c r="A3752" s="151" t="s">
        <v>5727</v>
      </c>
    </row>
    <row r="3753" spans="1:1">
      <c r="A3753" s="151" t="s">
        <v>5728</v>
      </c>
    </row>
    <row r="3754" spans="1:1">
      <c r="A3754" s="151" t="s">
        <v>5729</v>
      </c>
    </row>
    <row r="3755" spans="1:1">
      <c r="A3755" s="151" t="s">
        <v>5730</v>
      </c>
    </row>
    <row r="3756" spans="1:1">
      <c r="A3756" s="151" t="s">
        <v>5731</v>
      </c>
    </row>
    <row r="3757" spans="1:1">
      <c r="A3757" s="151" t="s">
        <v>5732</v>
      </c>
    </row>
    <row r="3758" spans="1:1">
      <c r="A3758" s="151" t="s">
        <v>5733</v>
      </c>
    </row>
    <row r="3759" spans="1:1">
      <c r="A3759" s="151" t="s">
        <v>5734</v>
      </c>
    </row>
    <row r="3760" spans="1:1">
      <c r="A3760" s="151" t="s">
        <v>5735</v>
      </c>
    </row>
    <row r="3761" spans="1:1">
      <c r="A3761" s="151" t="s">
        <v>5736</v>
      </c>
    </row>
    <row r="3762" spans="1:1">
      <c r="A3762" s="151" t="s">
        <v>5737</v>
      </c>
    </row>
    <row r="3763" spans="1:1">
      <c r="A3763" s="151" t="s">
        <v>5738</v>
      </c>
    </row>
    <row r="3764" spans="1:1">
      <c r="A3764" s="151" t="s">
        <v>5739</v>
      </c>
    </row>
    <row r="3765" spans="1:1">
      <c r="A3765" s="151" t="s">
        <v>5740</v>
      </c>
    </row>
    <row r="3766" spans="1:1">
      <c r="A3766" s="151" t="s">
        <v>5741</v>
      </c>
    </row>
    <row r="3767" spans="1:1">
      <c r="A3767" s="151" t="s">
        <v>5742</v>
      </c>
    </row>
    <row r="3768" spans="1:1">
      <c r="A3768" s="151" t="s">
        <v>5743</v>
      </c>
    </row>
    <row r="3769" spans="1:1">
      <c r="A3769" s="151" t="s">
        <v>5744</v>
      </c>
    </row>
    <row r="3770" spans="1:1">
      <c r="A3770" s="151" t="s">
        <v>5745</v>
      </c>
    </row>
    <row r="3771" spans="1:1">
      <c r="A3771" s="151" t="s">
        <v>5746</v>
      </c>
    </row>
    <row r="3772" spans="1:1">
      <c r="A3772" s="151" t="s">
        <v>5747</v>
      </c>
    </row>
    <row r="3773" spans="1:1">
      <c r="A3773" s="151" t="s">
        <v>5748</v>
      </c>
    </row>
    <row r="3774" spans="1:1">
      <c r="A3774" s="151" t="s">
        <v>5749</v>
      </c>
    </row>
    <row r="3775" spans="1:1">
      <c r="A3775" s="151" t="s">
        <v>5750</v>
      </c>
    </row>
    <row r="3776" spans="1:1">
      <c r="A3776" s="151" t="s">
        <v>5751</v>
      </c>
    </row>
    <row r="3777" spans="1:1">
      <c r="A3777" s="151" t="s">
        <v>5752</v>
      </c>
    </row>
    <row r="3778" spans="1:1">
      <c r="A3778" s="151" t="s">
        <v>5753</v>
      </c>
    </row>
    <row r="3779" spans="1:1">
      <c r="A3779" s="151" t="s">
        <v>5754</v>
      </c>
    </row>
    <row r="3780" spans="1:1">
      <c r="A3780" s="151" t="s">
        <v>5755</v>
      </c>
    </row>
    <row r="3781" spans="1:1">
      <c r="A3781" s="151" t="s">
        <v>5756</v>
      </c>
    </row>
    <row r="3782" spans="1:1">
      <c r="A3782" s="151" t="s">
        <v>5757</v>
      </c>
    </row>
    <row r="3783" spans="1:1">
      <c r="A3783" s="151" t="s">
        <v>5758</v>
      </c>
    </row>
    <row r="3784" spans="1:1">
      <c r="A3784" s="151" t="s">
        <v>5759</v>
      </c>
    </row>
    <row r="3785" spans="1:1">
      <c r="A3785" s="151" t="s">
        <v>5760</v>
      </c>
    </row>
    <row r="3786" spans="1:1">
      <c r="A3786" s="151" t="s">
        <v>5761</v>
      </c>
    </row>
    <row r="3787" spans="1:1">
      <c r="A3787" s="151" t="s">
        <v>5762</v>
      </c>
    </row>
    <row r="3788" spans="1:1">
      <c r="A3788" s="151" t="s">
        <v>5763</v>
      </c>
    </row>
    <row r="3789" spans="1:1">
      <c r="A3789" s="151" t="s">
        <v>5764</v>
      </c>
    </row>
    <row r="3790" spans="1:1">
      <c r="A3790" s="151" t="s">
        <v>5765</v>
      </c>
    </row>
    <row r="3791" spans="1:1">
      <c r="A3791" s="151" t="s">
        <v>5766</v>
      </c>
    </row>
    <row r="3792" spans="1:1">
      <c r="A3792" s="151" t="s">
        <v>5767</v>
      </c>
    </row>
    <row r="3793" spans="1:1">
      <c r="A3793" s="151" t="s">
        <v>5768</v>
      </c>
    </row>
    <row r="3794" spans="1:1">
      <c r="A3794" s="151" t="s">
        <v>5769</v>
      </c>
    </row>
    <row r="3795" spans="1:1">
      <c r="A3795" s="151" t="s">
        <v>5770</v>
      </c>
    </row>
    <row r="3796" spans="1:1">
      <c r="A3796" s="151" t="s">
        <v>5771</v>
      </c>
    </row>
    <row r="3797" spans="1:1">
      <c r="A3797" s="151" t="s">
        <v>5772</v>
      </c>
    </row>
    <row r="3798" spans="1:1">
      <c r="A3798" s="151" t="s">
        <v>5773</v>
      </c>
    </row>
    <row r="3799" spans="1:1">
      <c r="A3799" s="151" t="s">
        <v>5774</v>
      </c>
    </row>
    <row r="3800" spans="1:1">
      <c r="A3800" s="151" t="s">
        <v>5775</v>
      </c>
    </row>
    <row r="3801" spans="1:1">
      <c r="A3801" s="151" t="s">
        <v>5776</v>
      </c>
    </row>
    <row r="3802" spans="1:1">
      <c r="A3802" s="151" t="s">
        <v>5777</v>
      </c>
    </row>
    <row r="3803" spans="1:1">
      <c r="A3803" s="151" t="s">
        <v>5778</v>
      </c>
    </row>
    <row r="3804" spans="1:1">
      <c r="A3804" s="151" t="s">
        <v>5779</v>
      </c>
    </row>
    <row r="3805" spans="1:1">
      <c r="A3805" s="151" t="s">
        <v>5780</v>
      </c>
    </row>
    <row r="3806" spans="1:1">
      <c r="A3806" s="151" t="s">
        <v>5781</v>
      </c>
    </row>
    <row r="3807" spans="1:1">
      <c r="A3807" s="151" t="s">
        <v>5782</v>
      </c>
    </row>
    <row r="3808" spans="1:1">
      <c r="A3808" s="151" t="s">
        <v>5783</v>
      </c>
    </row>
    <row r="3809" spans="1:1">
      <c r="A3809" s="151" t="s">
        <v>5784</v>
      </c>
    </row>
    <row r="3810" spans="1:1">
      <c r="A3810" s="151" t="s">
        <v>5785</v>
      </c>
    </row>
    <row r="3811" spans="1:1">
      <c r="A3811" s="151" t="s">
        <v>5786</v>
      </c>
    </row>
    <row r="3812" spans="1:1">
      <c r="A3812" s="151" t="s">
        <v>5787</v>
      </c>
    </row>
    <row r="3813" spans="1:1">
      <c r="A3813" s="151" t="s">
        <v>5788</v>
      </c>
    </row>
    <row r="3814" spans="1:1">
      <c r="A3814" s="151" t="s">
        <v>5789</v>
      </c>
    </row>
    <row r="3815" spans="1:1">
      <c r="A3815" s="151" t="s">
        <v>5790</v>
      </c>
    </row>
    <row r="3816" spans="1:1">
      <c r="A3816" s="151" t="s">
        <v>5791</v>
      </c>
    </row>
    <row r="3817" spans="1:1">
      <c r="A3817" s="151" t="s">
        <v>5792</v>
      </c>
    </row>
    <row r="3818" spans="1:1">
      <c r="A3818" s="151" t="s">
        <v>5793</v>
      </c>
    </row>
    <row r="3819" spans="1:1">
      <c r="A3819" s="151" t="s">
        <v>5794</v>
      </c>
    </row>
    <row r="3820" spans="1:1">
      <c r="A3820" s="151" t="s">
        <v>5795</v>
      </c>
    </row>
    <row r="3821" spans="1:1">
      <c r="A3821" s="151" t="s">
        <v>5796</v>
      </c>
    </row>
    <row r="3822" spans="1:1">
      <c r="A3822" s="151" t="s">
        <v>5797</v>
      </c>
    </row>
    <row r="3823" spans="1:1">
      <c r="A3823" s="151" t="s">
        <v>5798</v>
      </c>
    </row>
    <row r="3824" spans="1:1">
      <c r="A3824" s="151" t="s">
        <v>5799</v>
      </c>
    </row>
    <row r="3825" spans="1:1">
      <c r="A3825" s="151" t="s">
        <v>5800</v>
      </c>
    </row>
    <row r="3826" spans="1:1">
      <c r="A3826" s="151" t="s">
        <v>5801</v>
      </c>
    </row>
    <row r="3827" spans="1:1">
      <c r="A3827" s="151" t="s">
        <v>5802</v>
      </c>
    </row>
    <row r="3828" spans="1:1">
      <c r="A3828" s="151" t="s">
        <v>5803</v>
      </c>
    </row>
    <row r="3829" spans="1:1">
      <c r="A3829" s="151" t="s">
        <v>5804</v>
      </c>
    </row>
    <row r="3830" spans="1:1">
      <c r="A3830" s="151" t="s">
        <v>5805</v>
      </c>
    </row>
    <row r="3831" spans="1:1">
      <c r="A3831" s="151" t="s">
        <v>5806</v>
      </c>
    </row>
    <row r="3832" spans="1:1">
      <c r="A3832" s="151" t="s">
        <v>5807</v>
      </c>
    </row>
    <row r="3833" spans="1:1">
      <c r="A3833" s="151" t="s">
        <v>5808</v>
      </c>
    </row>
    <row r="3834" spans="1:1">
      <c r="A3834" s="151" t="s">
        <v>5809</v>
      </c>
    </row>
    <row r="3835" spans="1:1">
      <c r="A3835" s="151" t="s">
        <v>5810</v>
      </c>
    </row>
    <row r="3836" spans="1:1">
      <c r="A3836" s="151" t="s">
        <v>5811</v>
      </c>
    </row>
    <row r="3837" spans="1:1">
      <c r="A3837" s="151" t="s">
        <v>5812</v>
      </c>
    </row>
    <row r="3838" spans="1:1">
      <c r="A3838" s="151" t="s">
        <v>5813</v>
      </c>
    </row>
    <row r="3839" spans="1:1">
      <c r="A3839" s="151" t="s">
        <v>5814</v>
      </c>
    </row>
    <row r="3840" spans="1:1">
      <c r="A3840" s="151" t="s">
        <v>5815</v>
      </c>
    </row>
    <row r="3841" spans="1:1">
      <c r="A3841" s="151" t="s">
        <v>5816</v>
      </c>
    </row>
    <row r="3842" spans="1:1">
      <c r="A3842" s="151" t="s">
        <v>5817</v>
      </c>
    </row>
    <row r="3843" spans="1:1">
      <c r="A3843" s="151" t="s">
        <v>5818</v>
      </c>
    </row>
    <row r="3844" spans="1:1">
      <c r="A3844" s="151" t="s">
        <v>5819</v>
      </c>
    </row>
    <row r="3845" spans="1:1">
      <c r="A3845" s="151" t="s">
        <v>5820</v>
      </c>
    </row>
    <row r="3846" spans="1:1">
      <c r="A3846" s="151" t="s">
        <v>5821</v>
      </c>
    </row>
    <row r="3847" spans="1:1">
      <c r="A3847" s="151" t="s">
        <v>5822</v>
      </c>
    </row>
    <row r="3848" spans="1:1">
      <c r="A3848" s="151" t="s">
        <v>5823</v>
      </c>
    </row>
    <row r="3849" spans="1:1">
      <c r="A3849" s="151" t="s">
        <v>5824</v>
      </c>
    </row>
    <row r="3850" spans="1:1">
      <c r="A3850" s="151" t="s">
        <v>5825</v>
      </c>
    </row>
    <row r="3851" spans="1:1">
      <c r="A3851" s="151" t="s">
        <v>5826</v>
      </c>
    </row>
    <row r="3852" spans="1:1">
      <c r="A3852" s="151" t="s">
        <v>5827</v>
      </c>
    </row>
    <row r="3853" spans="1:1">
      <c r="A3853" s="151" t="s">
        <v>5828</v>
      </c>
    </row>
    <row r="3854" spans="1:1">
      <c r="A3854" s="151" t="s">
        <v>5829</v>
      </c>
    </row>
    <row r="3855" spans="1:1">
      <c r="A3855" s="151" t="s">
        <v>5830</v>
      </c>
    </row>
    <row r="3856" spans="1:1">
      <c r="A3856" s="151" t="s">
        <v>5831</v>
      </c>
    </row>
    <row r="3857" spans="1:1">
      <c r="A3857" s="151" t="s">
        <v>5832</v>
      </c>
    </row>
    <row r="3858" spans="1:1">
      <c r="A3858" s="151" t="s">
        <v>5833</v>
      </c>
    </row>
    <row r="3859" spans="1:1">
      <c r="A3859" s="151" t="s">
        <v>5834</v>
      </c>
    </row>
    <row r="3860" spans="1:1">
      <c r="A3860" s="151" t="s">
        <v>5835</v>
      </c>
    </row>
    <row r="3861" spans="1:1">
      <c r="A3861" s="151" t="s">
        <v>5836</v>
      </c>
    </row>
    <row r="3862" spans="1:1">
      <c r="A3862" s="151" t="s">
        <v>5837</v>
      </c>
    </row>
    <row r="3863" spans="1:1">
      <c r="A3863" s="151" t="s">
        <v>5838</v>
      </c>
    </row>
    <row r="3864" spans="1:1">
      <c r="A3864" s="151" t="s">
        <v>5839</v>
      </c>
    </row>
    <row r="3865" spans="1:1">
      <c r="A3865" s="151" t="s">
        <v>5840</v>
      </c>
    </row>
    <row r="3866" spans="1:1">
      <c r="A3866" s="151" t="s">
        <v>5841</v>
      </c>
    </row>
    <row r="3867" spans="1:1">
      <c r="A3867" s="151" t="s">
        <v>5842</v>
      </c>
    </row>
    <row r="3868" spans="1:1">
      <c r="A3868" s="151" t="s">
        <v>5843</v>
      </c>
    </row>
    <row r="3869" spans="1:1">
      <c r="A3869" s="151" t="s">
        <v>5844</v>
      </c>
    </row>
    <row r="3870" spans="1:1">
      <c r="A3870" s="151" t="s">
        <v>5845</v>
      </c>
    </row>
    <row r="3871" spans="1:1">
      <c r="A3871" s="151" t="s">
        <v>5846</v>
      </c>
    </row>
    <row r="3872" spans="1:1">
      <c r="A3872" s="151" t="s">
        <v>5847</v>
      </c>
    </row>
    <row r="3873" spans="1:1">
      <c r="A3873" s="151" t="s">
        <v>5848</v>
      </c>
    </row>
    <row r="3874" spans="1:1">
      <c r="A3874" s="151" t="s">
        <v>5849</v>
      </c>
    </row>
    <row r="3875" spans="1:1">
      <c r="A3875" s="151" t="s">
        <v>5850</v>
      </c>
    </row>
    <row r="3876" spans="1:1">
      <c r="A3876" s="151" t="s">
        <v>5851</v>
      </c>
    </row>
    <row r="3877" spans="1:1">
      <c r="A3877" s="151" t="s">
        <v>5852</v>
      </c>
    </row>
    <row r="3878" spans="1:1">
      <c r="A3878" s="151" t="s">
        <v>5853</v>
      </c>
    </row>
    <row r="3879" spans="1:1">
      <c r="A3879" s="151" t="s">
        <v>5854</v>
      </c>
    </row>
    <row r="3880" spans="1:1">
      <c r="A3880" s="151" t="s">
        <v>5855</v>
      </c>
    </row>
    <row r="3881" spans="1:1">
      <c r="A3881" s="151" t="s">
        <v>5856</v>
      </c>
    </row>
    <row r="3882" spans="1:1">
      <c r="A3882" s="151" t="s">
        <v>5857</v>
      </c>
    </row>
    <row r="3883" spans="1:1">
      <c r="A3883" s="151" t="s">
        <v>5858</v>
      </c>
    </row>
    <row r="3884" spans="1:1">
      <c r="A3884" s="151" t="s">
        <v>5859</v>
      </c>
    </row>
    <row r="3885" spans="1:1">
      <c r="A3885" s="151" t="s">
        <v>5860</v>
      </c>
    </row>
    <row r="3886" spans="1:1">
      <c r="A3886" s="151" t="s">
        <v>5861</v>
      </c>
    </row>
    <row r="3887" spans="1:1">
      <c r="A3887" s="151" t="s">
        <v>5862</v>
      </c>
    </row>
    <row r="3888" spans="1:1">
      <c r="A3888" s="151" t="s">
        <v>5863</v>
      </c>
    </row>
    <row r="3889" spans="1:1">
      <c r="A3889" s="151" t="s">
        <v>5864</v>
      </c>
    </row>
    <row r="3890" spans="1:1">
      <c r="A3890" s="151" t="s">
        <v>5865</v>
      </c>
    </row>
    <row r="3891" spans="1:1">
      <c r="A3891" s="151" t="s">
        <v>5866</v>
      </c>
    </row>
    <row r="3892" spans="1:1">
      <c r="A3892" s="151" t="s">
        <v>5867</v>
      </c>
    </row>
    <row r="3893" spans="1:1">
      <c r="A3893" s="151" t="s">
        <v>5868</v>
      </c>
    </row>
    <row r="3894" spans="1:1">
      <c r="A3894" s="151" t="s">
        <v>5869</v>
      </c>
    </row>
    <row r="3895" spans="1:1">
      <c r="A3895" s="151" t="s">
        <v>5870</v>
      </c>
    </row>
    <row r="3896" spans="1:1">
      <c r="A3896" s="151" t="s">
        <v>5871</v>
      </c>
    </row>
    <row r="3897" spans="1:1">
      <c r="A3897" s="151" t="s">
        <v>5872</v>
      </c>
    </row>
    <row r="3898" spans="1:1">
      <c r="A3898" s="151" t="s">
        <v>5873</v>
      </c>
    </row>
    <row r="3899" spans="1:1">
      <c r="A3899" s="151" t="s">
        <v>5874</v>
      </c>
    </row>
    <row r="3900" spans="1:1">
      <c r="A3900" s="151" t="s">
        <v>5875</v>
      </c>
    </row>
    <row r="3901" spans="1:1">
      <c r="A3901" s="151" t="s">
        <v>5876</v>
      </c>
    </row>
    <row r="3902" spans="1:1">
      <c r="A3902" s="151" t="s">
        <v>5877</v>
      </c>
    </row>
    <row r="3903" spans="1:1">
      <c r="A3903" s="151" t="s">
        <v>5878</v>
      </c>
    </row>
    <row r="3904" spans="1:1">
      <c r="A3904" s="151" t="s">
        <v>5879</v>
      </c>
    </row>
    <row r="3905" spans="1:1">
      <c r="A3905" s="151" t="s">
        <v>5880</v>
      </c>
    </row>
    <row r="3906" spans="1:1">
      <c r="A3906" s="151" t="s">
        <v>5881</v>
      </c>
    </row>
    <row r="3907" spans="1:1">
      <c r="A3907" s="151" t="s">
        <v>5882</v>
      </c>
    </row>
    <row r="3908" spans="1:1">
      <c r="A3908" s="151" t="s">
        <v>5883</v>
      </c>
    </row>
    <row r="3909" spans="1:1">
      <c r="A3909" s="151" t="s">
        <v>5884</v>
      </c>
    </row>
    <row r="3910" spans="1:1">
      <c r="A3910" s="151" t="s">
        <v>5885</v>
      </c>
    </row>
    <row r="3911" spans="1:1">
      <c r="A3911" s="151" t="s">
        <v>5886</v>
      </c>
    </row>
    <row r="3912" spans="1:1">
      <c r="A3912" s="151" t="s">
        <v>5887</v>
      </c>
    </row>
    <row r="3913" spans="1:1">
      <c r="A3913" s="151" t="s">
        <v>5888</v>
      </c>
    </row>
    <row r="3914" spans="1:1">
      <c r="A3914" s="151" t="s">
        <v>5889</v>
      </c>
    </row>
    <row r="3915" spans="1:1">
      <c r="A3915" s="151" t="s">
        <v>5890</v>
      </c>
    </row>
    <row r="3916" spans="1:1">
      <c r="A3916" s="151" t="s">
        <v>5891</v>
      </c>
    </row>
    <row r="3917" spans="1:1">
      <c r="A3917" s="151" t="s">
        <v>5892</v>
      </c>
    </row>
    <row r="3918" spans="1:1">
      <c r="A3918" s="151" t="s">
        <v>5893</v>
      </c>
    </row>
    <row r="3919" spans="1:1">
      <c r="A3919" s="151" t="s">
        <v>5894</v>
      </c>
    </row>
    <row r="3920" spans="1:1">
      <c r="A3920" s="151" t="s">
        <v>5895</v>
      </c>
    </row>
    <row r="3921" spans="1:1">
      <c r="A3921" s="151" t="s">
        <v>5896</v>
      </c>
    </row>
    <row r="3922" spans="1:1">
      <c r="A3922" s="151" t="s">
        <v>5897</v>
      </c>
    </row>
    <row r="3923" spans="1:1">
      <c r="A3923" s="151" t="s">
        <v>5898</v>
      </c>
    </row>
    <row r="3924" spans="1:1">
      <c r="A3924" s="151" t="s">
        <v>5899</v>
      </c>
    </row>
    <row r="3925" spans="1:1">
      <c r="A3925" s="151" t="s">
        <v>5900</v>
      </c>
    </row>
    <row r="3926" spans="1:1">
      <c r="A3926" s="151" t="s">
        <v>5901</v>
      </c>
    </row>
    <row r="3927" spans="1:1">
      <c r="A3927" s="151" t="s">
        <v>5902</v>
      </c>
    </row>
    <row r="3928" spans="1:1">
      <c r="A3928" s="151" t="s">
        <v>5903</v>
      </c>
    </row>
    <row r="3929" spans="1:1">
      <c r="A3929" s="151" t="s">
        <v>5904</v>
      </c>
    </row>
    <row r="3930" spans="1:1">
      <c r="A3930" s="151" t="s">
        <v>5905</v>
      </c>
    </row>
    <row r="3931" spans="1:1">
      <c r="A3931" s="151" t="s">
        <v>5906</v>
      </c>
    </row>
    <row r="3932" spans="1:1">
      <c r="A3932" s="151" t="s">
        <v>5907</v>
      </c>
    </row>
    <row r="3933" spans="1:1">
      <c r="A3933" s="151" t="s">
        <v>5908</v>
      </c>
    </row>
    <row r="3934" spans="1:1">
      <c r="A3934" s="151" t="s">
        <v>5909</v>
      </c>
    </row>
    <row r="3935" spans="1:1">
      <c r="A3935" s="151" t="s">
        <v>5910</v>
      </c>
    </row>
    <row r="3936" spans="1:1">
      <c r="A3936" s="151" t="s">
        <v>5911</v>
      </c>
    </row>
    <row r="3937" spans="1:1">
      <c r="A3937" s="151" t="s">
        <v>5912</v>
      </c>
    </row>
    <row r="3938" spans="1:1">
      <c r="A3938" s="151" t="s">
        <v>5913</v>
      </c>
    </row>
    <row r="3939" spans="1:1">
      <c r="A3939" s="151" t="s">
        <v>5914</v>
      </c>
    </row>
    <row r="3940" spans="1:1">
      <c r="A3940" s="151" t="s">
        <v>5915</v>
      </c>
    </row>
    <row r="3941" spans="1:1">
      <c r="A3941" s="151" t="s">
        <v>5916</v>
      </c>
    </row>
    <row r="3942" spans="1:1">
      <c r="A3942" s="151" t="s">
        <v>5917</v>
      </c>
    </row>
    <row r="3943" spans="1:1">
      <c r="A3943" s="151" t="s">
        <v>5918</v>
      </c>
    </row>
    <row r="3944" spans="1:1">
      <c r="A3944" s="151" t="s">
        <v>5919</v>
      </c>
    </row>
    <row r="3945" spans="1:1">
      <c r="A3945" s="151" t="s">
        <v>5920</v>
      </c>
    </row>
    <row r="3946" spans="1:1">
      <c r="A3946" s="151" t="s">
        <v>5921</v>
      </c>
    </row>
    <row r="3947" spans="1:1">
      <c r="A3947" s="151" t="s">
        <v>5922</v>
      </c>
    </row>
    <row r="3948" spans="1:1">
      <c r="A3948" s="151" t="s">
        <v>5923</v>
      </c>
    </row>
    <row r="3949" spans="1:1">
      <c r="A3949" s="151" t="s">
        <v>5924</v>
      </c>
    </row>
    <row r="3950" spans="1:1">
      <c r="A3950" s="151" t="s">
        <v>5925</v>
      </c>
    </row>
    <row r="3951" spans="1:1">
      <c r="A3951" s="151" t="s">
        <v>5926</v>
      </c>
    </row>
    <row r="3952" spans="1:1">
      <c r="A3952" s="151" t="s">
        <v>5927</v>
      </c>
    </row>
    <row r="3953" spans="1:1">
      <c r="A3953" s="151" t="s">
        <v>5928</v>
      </c>
    </row>
    <row r="3954" spans="1:1">
      <c r="A3954" s="151" t="s">
        <v>5929</v>
      </c>
    </row>
    <row r="3955" spans="1:1">
      <c r="A3955" s="151" t="s">
        <v>5930</v>
      </c>
    </row>
    <row r="3956" spans="1:1">
      <c r="A3956" s="151" t="s">
        <v>5931</v>
      </c>
    </row>
    <row r="3957" spans="1:1">
      <c r="A3957" s="151" t="s">
        <v>5932</v>
      </c>
    </row>
    <row r="3958" spans="1:1">
      <c r="A3958" s="151" t="s">
        <v>5933</v>
      </c>
    </row>
    <row r="3959" spans="1:1">
      <c r="A3959" s="151" t="s">
        <v>5934</v>
      </c>
    </row>
    <row r="3960" spans="1:1">
      <c r="A3960" s="151" t="s">
        <v>5935</v>
      </c>
    </row>
    <row r="3961" spans="1:1">
      <c r="A3961" s="151" t="s">
        <v>5936</v>
      </c>
    </row>
    <row r="3962" spans="1:1">
      <c r="A3962" s="151" t="s">
        <v>5937</v>
      </c>
    </row>
    <row r="3963" spans="1:1">
      <c r="A3963" s="151" t="s">
        <v>5938</v>
      </c>
    </row>
    <row r="3964" spans="1:1">
      <c r="A3964" s="151" t="s">
        <v>5939</v>
      </c>
    </row>
    <row r="3965" spans="1:1">
      <c r="A3965" s="151" t="s">
        <v>5940</v>
      </c>
    </row>
    <row r="3966" spans="1:1">
      <c r="A3966" s="151" t="s">
        <v>5941</v>
      </c>
    </row>
    <row r="3967" spans="1:1">
      <c r="A3967" s="151" t="s">
        <v>5942</v>
      </c>
    </row>
    <row r="3968" spans="1:1">
      <c r="A3968" s="151" t="s">
        <v>5943</v>
      </c>
    </row>
    <row r="3969" spans="1:1">
      <c r="A3969" s="151" t="s">
        <v>5944</v>
      </c>
    </row>
    <row r="3970" spans="1:1">
      <c r="A3970" s="151" t="s">
        <v>5945</v>
      </c>
    </row>
    <row r="3971" spans="1:1">
      <c r="A3971" s="151" t="s">
        <v>5946</v>
      </c>
    </row>
    <row r="3972" spans="1:1">
      <c r="A3972" s="151" t="s">
        <v>5947</v>
      </c>
    </row>
    <row r="3973" spans="1:1">
      <c r="A3973" s="151" t="s">
        <v>5948</v>
      </c>
    </row>
    <row r="3974" spans="1:1">
      <c r="A3974" s="151" t="s">
        <v>5949</v>
      </c>
    </row>
    <row r="3975" spans="1:1">
      <c r="A3975" s="151" t="s">
        <v>5950</v>
      </c>
    </row>
    <row r="3976" spans="1:1">
      <c r="A3976" s="151" t="s">
        <v>5951</v>
      </c>
    </row>
    <row r="3977" spans="1:1">
      <c r="A3977" s="151" t="s">
        <v>5952</v>
      </c>
    </row>
    <row r="3978" spans="1:1">
      <c r="A3978" s="151" t="s">
        <v>5953</v>
      </c>
    </row>
    <row r="3979" spans="1:1">
      <c r="A3979" s="151" t="s">
        <v>5954</v>
      </c>
    </row>
    <row r="3980" spans="1:1">
      <c r="A3980" s="151" t="s">
        <v>5955</v>
      </c>
    </row>
    <row r="3981" spans="1:1">
      <c r="A3981" s="151" t="s">
        <v>5956</v>
      </c>
    </row>
    <row r="3982" spans="1:1">
      <c r="A3982" s="151" t="s">
        <v>5957</v>
      </c>
    </row>
    <row r="3983" spans="1:1">
      <c r="A3983" s="151" t="s">
        <v>5958</v>
      </c>
    </row>
    <row r="3984" spans="1:1">
      <c r="A3984" s="151" t="s">
        <v>5959</v>
      </c>
    </row>
    <row r="3985" spans="1:1">
      <c r="A3985" s="151" t="s">
        <v>5960</v>
      </c>
    </row>
    <row r="3986" spans="1:1">
      <c r="A3986" s="151" t="s">
        <v>5961</v>
      </c>
    </row>
    <row r="3987" spans="1:1">
      <c r="A3987" s="151" t="s">
        <v>5962</v>
      </c>
    </row>
    <row r="3988" spans="1:1">
      <c r="A3988" s="151" t="s">
        <v>5963</v>
      </c>
    </row>
    <row r="3989" spans="1:1">
      <c r="A3989" s="151" t="s">
        <v>5964</v>
      </c>
    </row>
    <row r="3990" spans="1:1">
      <c r="A3990" s="151" t="s">
        <v>5965</v>
      </c>
    </row>
    <row r="3991" spans="1:1">
      <c r="A3991" s="151" t="s">
        <v>5966</v>
      </c>
    </row>
    <row r="3992" spans="1:1">
      <c r="A3992" s="151" t="s">
        <v>5967</v>
      </c>
    </row>
    <row r="3993" spans="1:1">
      <c r="A3993" s="151" t="s">
        <v>5968</v>
      </c>
    </row>
    <row r="3994" spans="1:1">
      <c r="A3994" s="151" t="s">
        <v>5969</v>
      </c>
    </row>
    <row r="3995" spans="1:1">
      <c r="A3995" s="151" t="s">
        <v>5970</v>
      </c>
    </row>
    <row r="3996" spans="1:1">
      <c r="A3996" s="151" t="s">
        <v>5971</v>
      </c>
    </row>
    <row r="3997" spans="1:1">
      <c r="A3997" s="151" t="s">
        <v>5972</v>
      </c>
    </row>
    <row r="3998" spans="1:1">
      <c r="A3998" s="151" t="s">
        <v>5973</v>
      </c>
    </row>
    <row r="3999" spans="1:1">
      <c r="A3999" s="151" t="s">
        <v>5974</v>
      </c>
    </row>
    <row r="4000" spans="1:1">
      <c r="A4000" s="151" t="s">
        <v>5975</v>
      </c>
    </row>
    <row r="4001" spans="1:1">
      <c r="A4001" s="151" t="s">
        <v>5976</v>
      </c>
    </row>
    <row r="4002" spans="1:1">
      <c r="A4002" s="151" t="s">
        <v>5977</v>
      </c>
    </row>
    <row r="4003" spans="1:1">
      <c r="A4003" s="151" t="s">
        <v>5978</v>
      </c>
    </row>
    <row r="4004" spans="1:1">
      <c r="A4004" s="151" t="s">
        <v>5979</v>
      </c>
    </row>
    <row r="4005" spans="1:1">
      <c r="A4005" s="151" t="s">
        <v>5980</v>
      </c>
    </row>
    <row r="4006" spans="1:1">
      <c r="A4006" s="151" t="s">
        <v>5981</v>
      </c>
    </row>
    <row r="4007" spans="1:1">
      <c r="A4007" s="151" t="s">
        <v>5982</v>
      </c>
    </row>
    <row r="4008" spans="1:1">
      <c r="A4008" s="151" t="s">
        <v>5983</v>
      </c>
    </row>
    <row r="4009" spans="1:1">
      <c r="A4009" s="151" t="s">
        <v>5984</v>
      </c>
    </row>
    <row r="4010" spans="1:1">
      <c r="A4010" s="151" t="s">
        <v>5985</v>
      </c>
    </row>
    <row r="4011" spans="1:1">
      <c r="A4011" s="151" t="s">
        <v>5986</v>
      </c>
    </row>
    <row r="4012" spans="1:1">
      <c r="A4012" s="151" t="s">
        <v>5987</v>
      </c>
    </row>
    <row r="4013" spans="1:1">
      <c r="A4013" s="151" t="s">
        <v>5988</v>
      </c>
    </row>
    <row r="4014" spans="1:1">
      <c r="A4014" s="151" t="s">
        <v>5989</v>
      </c>
    </row>
    <row r="4015" spans="1:1">
      <c r="A4015" s="151" t="s">
        <v>5990</v>
      </c>
    </row>
    <row r="4016" spans="1:1">
      <c r="A4016" s="151" t="s">
        <v>5991</v>
      </c>
    </row>
    <row r="4017" spans="1:1">
      <c r="A4017" s="151" t="s">
        <v>5992</v>
      </c>
    </row>
    <row r="4018" spans="1:1">
      <c r="A4018" s="151" t="s">
        <v>5993</v>
      </c>
    </row>
    <row r="4019" spans="1:1">
      <c r="A4019" s="151" t="s">
        <v>5994</v>
      </c>
    </row>
    <row r="4020" spans="1:1">
      <c r="A4020" s="151" t="s">
        <v>5995</v>
      </c>
    </row>
    <row r="4021" spans="1:1">
      <c r="A4021" s="151" t="s">
        <v>5996</v>
      </c>
    </row>
    <row r="4022" spans="1:1">
      <c r="A4022" s="151" t="s">
        <v>5997</v>
      </c>
    </row>
    <row r="4023" spans="1:1">
      <c r="A4023" s="151" t="s">
        <v>5998</v>
      </c>
    </row>
    <row r="4024" spans="1:1">
      <c r="A4024" s="151" t="s">
        <v>5999</v>
      </c>
    </row>
    <row r="4025" spans="1:1">
      <c r="A4025" s="151" t="s">
        <v>6000</v>
      </c>
    </row>
    <row r="4026" spans="1:1">
      <c r="A4026" s="151" t="s">
        <v>6001</v>
      </c>
    </row>
    <row r="4027" spans="1:1">
      <c r="A4027" s="151" t="s">
        <v>6002</v>
      </c>
    </row>
    <row r="4028" spans="1:1">
      <c r="A4028" s="151" t="s">
        <v>6003</v>
      </c>
    </row>
    <row r="4029" spans="1:1">
      <c r="A4029" s="151" t="s">
        <v>6004</v>
      </c>
    </row>
    <row r="4030" spans="1:1">
      <c r="A4030" s="151" t="s">
        <v>6005</v>
      </c>
    </row>
    <row r="4031" spans="1:1">
      <c r="A4031" s="151" t="s">
        <v>6006</v>
      </c>
    </row>
    <row r="4032" spans="1:1">
      <c r="A4032" s="151" t="s">
        <v>6007</v>
      </c>
    </row>
    <row r="4033" spans="1:1">
      <c r="A4033" s="151" t="s">
        <v>6008</v>
      </c>
    </row>
    <row r="4034" spans="1:1">
      <c r="A4034" s="151" t="s">
        <v>6009</v>
      </c>
    </row>
    <row r="4035" spans="1:1">
      <c r="A4035" s="151" t="s">
        <v>6010</v>
      </c>
    </row>
    <row r="4036" spans="1:1">
      <c r="A4036" s="151" t="s">
        <v>6011</v>
      </c>
    </row>
    <row r="4037" spans="1:1">
      <c r="A4037" s="151" t="s">
        <v>6012</v>
      </c>
    </row>
    <row r="4038" spans="1:1">
      <c r="A4038" s="151" t="s">
        <v>6013</v>
      </c>
    </row>
    <row r="4039" spans="1:1">
      <c r="A4039" s="151" t="s">
        <v>6014</v>
      </c>
    </row>
    <row r="4040" spans="1:1">
      <c r="A4040" s="151" t="s">
        <v>6015</v>
      </c>
    </row>
    <row r="4041" spans="1:1">
      <c r="A4041" s="151" t="s">
        <v>6016</v>
      </c>
    </row>
    <row r="4042" spans="1:1">
      <c r="A4042" s="151" t="s">
        <v>6017</v>
      </c>
    </row>
    <row r="4043" spans="1:1">
      <c r="A4043" s="151" t="s">
        <v>6018</v>
      </c>
    </row>
    <row r="4044" spans="1:1">
      <c r="A4044" s="151" t="s">
        <v>6019</v>
      </c>
    </row>
    <row r="4045" spans="1:1">
      <c r="A4045" s="151" t="s">
        <v>6020</v>
      </c>
    </row>
    <row r="4046" spans="1:1">
      <c r="A4046" s="151" t="s">
        <v>6021</v>
      </c>
    </row>
    <row r="4047" spans="1:1">
      <c r="A4047" s="151" t="s">
        <v>6022</v>
      </c>
    </row>
    <row r="4048" spans="1:1">
      <c r="A4048" s="151" t="s">
        <v>6023</v>
      </c>
    </row>
    <row r="4049" spans="1:1">
      <c r="A4049" s="151" t="s">
        <v>6024</v>
      </c>
    </row>
    <row r="4050" spans="1:1">
      <c r="A4050" s="151" t="s">
        <v>6025</v>
      </c>
    </row>
    <row r="4051" spans="1:1">
      <c r="A4051" s="151" t="s">
        <v>6026</v>
      </c>
    </row>
    <row r="4052" spans="1:1">
      <c r="A4052" s="151" t="s">
        <v>6027</v>
      </c>
    </row>
    <row r="4053" spans="1:1">
      <c r="A4053" s="151" t="s">
        <v>6028</v>
      </c>
    </row>
    <row r="4054" spans="1:1">
      <c r="A4054" s="151" t="s">
        <v>6029</v>
      </c>
    </row>
    <row r="4055" spans="1:1">
      <c r="A4055" s="151" t="s">
        <v>6030</v>
      </c>
    </row>
    <row r="4056" spans="1:1">
      <c r="A4056" s="151" t="s">
        <v>6031</v>
      </c>
    </row>
    <row r="4057" spans="1:1">
      <c r="A4057" s="151" t="s">
        <v>6032</v>
      </c>
    </row>
    <row r="4058" spans="1:1">
      <c r="A4058" s="151" t="s">
        <v>6033</v>
      </c>
    </row>
    <row r="4059" spans="1:1">
      <c r="A4059" s="151" t="s">
        <v>6034</v>
      </c>
    </row>
    <row r="4060" spans="1:1">
      <c r="A4060" s="151" t="s">
        <v>6035</v>
      </c>
    </row>
    <row r="4061" spans="1:1">
      <c r="A4061" s="151" t="s">
        <v>6036</v>
      </c>
    </row>
    <row r="4062" spans="1:1">
      <c r="A4062" s="151" t="s">
        <v>6037</v>
      </c>
    </row>
    <row r="4063" spans="1:1">
      <c r="A4063" s="151" t="s">
        <v>6038</v>
      </c>
    </row>
    <row r="4064" spans="1:1">
      <c r="A4064" s="151" t="s">
        <v>6039</v>
      </c>
    </row>
    <row r="4065" spans="1:1">
      <c r="A4065" s="151" t="s">
        <v>6040</v>
      </c>
    </row>
    <row r="4066" spans="1:1">
      <c r="A4066" s="151" t="s">
        <v>6041</v>
      </c>
    </row>
    <row r="4067" spans="1:1">
      <c r="A4067" s="151" t="s">
        <v>6042</v>
      </c>
    </row>
    <row r="4068" spans="1:1">
      <c r="A4068" s="151" t="s">
        <v>6043</v>
      </c>
    </row>
    <row r="4069" spans="1:1">
      <c r="A4069" s="151" t="s">
        <v>6044</v>
      </c>
    </row>
    <row r="4070" spans="1:1">
      <c r="A4070" s="151" t="s">
        <v>6045</v>
      </c>
    </row>
    <row r="4071" spans="1:1">
      <c r="A4071" s="151" t="s">
        <v>6046</v>
      </c>
    </row>
    <row r="4072" spans="1:1">
      <c r="A4072" s="151" t="s">
        <v>6047</v>
      </c>
    </row>
    <row r="4073" spans="1:1">
      <c r="A4073" s="151" t="s">
        <v>6048</v>
      </c>
    </row>
    <row r="4074" spans="1:1">
      <c r="A4074" s="151" t="s">
        <v>6049</v>
      </c>
    </row>
    <row r="4075" spans="1:1">
      <c r="A4075" s="151" t="s">
        <v>6050</v>
      </c>
    </row>
    <row r="4076" spans="1:1">
      <c r="A4076" s="151" t="s">
        <v>6051</v>
      </c>
    </row>
    <row r="4077" spans="1:1">
      <c r="A4077" s="151" t="s">
        <v>6052</v>
      </c>
    </row>
    <row r="4078" spans="1:1">
      <c r="A4078" s="151" t="s">
        <v>6053</v>
      </c>
    </row>
    <row r="4079" spans="1:1">
      <c r="A4079" s="151" t="s">
        <v>6054</v>
      </c>
    </row>
    <row r="4080" spans="1:1">
      <c r="A4080" s="151" t="s">
        <v>6055</v>
      </c>
    </row>
    <row r="4081" spans="1:1">
      <c r="A4081" s="151" t="s">
        <v>6056</v>
      </c>
    </row>
    <row r="4082" spans="1:1">
      <c r="A4082" s="151" t="s">
        <v>6057</v>
      </c>
    </row>
    <row r="4083" spans="1:1">
      <c r="A4083" s="151" t="s">
        <v>6058</v>
      </c>
    </row>
    <row r="4084" spans="1:1">
      <c r="A4084" s="151" t="s">
        <v>6059</v>
      </c>
    </row>
    <row r="4085" spans="1:1">
      <c r="A4085" s="151" t="s">
        <v>6060</v>
      </c>
    </row>
    <row r="4086" spans="1:1">
      <c r="A4086" s="151" t="s">
        <v>6061</v>
      </c>
    </row>
    <row r="4087" spans="1:1">
      <c r="A4087" s="151" t="s">
        <v>6062</v>
      </c>
    </row>
    <row r="4088" spans="1:1">
      <c r="A4088" s="151" t="s">
        <v>6063</v>
      </c>
    </row>
    <row r="4089" spans="1:1">
      <c r="A4089" s="151" t="s">
        <v>6064</v>
      </c>
    </row>
    <row r="4090" spans="1:1">
      <c r="A4090" s="151" t="s">
        <v>6065</v>
      </c>
    </row>
    <row r="4091" spans="1:1">
      <c r="A4091" s="151" t="s">
        <v>6066</v>
      </c>
    </row>
    <row r="4092" spans="1:1">
      <c r="A4092" s="151" t="s">
        <v>6067</v>
      </c>
    </row>
    <row r="4093" spans="1:1">
      <c r="A4093" s="151" t="s">
        <v>6068</v>
      </c>
    </row>
    <row r="4094" spans="1:1">
      <c r="A4094" s="151" t="s">
        <v>6069</v>
      </c>
    </row>
    <row r="4095" spans="1:1">
      <c r="A4095" s="151" t="s">
        <v>6070</v>
      </c>
    </row>
    <row r="4096" spans="1:1">
      <c r="A4096" s="151" t="s">
        <v>6071</v>
      </c>
    </row>
    <row r="4097" spans="1:1">
      <c r="A4097" s="151" t="s">
        <v>6072</v>
      </c>
    </row>
    <row r="4098" spans="1:1">
      <c r="A4098" s="151" t="s">
        <v>6073</v>
      </c>
    </row>
    <row r="4099" spans="1:1">
      <c r="A4099" s="151" t="s">
        <v>6074</v>
      </c>
    </row>
    <row r="4100" spans="1:1">
      <c r="A4100" s="151" t="s">
        <v>6075</v>
      </c>
    </row>
    <row r="4101" spans="1:1">
      <c r="A4101" s="151" t="s">
        <v>6076</v>
      </c>
    </row>
    <row r="4102" spans="1:1">
      <c r="A4102" s="151" t="s">
        <v>6077</v>
      </c>
    </row>
    <row r="4103" spans="1:1">
      <c r="A4103" s="151" t="s">
        <v>6078</v>
      </c>
    </row>
    <row r="4104" spans="1:1">
      <c r="A4104" s="151" t="s">
        <v>6079</v>
      </c>
    </row>
    <row r="4105" spans="1:1">
      <c r="A4105" s="151" t="s">
        <v>6080</v>
      </c>
    </row>
    <row r="4106" spans="1:1">
      <c r="A4106" s="151" t="s">
        <v>6081</v>
      </c>
    </row>
    <row r="4107" spans="1:1">
      <c r="A4107" s="151" t="s">
        <v>6082</v>
      </c>
    </row>
    <row r="4108" spans="1:1">
      <c r="A4108" s="151" t="s">
        <v>6083</v>
      </c>
    </row>
    <row r="4109" spans="1:1">
      <c r="A4109" s="151" t="s">
        <v>6084</v>
      </c>
    </row>
    <row r="4110" spans="1:1">
      <c r="A4110" s="151" t="s">
        <v>6085</v>
      </c>
    </row>
    <row r="4111" spans="1:1">
      <c r="A4111" s="151" t="s">
        <v>6086</v>
      </c>
    </row>
    <row r="4112" spans="1:1">
      <c r="A4112" s="151" t="s">
        <v>6087</v>
      </c>
    </row>
    <row r="4113" spans="1:1">
      <c r="A4113" s="151" t="s">
        <v>6088</v>
      </c>
    </row>
    <row r="4114" spans="1:1">
      <c r="A4114" s="151" t="s">
        <v>6089</v>
      </c>
    </row>
    <row r="4115" spans="1:1">
      <c r="A4115" s="151" t="s">
        <v>6090</v>
      </c>
    </row>
    <row r="4116" spans="1:1">
      <c r="A4116" s="151" t="s">
        <v>6091</v>
      </c>
    </row>
    <row r="4117" spans="1:1">
      <c r="A4117" s="151" t="s">
        <v>6092</v>
      </c>
    </row>
    <row r="4118" spans="1:1">
      <c r="A4118" s="151" t="s">
        <v>6093</v>
      </c>
    </row>
    <row r="4119" spans="1:1">
      <c r="A4119" s="151" t="s">
        <v>6094</v>
      </c>
    </row>
    <row r="4120" spans="1:1">
      <c r="A4120" s="151" t="s">
        <v>6095</v>
      </c>
    </row>
    <row r="4121" spans="1:1">
      <c r="A4121" s="151" t="s">
        <v>6096</v>
      </c>
    </row>
    <row r="4122" spans="1:1">
      <c r="A4122" s="151" t="s">
        <v>6097</v>
      </c>
    </row>
    <row r="4123" spans="1:1">
      <c r="A4123" s="151" t="s">
        <v>6098</v>
      </c>
    </row>
    <row r="4124" spans="1:1">
      <c r="A4124" s="151" t="s">
        <v>6099</v>
      </c>
    </row>
    <row r="4125" spans="1:1">
      <c r="A4125" s="151" t="s">
        <v>6100</v>
      </c>
    </row>
    <row r="4126" spans="1:1">
      <c r="A4126" s="151" t="s">
        <v>6101</v>
      </c>
    </row>
    <row r="4127" spans="1:1">
      <c r="A4127" s="151" t="s">
        <v>6102</v>
      </c>
    </row>
    <row r="4128" spans="1:1">
      <c r="A4128" s="151" t="s">
        <v>6103</v>
      </c>
    </row>
    <row r="4129" spans="1:1">
      <c r="A4129" s="151" t="s">
        <v>6104</v>
      </c>
    </row>
    <row r="4130" spans="1:1">
      <c r="A4130" s="151" t="s">
        <v>6105</v>
      </c>
    </row>
    <row r="4131" spans="1:1">
      <c r="A4131" s="151" t="s">
        <v>6106</v>
      </c>
    </row>
    <row r="4132" spans="1:1">
      <c r="A4132" s="151" t="s">
        <v>6107</v>
      </c>
    </row>
    <row r="4133" spans="1:1">
      <c r="A4133" s="151" t="s">
        <v>6108</v>
      </c>
    </row>
    <row r="4134" spans="1:1">
      <c r="A4134" s="151" t="s">
        <v>6109</v>
      </c>
    </row>
    <row r="4135" spans="1:1">
      <c r="A4135" s="151" t="s">
        <v>6110</v>
      </c>
    </row>
    <row r="4136" spans="1:1">
      <c r="A4136" s="151" t="s">
        <v>6111</v>
      </c>
    </row>
    <row r="4137" spans="1:1">
      <c r="A4137" s="151" t="s">
        <v>6112</v>
      </c>
    </row>
    <row r="4138" spans="1:1">
      <c r="A4138" s="151" t="s">
        <v>6113</v>
      </c>
    </row>
    <row r="4139" spans="1:1">
      <c r="A4139" s="151" t="s">
        <v>6114</v>
      </c>
    </row>
    <row r="4140" spans="1:1">
      <c r="A4140" s="151" t="s">
        <v>6115</v>
      </c>
    </row>
    <row r="4141" spans="1:1">
      <c r="A4141" s="151" t="s">
        <v>6116</v>
      </c>
    </row>
    <row r="4142" spans="1:1">
      <c r="A4142" s="151" t="s">
        <v>6117</v>
      </c>
    </row>
    <row r="4143" spans="1:1">
      <c r="A4143" s="151" t="s">
        <v>6118</v>
      </c>
    </row>
    <row r="4144" spans="1:1">
      <c r="A4144" s="151" t="s">
        <v>6119</v>
      </c>
    </row>
    <row r="4145" spans="1:1">
      <c r="A4145" s="151" t="s">
        <v>6120</v>
      </c>
    </row>
    <row r="4146" spans="1:1">
      <c r="A4146" s="151" t="s">
        <v>6121</v>
      </c>
    </row>
    <row r="4147" spans="1:1">
      <c r="A4147" s="151" t="s">
        <v>6122</v>
      </c>
    </row>
    <row r="4148" spans="1:1">
      <c r="A4148" s="151" t="s">
        <v>6123</v>
      </c>
    </row>
    <row r="4149" spans="1:1">
      <c r="A4149" s="151" t="s">
        <v>6124</v>
      </c>
    </row>
    <row r="4150" spans="1:1">
      <c r="A4150" s="151" t="s">
        <v>6125</v>
      </c>
    </row>
    <row r="4151" spans="1:1">
      <c r="A4151" s="151" t="s">
        <v>6126</v>
      </c>
    </row>
    <row r="4152" spans="1:1">
      <c r="A4152" s="151" t="s">
        <v>6127</v>
      </c>
    </row>
    <row r="4153" spans="1:1">
      <c r="A4153" s="151" t="s">
        <v>6128</v>
      </c>
    </row>
    <row r="4154" spans="1:1">
      <c r="A4154" s="151" t="s">
        <v>6129</v>
      </c>
    </row>
    <row r="4155" spans="1:1">
      <c r="A4155" s="151" t="s">
        <v>6130</v>
      </c>
    </row>
    <row r="4156" spans="1:1">
      <c r="A4156" s="151" t="s">
        <v>6131</v>
      </c>
    </row>
    <row r="4157" spans="1:1">
      <c r="A4157" s="151" t="s">
        <v>6132</v>
      </c>
    </row>
    <row r="4158" spans="1:1">
      <c r="A4158" s="151" t="s">
        <v>6133</v>
      </c>
    </row>
    <row r="4159" spans="1:1">
      <c r="A4159" s="151" t="s">
        <v>6134</v>
      </c>
    </row>
    <row r="4160" spans="1:1">
      <c r="A4160" s="151" t="s">
        <v>6135</v>
      </c>
    </row>
    <row r="4161" spans="1:1">
      <c r="A4161" s="151" t="s">
        <v>6136</v>
      </c>
    </row>
    <row r="4162" spans="1:1">
      <c r="A4162" s="151" t="s">
        <v>6137</v>
      </c>
    </row>
    <row r="4163" spans="1:1">
      <c r="A4163" s="151" t="s">
        <v>6138</v>
      </c>
    </row>
    <row r="4164" spans="1:1">
      <c r="A4164" s="151" t="s">
        <v>6139</v>
      </c>
    </row>
    <row r="4165" spans="1:1">
      <c r="A4165" s="151" t="s">
        <v>6140</v>
      </c>
    </row>
    <row r="4166" spans="1:1">
      <c r="A4166" s="151" t="s">
        <v>6141</v>
      </c>
    </row>
    <row r="4167" spans="1:1">
      <c r="A4167" s="151" t="s">
        <v>6142</v>
      </c>
    </row>
    <row r="4168" spans="1:1">
      <c r="A4168" s="151" t="s">
        <v>6143</v>
      </c>
    </row>
    <row r="4169" spans="1:1">
      <c r="A4169" s="151" t="s">
        <v>6144</v>
      </c>
    </row>
    <row r="4170" spans="1:1">
      <c r="A4170" s="151" t="s">
        <v>6145</v>
      </c>
    </row>
    <row r="4171" spans="1:1">
      <c r="A4171" s="151" t="s">
        <v>6146</v>
      </c>
    </row>
    <row r="4172" spans="1:1">
      <c r="A4172" s="151" t="s">
        <v>6147</v>
      </c>
    </row>
    <row r="4173" spans="1:1">
      <c r="A4173" s="151" t="s">
        <v>6148</v>
      </c>
    </row>
    <row r="4174" spans="1:1">
      <c r="A4174" s="151" t="s">
        <v>6149</v>
      </c>
    </row>
    <row r="4175" spans="1:1">
      <c r="A4175" s="151" t="s">
        <v>6150</v>
      </c>
    </row>
    <row r="4176" spans="1:1">
      <c r="A4176" s="151" t="s">
        <v>6151</v>
      </c>
    </row>
    <row r="4177" spans="1:1">
      <c r="A4177" s="151" t="s">
        <v>6152</v>
      </c>
    </row>
    <row r="4178" spans="1:1">
      <c r="A4178" s="151" t="s">
        <v>6153</v>
      </c>
    </row>
    <row r="4179" spans="1:1">
      <c r="A4179" s="151" t="s">
        <v>6154</v>
      </c>
    </row>
    <row r="4180" spans="1:1">
      <c r="A4180" s="151" t="s">
        <v>6155</v>
      </c>
    </row>
    <row r="4181" spans="1:1">
      <c r="A4181" s="151" t="s">
        <v>6156</v>
      </c>
    </row>
    <row r="4182" spans="1:1">
      <c r="A4182" s="151" t="s">
        <v>6157</v>
      </c>
    </row>
    <row r="4183" spans="1:1">
      <c r="A4183" s="151" t="s">
        <v>6158</v>
      </c>
    </row>
    <row r="4184" spans="1:1">
      <c r="A4184" s="151" t="s">
        <v>6159</v>
      </c>
    </row>
    <row r="4185" spans="1:1">
      <c r="A4185" s="151" t="s">
        <v>6160</v>
      </c>
    </row>
    <row r="4186" spans="1:1">
      <c r="A4186" s="151" t="s">
        <v>6161</v>
      </c>
    </row>
    <row r="4187" spans="1:1">
      <c r="A4187" s="151" t="s">
        <v>6162</v>
      </c>
    </row>
    <row r="4188" spans="1:1">
      <c r="A4188" s="151" t="s">
        <v>6163</v>
      </c>
    </row>
    <row r="4189" spans="1:1">
      <c r="A4189" s="151" t="s">
        <v>6164</v>
      </c>
    </row>
    <row r="4190" spans="1:1">
      <c r="A4190" s="151" t="s">
        <v>6165</v>
      </c>
    </row>
    <row r="4191" spans="1:1">
      <c r="A4191" s="151" t="s">
        <v>6166</v>
      </c>
    </row>
    <row r="4192" spans="1:1">
      <c r="A4192" s="151" t="s">
        <v>6167</v>
      </c>
    </row>
    <row r="4193" spans="1:1">
      <c r="A4193" s="151" t="s">
        <v>6168</v>
      </c>
    </row>
    <row r="4194" spans="1:1">
      <c r="A4194" s="151" t="s">
        <v>6169</v>
      </c>
    </row>
    <row r="4195" spans="1:1">
      <c r="A4195" s="151" t="s">
        <v>6170</v>
      </c>
    </row>
    <row r="4196" spans="1:1">
      <c r="A4196" s="151" t="s">
        <v>6171</v>
      </c>
    </row>
    <row r="4197" spans="1:1">
      <c r="A4197" s="151" t="s">
        <v>6172</v>
      </c>
    </row>
    <row r="4198" spans="1:1">
      <c r="A4198" s="151" t="s">
        <v>6173</v>
      </c>
    </row>
    <row r="4199" spans="1:1">
      <c r="A4199" s="151" t="s">
        <v>6174</v>
      </c>
    </row>
    <row r="4200" spans="1:1">
      <c r="A4200" s="151" t="s">
        <v>6175</v>
      </c>
    </row>
    <row r="4201" spans="1:1">
      <c r="A4201" s="151" t="s">
        <v>6176</v>
      </c>
    </row>
    <row r="4202" spans="1:1">
      <c r="A4202" s="151" t="s">
        <v>6177</v>
      </c>
    </row>
    <row r="4203" spans="1:1">
      <c r="A4203" s="151" t="s">
        <v>6178</v>
      </c>
    </row>
    <row r="4204" spans="1:1">
      <c r="A4204" s="151" t="s">
        <v>6179</v>
      </c>
    </row>
    <row r="4205" spans="1:1">
      <c r="A4205" s="151" t="s">
        <v>6180</v>
      </c>
    </row>
    <row r="4206" spans="1:1">
      <c r="A4206" s="151" t="s">
        <v>6181</v>
      </c>
    </row>
    <row r="4207" spans="1:1">
      <c r="A4207" s="151" t="s">
        <v>6182</v>
      </c>
    </row>
    <row r="4208" spans="1:1">
      <c r="A4208" s="151" t="s">
        <v>6183</v>
      </c>
    </row>
    <row r="4209" spans="1:1">
      <c r="A4209" s="151" t="s">
        <v>6184</v>
      </c>
    </row>
    <row r="4210" spans="1:1">
      <c r="A4210" s="151" t="s">
        <v>6185</v>
      </c>
    </row>
    <row r="4211" spans="1:1">
      <c r="A4211" s="151" t="s">
        <v>6186</v>
      </c>
    </row>
    <row r="4212" spans="1:1">
      <c r="A4212" s="151" t="s">
        <v>6187</v>
      </c>
    </row>
    <row r="4213" spans="1:1">
      <c r="A4213" s="151" t="s">
        <v>6188</v>
      </c>
    </row>
    <row r="4214" spans="1:1">
      <c r="A4214" s="151" t="s">
        <v>6189</v>
      </c>
    </row>
    <row r="4215" spans="1:1">
      <c r="A4215" s="151" t="s">
        <v>6190</v>
      </c>
    </row>
    <row r="4216" spans="1:1">
      <c r="A4216" s="151" t="s">
        <v>6191</v>
      </c>
    </row>
    <row r="4217" spans="1:1">
      <c r="A4217" s="151" t="s">
        <v>6192</v>
      </c>
    </row>
    <row r="4218" spans="1:1">
      <c r="A4218" s="151" t="s">
        <v>6193</v>
      </c>
    </row>
    <row r="4219" spans="1:1">
      <c r="A4219" s="151" t="s">
        <v>6194</v>
      </c>
    </row>
    <row r="4220" spans="1:1">
      <c r="A4220" s="151" t="s">
        <v>6195</v>
      </c>
    </row>
    <row r="4221" spans="1:1">
      <c r="A4221" s="151" t="s">
        <v>6196</v>
      </c>
    </row>
    <row r="4222" spans="1:1">
      <c r="A4222" s="151" t="s">
        <v>6197</v>
      </c>
    </row>
    <row r="4223" spans="1:1">
      <c r="A4223" s="151" t="s">
        <v>6198</v>
      </c>
    </row>
    <row r="4224" spans="1:1">
      <c r="A4224" s="151" t="s">
        <v>6199</v>
      </c>
    </row>
    <row r="4225" spans="1:1">
      <c r="A4225" s="151" t="s">
        <v>6200</v>
      </c>
    </row>
    <row r="4226" spans="1:1">
      <c r="A4226" s="151" t="s">
        <v>6201</v>
      </c>
    </row>
    <row r="4227" spans="1:1">
      <c r="A4227" s="151" t="s">
        <v>6202</v>
      </c>
    </row>
    <row r="4228" spans="1:1">
      <c r="A4228" s="151" t="s">
        <v>6203</v>
      </c>
    </row>
    <row r="4229" spans="1:1">
      <c r="A4229" s="151" t="s">
        <v>6204</v>
      </c>
    </row>
    <row r="4230" spans="1:1">
      <c r="A4230" s="151" t="s">
        <v>6205</v>
      </c>
    </row>
    <row r="4231" spans="1:1">
      <c r="A4231" s="151" t="s">
        <v>6206</v>
      </c>
    </row>
    <row r="4232" spans="1:1">
      <c r="A4232" s="151" t="s">
        <v>6207</v>
      </c>
    </row>
    <row r="4233" spans="1:1">
      <c r="A4233" s="151" t="s">
        <v>6208</v>
      </c>
    </row>
    <row r="4234" spans="1:1">
      <c r="A4234" s="151" t="s">
        <v>6209</v>
      </c>
    </row>
    <row r="4235" spans="1:1">
      <c r="A4235" s="151" t="s">
        <v>6210</v>
      </c>
    </row>
    <row r="4236" spans="1:1">
      <c r="A4236" s="151" t="s">
        <v>6211</v>
      </c>
    </row>
    <row r="4237" spans="1:1">
      <c r="A4237" s="151" t="s">
        <v>6212</v>
      </c>
    </row>
    <row r="4238" spans="1:1">
      <c r="A4238" s="151" t="s">
        <v>6213</v>
      </c>
    </row>
    <row r="4239" spans="1:1">
      <c r="A4239" s="151" t="s">
        <v>6214</v>
      </c>
    </row>
    <row r="4240" spans="1:1">
      <c r="A4240" s="151" t="s">
        <v>6215</v>
      </c>
    </row>
    <row r="4241" spans="1:1">
      <c r="A4241" s="151" t="s">
        <v>6216</v>
      </c>
    </row>
    <row r="4242" spans="1:1">
      <c r="A4242" s="151" t="s">
        <v>6217</v>
      </c>
    </row>
    <row r="4243" spans="1:1">
      <c r="A4243" s="151" t="s">
        <v>6218</v>
      </c>
    </row>
    <row r="4244" spans="1:1">
      <c r="A4244" s="151" t="s">
        <v>6219</v>
      </c>
    </row>
    <row r="4245" spans="1:1">
      <c r="A4245" s="151" t="s">
        <v>6220</v>
      </c>
    </row>
    <row r="4246" spans="1:1">
      <c r="A4246" s="151" t="s">
        <v>6221</v>
      </c>
    </row>
    <row r="4247" spans="1:1">
      <c r="A4247" s="151" t="s">
        <v>6222</v>
      </c>
    </row>
    <row r="4248" spans="1:1">
      <c r="A4248" s="151" t="s">
        <v>6223</v>
      </c>
    </row>
    <row r="4249" spans="1:1">
      <c r="A4249" s="151" t="s">
        <v>6224</v>
      </c>
    </row>
    <row r="4250" spans="1:1">
      <c r="A4250" s="151" t="s">
        <v>6225</v>
      </c>
    </row>
    <row r="4251" spans="1:1">
      <c r="A4251" s="151" t="s">
        <v>6226</v>
      </c>
    </row>
    <row r="4252" spans="1:1">
      <c r="A4252" s="151" t="s">
        <v>6227</v>
      </c>
    </row>
    <row r="4253" spans="1:1">
      <c r="A4253" s="151" t="s">
        <v>6228</v>
      </c>
    </row>
    <row r="4254" spans="1:1">
      <c r="A4254" s="151" t="s">
        <v>6229</v>
      </c>
    </row>
    <row r="4255" spans="1:1">
      <c r="A4255" s="151" t="s">
        <v>6230</v>
      </c>
    </row>
    <row r="4256" spans="1:1">
      <c r="A4256" s="151" t="s">
        <v>6231</v>
      </c>
    </row>
    <row r="4257" spans="1:1">
      <c r="A4257" s="151" t="s">
        <v>6232</v>
      </c>
    </row>
    <row r="4258" spans="1:1">
      <c r="A4258" s="151" t="s">
        <v>6233</v>
      </c>
    </row>
    <row r="4259" spans="1:1">
      <c r="A4259" s="151" t="s">
        <v>6234</v>
      </c>
    </row>
    <row r="4260" spans="1:1">
      <c r="A4260" s="151" t="s">
        <v>6235</v>
      </c>
    </row>
    <row r="4261" spans="1:1">
      <c r="A4261" s="151" t="s">
        <v>6236</v>
      </c>
    </row>
    <row r="4262" spans="1:1">
      <c r="A4262" s="151" t="s">
        <v>6237</v>
      </c>
    </row>
    <row r="4263" spans="1:1">
      <c r="A4263" s="151" t="s">
        <v>6238</v>
      </c>
    </row>
    <row r="4264" spans="1:1">
      <c r="A4264" s="151" t="s">
        <v>6239</v>
      </c>
    </row>
    <row r="4265" spans="1:1">
      <c r="A4265" s="151" t="s">
        <v>6240</v>
      </c>
    </row>
    <row r="4266" spans="1:1">
      <c r="A4266" s="151" t="s">
        <v>6241</v>
      </c>
    </row>
    <row r="4267" spans="1:1">
      <c r="A4267" s="151" t="s">
        <v>6242</v>
      </c>
    </row>
    <row r="4268" spans="1:1">
      <c r="A4268" s="151" t="s">
        <v>6243</v>
      </c>
    </row>
    <row r="4269" spans="1:1">
      <c r="A4269" s="151" t="s">
        <v>6244</v>
      </c>
    </row>
    <row r="4270" spans="1:1">
      <c r="A4270" s="151" t="s">
        <v>6245</v>
      </c>
    </row>
    <row r="4271" spans="1:1">
      <c r="A4271" s="151" t="s">
        <v>6246</v>
      </c>
    </row>
    <row r="4272" spans="1:1">
      <c r="A4272" s="151" t="s">
        <v>6247</v>
      </c>
    </row>
    <row r="4273" spans="1:1">
      <c r="A4273" s="151" t="s">
        <v>6248</v>
      </c>
    </row>
    <row r="4274" spans="1:1">
      <c r="A4274" s="151" t="s">
        <v>6249</v>
      </c>
    </row>
    <row r="4275" spans="1:1">
      <c r="A4275" s="151" t="s">
        <v>6250</v>
      </c>
    </row>
    <row r="4276" spans="1:1">
      <c r="A4276" s="151" t="s">
        <v>6251</v>
      </c>
    </row>
    <row r="4277" spans="1:1">
      <c r="A4277" s="151" t="s">
        <v>6252</v>
      </c>
    </row>
    <row r="4278" spans="1:1">
      <c r="A4278" s="151" t="s">
        <v>6253</v>
      </c>
    </row>
    <row r="4279" spans="1:1">
      <c r="A4279" s="151" t="s">
        <v>6254</v>
      </c>
    </row>
    <row r="4280" spans="1:1">
      <c r="A4280" s="151" t="s">
        <v>6255</v>
      </c>
    </row>
    <row r="4281" spans="1:1">
      <c r="A4281" s="151" t="s">
        <v>6256</v>
      </c>
    </row>
    <row r="4282" spans="1:1">
      <c r="A4282" s="151" t="s">
        <v>6257</v>
      </c>
    </row>
    <row r="4283" spans="1:1">
      <c r="A4283" s="151" t="s">
        <v>6258</v>
      </c>
    </row>
    <row r="4284" spans="1:1">
      <c r="A4284" s="151" t="s">
        <v>6259</v>
      </c>
    </row>
    <row r="4285" spans="1:1">
      <c r="A4285" s="151" t="s">
        <v>6260</v>
      </c>
    </row>
    <row r="4286" spans="1:1">
      <c r="A4286" s="151" t="s">
        <v>6261</v>
      </c>
    </row>
    <row r="4287" spans="1:1">
      <c r="A4287" s="151" t="s">
        <v>6262</v>
      </c>
    </row>
    <row r="4288" spans="1:1">
      <c r="A4288" s="151" t="s">
        <v>6263</v>
      </c>
    </row>
    <row r="4289" spans="1:1">
      <c r="A4289" s="151" t="s">
        <v>6264</v>
      </c>
    </row>
    <row r="4290" spans="1:1">
      <c r="A4290" s="151" t="s">
        <v>6265</v>
      </c>
    </row>
    <row r="4291" spans="1:1">
      <c r="A4291" s="151" t="s">
        <v>6266</v>
      </c>
    </row>
    <row r="4292" spans="1:1">
      <c r="A4292" s="151" t="s">
        <v>6267</v>
      </c>
    </row>
    <row r="4293" spans="1:1">
      <c r="A4293" s="151" t="s">
        <v>6268</v>
      </c>
    </row>
    <row r="4294" spans="1:1">
      <c r="A4294" s="151" t="s">
        <v>6269</v>
      </c>
    </row>
    <row r="4295" spans="1:1">
      <c r="A4295" s="151" t="s">
        <v>6270</v>
      </c>
    </row>
    <row r="4296" spans="1:1">
      <c r="A4296" s="151" t="s">
        <v>6271</v>
      </c>
    </row>
    <row r="4297" spans="1:1">
      <c r="A4297" s="151" t="s">
        <v>6272</v>
      </c>
    </row>
    <row r="4298" spans="1:1">
      <c r="A4298" s="151" t="s">
        <v>6273</v>
      </c>
    </row>
    <row r="4299" spans="1:1">
      <c r="A4299" s="151" t="s">
        <v>6274</v>
      </c>
    </row>
    <row r="4300" spans="1:1">
      <c r="A4300" s="151" t="s">
        <v>6275</v>
      </c>
    </row>
    <row r="4301" spans="1:1">
      <c r="A4301" s="151" t="s">
        <v>6276</v>
      </c>
    </row>
    <row r="4302" spans="1:1">
      <c r="A4302" s="151" t="s">
        <v>6277</v>
      </c>
    </row>
    <row r="4303" spans="1:1">
      <c r="A4303" s="151" t="s">
        <v>6278</v>
      </c>
    </row>
    <row r="4304" spans="1:1">
      <c r="A4304" s="151" t="s">
        <v>6279</v>
      </c>
    </row>
    <row r="4305" spans="1:1">
      <c r="A4305" s="151" t="s">
        <v>6280</v>
      </c>
    </row>
    <row r="4306" spans="1:1">
      <c r="A4306" s="151" t="s">
        <v>6281</v>
      </c>
    </row>
    <row r="4307" spans="1:1">
      <c r="A4307" s="151" t="s">
        <v>6282</v>
      </c>
    </row>
    <row r="4308" spans="1:1">
      <c r="A4308" s="151" t="s">
        <v>6283</v>
      </c>
    </row>
    <row r="4309" spans="1:1">
      <c r="A4309" s="151" t="s">
        <v>6284</v>
      </c>
    </row>
    <row r="4310" spans="1:1">
      <c r="A4310" s="151" t="s">
        <v>6285</v>
      </c>
    </row>
    <row r="4311" spans="1:1">
      <c r="A4311" s="151" t="s">
        <v>6286</v>
      </c>
    </row>
    <row r="4312" spans="1:1">
      <c r="A4312" s="151" t="s">
        <v>6287</v>
      </c>
    </row>
    <row r="4313" spans="1:1">
      <c r="A4313" s="151" t="s">
        <v>6288</v>
      </c>
    </row>
    <row r="4314" spans="1:1">
      <c r="A4314" s="151" t="s">
        <v>6289</v>
      </c>
    </row>
    <row r="4315" spans="1:1">
      <c r="A4315" s="151" t="s">
        <v>6290</v>
      </c>
    </row>
    <row r="4316" spans="1:1">
      <c r="A4316" s="151" t="s">
        <v>6291</v>
      </c>
    </row>
    <row r="4317" spans="1:1">
      <c r="A4317" s="151" t="s">
        <v>6292</v>
      </c>
    </row>
    <row r="4318" spans="1:1">
      <c r="A4318" s="151" t="s">
        <v>6293</v>
      </c>
    </row>
    <row r="4319" spans="1:1">
      <c r="A4319" s="151" t="s">
        <v>6294</v>
      </c>
    </row>
    <row r="4320" spans="1:1">
      <c r="A4320" s="151" t="s">
        <v>6295</v>
      </c>
    </row>
    <row r="4321" spans="1:1">
      <c r="A4321" s="151" t="s">
        <v>6296</v>
      </c>
    </row>
    <row r="4322" spans="1:1">
      <c r="A4322" s="151" t="s">
        <v>6297</v>
      </c>
    </row>
    <row r="4323" spans="1:1">
      <c r="A4323" s="151" t="s">
        <v>6298</v>
      </c>
    </row>
    <row r="4324" spans="1:1">
      <c r="A4324" s="151" t="s">
        <v>6299</v>
      </c>
    </row>
    <row r="4325" spans="1:1">
      <c r="A4325" s="151" t="s">
        <v>6300</v>
      </c>
    </row>
    <row r="4326" spans="1:1">
      <c r="A4326" s="151" t="s">
        <v>6301</v>
      </c>
    </row>
    <row r="4327" spans="1:1">
      <c r="A4327" s="151" t="s">
        <v>6302</v>
      </c>
    </row>
    <row r="4328" spans="1:1">
      <c r="A4328" s="151" t="s">
        <v>6303</v>
      </c>
    </row>
    <row r="4329" spans="1:1">
      <c r="A4329" s="151" t="s">
        <v>6304</v>
      </c>
    </row>
    <row r="4330" spans="1:1">
      <c r="A4330" s="151" t="s">
        <v>6305</v>
      </c>
    </row>
    <row r="4331" spans="1:1">
      <c r="A4331" s="151" t="s">
        <v>6306</v>
      </c>
    </row>
    <row r="4332" spans="1:1">
      <c r="A4332" s="151" t="s">
        <v>6307</v>
      </c>
    </row>
    <row r="4333" spans="1:1">
      <c r="A4333" s="151" t="s">
        <v>6308</v>
      </c>
    </row>
    <row r="4334" spans="1:1">
      <c r="A4334" s="151" t="s">
        <v>6309</v>
      </c>
    </row>
    <row r="4335" spans="1:1">
      <c r="A4335" s="151" t="s">
        <v>6310</v>
      </c>
    </row>
    <row r="4336" spans="1:1">
      <c r="A4336" s="151" t="s">
        <v>6311</v>
      </c>
    </row>
    <row r="4337" spans="1:1">
      <c r="A4337" s="151" t="s">
        <v>6312</v>
      </c>
    </row>
    <row r="4338" spans="1:1">
      <c r="A4338" s="151" t="s">
        <v>6313</v>
      </c>
    </row>
    <row r="4339" spans="1:1">
      <c r="A4339" s="151" t="s">
        <v>6314</v>
      </c>
    </row>
    <row r="4340" spans="1:1">
      <c r="A4340" s="151" t="s">
        <v>6315</v>
      </c>
    </row>
    <row r="4341" spans="1:1">
      <c r="A4341" s="151" t="s">
        <v>6316</v>
      </c>
    </row>
    <row r="4342" spans="1:1">
      <c r="A4342" s="151" t="s">
        <v>6317</v>
      </c>
    </row>
    <row r="4343" spans="1:1">
      <c r="A4343" s="151" t="s">
        <v>6318</v>
      </c>
    </row>
    <row r="4344" spans="1:1">
      <c r="A4344" s="151" t="s">
        <v>6319</v>
      </c>
    </row>
    <row r="4345" spans="1:1">
      <c r="A4345" s="151" t="s">
        <v>6320</v>
      </c>
    </row>
    <row r="4346" spans="1:1">
      <c r="A4346" s="151" t="s">
        <v>6321</v>
      </c>
    </row>
    <row r="4347" spans="1:1">
      <c r="A4347" s="151" t="s">
        <v>6322</v>
      </c>
    </row>
    <row r="4348" spans="1:1">
      <c r="A4348" s="151" t="s">
        <v>6323</v>
      </c>
    </row>
    <row r="4349" spans="1:1">
      <c r="A4349" s="151" t="s">
        <v>6324</v>
      </c>
    </row>
    <row r="4350" spans="1:1">
      <c r="A4350" s="151" t="s">
        <v>6325</v>
      </c>
    </row>
    <row r="4351" spans="1:1">
      <c r="A4351" s="151" t="s">
        <v>6326</v>
      </c>
    </row>
    <row r="4352" spans="1:1">
      <c r="A4352" s="151" t="s">
        <v>6327</v>
      </c>
    </row>
    <row r="4353" spans="1:1">
      <c r="A4353" s="151" t="s">
        <v>6328</v>
      </c>
    </row>
    <row r="4354" spans="1:1">
      <c r="A4354" s="151" t="s">
        <v>6329</v>
      </c>
    </row>
    <row r="4355" spans="1:1">
      <c r="A4355" s="151" t="s">
        <v>6330</v>
      </c>
    </row>
    <row r="4356" spans="1:1">
      <c r="A4356" s="151" t="s">
        <v>6331</v>
      </c>
    </row>
    <row r="4357" spans="1:1">
      <c r="A4357" s="151" t="s">
        <v>6332</v>
      </c>
    </row>
    <row r="4358" spans="1:1">
      <c r="A4358" s="151" t="s">
        <v>6333</v>
      </c>
    </row>
    <row r="4359" spans="1:1">
      <c r="A4359" s="151" t="s">
        <v>6334</v>
      </c>
    </row>
    <row r="4360" spans="1:1">
      <c r="A4360" s="151" t="s">
        <v>6335</v>
      </c>
    </row>
    <row r="4361" spans="1:1">
      <c r="A4361" s="151" t="s">
        <v>6336</v>
      </c>
    </row>
    <row r="4362" spans="1:1">
      <c r="A4362" s="151" t="s">
        <v>6337</v>
      </c>
    </row>
    <row r="4363" spans="1:1">
      <c r="A4363" s="151" t="s">
        <v>6338</v>
      </c>
    </row>
    <row r="4364" spans="1:1">
      <c r="A4364" s="151" t="s">
        <v>6339</v>
      </c>
    </row>
    <row r="4365" spans="1:1">
      <c r="A4365" s="151" t="s">
        <v>6340</v>
      </c>
    </row>
    <row r="4366" spans="1:1">
      <c r="A4366" s="151" t="s">
        <v>6341</v>
      </c>
    </row>
    <row r="4367" spans="1:1">
      <c r="A4367" s="151" t="s">
        <v>6342</v>
      </c>
    </row>
    <row r="4368" spans="1:1">
      <c r="A4368" s="151" t="s">
        <v>6343</v>
      </c>
    </row>
    <row r="4369" spans="1:1">
      <c r="A4369" s="151" t="s">
        <v>6344</v>
      </c>
    </row>
    <row r="4370" spans="1:1">
      <c r="A4370" s="151" t="s">
        <v>6345</v>
      </c>
    </row>
    <row r="4371" spans="1:1">
      <c r="A4371" s="151" t="s">
        <v>6346</v>
      </c>
    </row>
    <row r="4372" spans="1:1">
      <c r="A4372" s="151" t="s">
        <v>6347</v>
      </c>
    </row>
    <row r="4373" spans="1:1">
      <c r="A4373" s="151" t="s">
        <v>6348</v>
      </c>
    </row>
    <row r="4374" spans="1:1">
      <c r="A4374" s="151" t="s">
        <v>6349</v>
      </c>
    </row>
    <row r="4375" spans="1:1">
      <c r="A4375" s="151" t="s">
        <v>6350</v>
      </c>
    </row>
    <row r="4376" spans="1:1">
      <c r="A4376" s="151" t="s">
        <v>6351</v>
      </c>
    </row>
    <row r="4377" spans="1:1">
      <c r="A4377" s="151" t="s">
        <v>6352</v>
      </c>
    </row>
    <row r="4378" spans="1:1">
      <c r="A4378" s="151" t="s">
        <v>6353</v>
      </c>
    </row>
    <row r="4379" spans="1:1">
      <c r="A4379" s="151" t="s">
        <v>6354</v>
      </c>
    </row>
    <row r="4380" spans="1:1">
      <c r="A4380" s="151" t="s">
        <v>6355</v>
      </c>
    </row>
    <row r="4381" spans="1:1">
      <c r="A4381" s="151" t="s">
        <v>6356</v>
      </c>
    </row>
    <row r="4382" spans="1:1">
      <c r="A4382" s="151" t="s">
        <v>6357</v>
      </c>
    </row>
    <row r="4383" spans="1:1">
      <c r="A4383" s="151" t="s">
        <v>6358</v>
      </c>
    </row>
    <row r="4384" spans="1:1">
      <c r="A4384" s="151" t="s">
        <v>6359</v>
      </c>
    </row>
    <row r="4385" spans="1:1">
      <c r="A4385" s="151" t="s">
        <v>6360</v>
      </c>
    </row>
    <row r="4386" spans="1:1">
      <c r="A4386" s="151" t="s">
        <v>6361</v>
      </c>
    </row>
    <row r="4387" spans="1:1">
      <c r="A4387" s="151" t="s">
        <v>6362</v>
      </c>
    </row>
    <row r="4388" spans="1:1">
      <c r="A4388" s="151" t="s">
        <v>6363</v>
      </c>
    </row>
    <row r="4389" spans="1:1">
      <c r="A4389" s="151" t="s">
        <v>6364</v>
      </c>
    </row>
    <row r="4390" spans="1:1">
      <c r="A4390" s="151" t="s">
        <v>6365</v>
      </c>
    </row>
    <row r="4391" spans="1:1">
      <c r="A4391" s="151" t="s">
        <v>6366</v>
      </c>
    </row>
    <row r="4392" spans="1:1">
      <c r="A4392" s="151" t="s">
        <v>6367</v>
      </c>
    </row>
    <row r="4393" spans="1:1">
      <c r="A4393" s="151" t="s">
        <v>6368</v>
      </c>
    </row>
    <row r="4394" spans="1:1">
      <c r="A4394" s="151" t="s">
        <v>6369</v>
      </c>
    </row>
    <row r="4395" spans="1:1">
      <c r="A4395" s="151" t="s">
        <v>6370</v>
      </c>
    </row>
    <row r="4396" spans="1:1">
      <c r="A4396" s="151" t="s">
        <v>6371</v>
      </c>
    </row>
    <row r="4397" spans="1:1">
      <c r="A4397" s="151" t="s">
        <v>6372</v>
      </c>
    </row>
    <row r="4398" spans="1:1">
      <c r="A4398" s="151" t="s">
        <v>6373</v>
      </c>
    </row>
    <row r="4399" spans="1:1">
      <c r="A4399" s="151" t="s">
        <v>6374</v>
      </c>
    </row>
    <row r="4400" spans="1:1">
      <c r="A4400" s="151" t="s">
        <v>6375</v>
      </c>
    </row>
    <row r="4401" spans="1:1">
      <c r="A4401" s="151" t="s">
        <v>6376</v>
      </c>
    </row>
    <row r="4402" spans="1:1">
      <c r="A4402" s="151" t="s">
        <v>6377</v>
      </c>
    </row>
    <row r="4403" spans="1:1">
      <c r="A4403" s="151" t="s">
        <v>6378</v>
      </c>
    </row>
    <row r="4404" spans="1:1">
      <c r="A4404" s="151" t="s">
        <v>6379</v>
      </c>
    </row>
    <row r="4405" spans="1:1">
      <c r="A4405" s="151" t="s">
        <v>6380</v>
      </c>
    </row>
    <row r="4406" spans="1:1">
      <c r="A4406" s="151" t="s">
        <v>6381</v>
      </c>
    </row>
    <row r="4407" spans="1:1">
      <c r="A4407" s="151" t="s">
        <v>6382</v>
      </c>
    </row>
    <row r="4408" spans="1:1">
      <c r="A4408" s="151" t="s">
        <v>6383</v>
      </c>
    </row>
    <row r="4409" spans="1:1">
      <c r="A4409" s="151" t="s">
        <v>6384</v>
      </c>
    </row>
    <row r="4410" spans="1:1">
      <c r="A4410" s="151" t="s">
        <v>6385</v>
      </c>
    </row>
    <row r="4411" spans="1:1">
      <c r="A4411" s="151" t="s">
        <v>6386</v>
      </c>
    </row>
    <row r="4412" spans="1:1">
      <c r="A4412" s="151" t="s">
        <v>6387</v>
      </c>
    </row>
    <row r="4413" spans="1:1">
      <c r="A4413" s="151" t="s">
        <v>6388</v>
      </c>
    </row>
    <row r="4414" spans="1:1">
      <c r="A4414" s="151" t="s">
        <v>6389</v>
      </c>
    </row>
    <row r="4415" spans="1:1">
      <c r="A4415" s="151" t="s">
        <v>6390</v>
      </c>
    </row>
    <row r="4416" spans="1:1">
      <c r="A4416" s="151" t="s">
        <v>6391</v>
      </c>
    </row>
    <row r="4417" spans="1:1">
      <c r="A4417" s="151" t="s">
        <v>6392</v>
      </c>
    </row>
    <row r="4418" spans="1:1">
      <c r="A4418" s="151" t="s">
        <v>6393</v>
      </c>
    </row>
    <row r="4419" spans="1:1">
      <c r="A4419" s="151" t="s">
        <v>6394</v>
      </c>
    </row>
    <row r="4420" spans="1:1">
      <c r="A4420" s="151" t="s">
        <v>6395</v>
      </c>
    </row>
    <row r="4421" spans="1:1">
      <c r="A4421" s="151" t="s">
        <v>6396</v>
      </c>
    </row>
    <row r="4422" spans="1:1">
      <c r="A4422" s="151" t="s">
        <v>6397</v>
      </c>
    </row>
    <row r="4423" spans="1:1">
      <c r="A4423" s="151" t="s">
        <v>6398</v>
      </c>
    </row>
    <row r="4424" spans="1:1">
      <c r="A4424" s="151" t="s">
        <v>6399</v>
      </c>
    </row>
    <row r="4425" spans="1:1">
      <c r="A4425" s="151" t="s">
        <v>6400</v>
      </c>
    </row>
    <row r="4426" spans="1:1">
      <c r="A4426" s="151" t="s">
        <v>6401</v>
      </c>
    </row>
    <row r="4427" spans="1:1">
      <c r="A4427" s="151" t="s">
        <v>6402</v>
      </c>
    </row>
    <row r="4428" spans="1:1">
      <c r="A4428" s="151" t="s">
        <v>6403</v>
      </c>
    </row>
    <row r="4429" spans="1:1">
      <c r="A4429" s="151" t="s">
        <v>6404</v>
      </c>
    </row>
    <row r="4430" spans="1:1">
      <c r="A4430" s="151" t="s">
        <v>6405</v>
      </c>
    </row>
    <row r="4431" spans="1:1">
      <c r="A4431" s="151" t="s">
        <v>6406</v>
      </c>
    </row>
    <row r="4432" spans="1:1">
      <c r="A4432" s="151" t="s">
        <v>6407</v>
      </c>
    </row>
    <row r="4433" spans="1:1">
      <c r="A4433" s="151" t="s">
        <v>6408</v>
      </c>
    </row>
    <row r="4434" spans="1:1">
      <c r="A4434" s="151" t="s">
        <v>6409</v>
      </c>
    </row>
    <row r="4435" spans="1:1">
      <c r="A4435" s="151" t="s">
        <v>6410</v>
      </c>
    </row>
    <row r="4436" spans="1:1">
      <c r="A4436" s="151" t="s">
        <v>6411</v>
      </c>
    </row>
    <row r="4437" spans="1:1">
      <c r="A4437" s="151" t="s">
        <v>6412</v>
      </c>
    </row>
    <row r="4438" spans="1:1">
      <c r="A4438" s="151" t="s">
        <v>6413</v>
      </c>
    </row>
    <row r="4439" spans="1:1">
      <c r="A4439" s="151" t="s">
        <v>6414</v>
      </c>
    </row>
    <row r="4440" spans="1:1">
      <c r="A4440" s="151" t="s">
        <v>6415</v>
      </c>
    </row>
    <row r="4441" spans="1:1">
      <c r="A4441" s="151" t="s">
        <v>6416</v>
      </c>
    </row>
    <row r="4442" spans="1:1">
      <c r="A4442" s="151" t="s">
        <v>6417</v>
      </c>
    </row>
    <row r="4443" spans="1:1">
      <c r="A4443" s="151" t="s">
        <v>6418</v>
      </c>
    </row>
    <row r="4444" spans="1:1">
      <c r="A4444" s="151" t="s">
        <v>6419</v>
      </c>
    </row>
    <row r="4445" spans="1:1">
      <c r="A4445" s="151" t="s">
        <v>6420</v>
      </c>
    </row>
    <row r="4446" spans="1:1">
      <c r="A4446" s="151" t="s">
        <v>6421</v>
      </c>
    </row>
    <row r="4447" spans="1:1">
      <c r="A4447" s="151" t="s">
        <v>6422</v>
      </c>
    </row>
    <row r="4448" spans="1:1">
      <c r="A4448" s="151" t="s">
        <v>6423</v>
      </c>
    </row>
    <row r="4449" spans="1:1">
      <c r="A4449" s="151" t="s">
        <v>6424</v>
      </c>
    </row>
    <row r="4450" spans="1:1">
      <c r="A4450" s="151" t="s">
        <v>6425</v>
      </c>
    </row>
    <row r="4451" spans="1:1">
      <c r="A4451" s="151" t="s">
        <v>6426</v>
      </c>
    </row>
    <row r="4452" spans="1:1">
      <c r="A4452" s="151" t="s">
        <v>6427</v>
      </c>
    </row>
    <row r="4453" spans="1:1">
      <c r="A4453" s="151" t="s">
        <v>6428</v>
      </c>
    </row>
    <row r="4454" spans="1:1">
      <c r="A4454" s="151" t="s">
        <v>6429</v>
      </c>
    </row>
    <row r="4455" spans="1:1">
      <c r="A4455" s="151" t="s">
        <v>6430</v>
      </c>
    </row>
    <row r="4456" spans="1:1">
      <c r="A4456" s="151" t="s">
        <v>6431</v>
      </c>
    </row>
    <row r="4457" spans="1:1">
      <c r="A4457" s="151" t="s">
        <v>6432</v>
      </c>
    </row>
    <row r="4458" spans="1:1">
      <c r="A4458" s="151" t="s">
        <v>6433</v>
      </c>
    </row>
    <row r="4459" spans="1:1">
      <c r="A4459" s="151" t="s">
        <v>6434</v>
      </c>
    </row>
    <row r="4460" spans="1:1">
      <c r="A4460" s="151" t="s">
        <v>6435</v>
      </c>
    </row>
    <row r="4461" spans="1:1">
      <c r="A4461" s="151" t="s">
        <v>6436</v>
      </c>
    </row>
    <row r="4462" spans="1:1">
      <c r="A4462" s="151" t="s">
        <v>6437</v>
      </c>
    </row>
    <row r="4463" spans="1:1">
      <c r="A4463" s="151" t="s">
        <v>6438</v>
      </c>
    </row>
    <row r="4464" spans="1:1">
      <c r="A4464" s="151" t="s">
        <v>6439</v>
      </c>
    </row>
    <row r="4465" spans="1:1">
      <c r="A4465" s="151" t="s">
        <v>6440</v>
      </c>
    </row>
    <row r="4466" spans="1:1">
      <c r="A4466" s="151" t="s">
        <v>6441</v>
      </c>
    </row>
    <row r="4467" spans="1:1">
      <c r="A4467" s="151" t="s">
        <v>6442</v>
      </c>
    </row>
    <row r="4468" spans="1:1">
      <c r="A4468" s="151" t="s">
        <v>6443</v>
      </c>
    </row>
    <row r="4469" spans="1:1">
      <c r="A4469" s="151" t="s">
        <v>6444</v>
      </c>
    </row>
    <row r="4470" spans="1:1">
      <c r="A4470" s="151" t="s">
        <v>6445</v>
      </c>
    </row>
    <row r="4471" spans="1:1">
      <c r="A4471" s="151" t="s">
        <v>6446</v>
      </c>
    </row>
    <row r="4472" spans="1:1">
      <c r="A4472" s="151" t="s">
        <v>6447</v>
      </c>
    </row>
    <row r="4473" spans="1:1">
      <c r="A4473" s="151" t="s">
        <v>6448</v>
      </c>
    </row>
    <row r="4474" spans="1:1">
      <c r="A4474" s="151" t="s">
        <v>6449</v>
      </c>
    </row>
    <row r="4475" spans="1:1">
      <c r="A4475" s="151" t="s">
        <v>6450</v>
      </c>
    </row>
    <row r="4476" spans="1:1">
      <c r="A4476" s="151" t="s">
        <v>6451</v>
      </c>
    </row>
    <row r="4477" spans="1:1">
      <c r="A4477" s="151" t="s">
        <v>6452</v>
      </c>
    </row>
    <row r="4478" spans="1:1">
      <c r="A4478" s="151" t="s">
        <v>6453</v>
      </c>
    </row>
    <row r="4479" spans="1:1">
      <c r="A4479" s="151" t="s">
        <v>6454</v>
      </c>
    </row>
    <row r="4480" spans="1:1">
      <c r="A4480" s="151" t="s">
        <v>6455</v>
      </c>
    </row>
    <row r="4481" spans="1:1">
      <c r="A4481" s="151" t="s">
        <v>6456</v>
      </c>
    </row>
    <row r="4482" spans="1:1">
      <c r="A4482" s="151" t="s">
        <v>6457</v>
      </c>
    </row>
    <row r="4483" spans="1:1">
      <c r="A4483" s="151" t="s">
        <v>6458</v>
      </c>
    </row>
    <row r="4484" spans="1:1">
      <c r="A4484" s="151" t="s">
        <v>6459</v>
      </c>
    </row>
    <row r="4485" spans="1:1">
      <c r="A4485" s="151" t="s">
        <v>6460</v>
      </c>
    </row>
    <row r="4486" spans="1:1">
      <c r="A4486" s="151" t="s">
        <v>6461</v>
      </c>
    </row>
    <row r="4487" spans="1:1">
      <c r="A4487" s="151" t="s">
        <v>6462</v>
      </c>
    </row>
    <row r="4488" spans="1:1">
      <c r="A4488" s="151" t="s">
        <v>6463</v>
      </c>
    </row>
    <row r="4489" spans="1:1">
      <c r="A4489" s="151" t="s">
        <v>6464</v>
      </c>
    </row>
    <row r="4490" spans="1:1">
      <c r="A4490" s="151" t="s">
        <v>6465</v>
      </c>
    </row>
    <row r="4491" spans="1:1">
      <c r="A4491" s="151" t="s">
        <v>6466</v>
      </c>
    </row>
    <row r="4492" spans="1:1">
      <c r="A4492" s="151" t="s">
        <v>6467</v>
      </c>
    </row>
    <row r="4493" spans="1:1">
      <c r="A4493" s="151" t="s">
        <v>6468</v>
      </c>
    </row>
    <row r="4494" spans="1:1">
      <c r="A4494" s="151" t="s">
        <v>6469</v>
      </c>
    </row>
    <row r="4495" spans="1:1">
      <c r="A4495" s="151" t="s">
        <v>6470</v>
      </c>
    </row>
    <row r="4496" spans="1:1">
      <c r="A4496" s="151" t="s">
        <v>6471</v>
      </c>
    </row>
    <row r="4497" spans="1:1">
      <c r="A4497" s="151" t="s">
        <v>6472</v>
      </c>
    </row>
    <row r="4498" spans="1:1">
      <c r="A4498" s="151" t="s">
        <v>6473</v>
      </c>
    </row>
    <row r="4499" spans="1:1">
      <c r="A4499" s="151" t="s">
        <v>6474</v>
      </c>
    </row>
    <row r="4500" spans="1:1">
      <c r="A4500" s="151" t="s">
        <v>6475</v>
      </c>
    </row>
    <row r="4501" spans="1:1">
      <c r="A4501" s="151" t="s">
        <v>6476</v>
      </c>
    </row>
    <row r="4502" spans="1:1">
      <c r="A4502" s="151" t="s">
        <v>6477</v>
      </c>
    </row>
    <row r="4503" spans="1:1">
      <c r="A4503" s="151" t="s">
        <v>6478</v>
      </c>
    </row>
    <row r="4504" spans="1:1">
      <c r="A4504" s="151" t="s">
        <v>6479</v>
      </c>
    </row>
    <row r="4505" spans="1:1">
      <c r="A4505" s="151" t="s">
        <v>6480</v>
      </c>
    </row>
    <row r="4506" spans="1:1">
      <c r="A4506" s="151" t="s">
        <v>6481</v>
      </c>
    </row>
    <row r="4507" spans="1:1">
      <c r="A4507" s="151" t="s">
        <v>6482</v>
      </c>
    </row>
    <row r="4508" spans="1:1">
      <c r="A4508" s="151" t="s">
        <v>6483</v>
      </c>
    </row>
    <row r="4509" spans="1:1">
      <c r="A4509" s="151" t="s">
        <v>6484</v>
      </c>
    </row>
    <row r="4510" spans="1:1">
      <c r="A4510" s="151" t="s">
        <v>6485</v>
      </c>
    </row>
    <row r="4511" spans="1:1">
      <c r="A4511" s="151" t="s">
        <v>6486</v>
      </c>
    </row>
    <row r="4512" spans="1:1">
      <c r="A4512" s="151" t="s">
        <v>6487</v>
      </c>
    </row>
    <row r="4513" spans="1:1">
      <c r="A4513" s="151" t="s">
        <v>6488</v>
      </c>
    </row>
    <row r="4514" spans="1:1">
      <c r="A4514" s="151" t="s">
        <v>6489</v>
      </c>
    </row>
    <row r="4515" spans="1:1">
      <c r="A4515" s="151" t="s">
        <v>6490</v>
      </c>
    </row>
    <row r="4516" spans="1:1">
      <c r="A4516" s="151" t="s">
        <v>6491</v>
      </c>
    </row>
    <row r="4517" spans="1:1">
      <c r="A4517" s="151" t="s">
        <v>6492</v>
      </c>
    </row>
    <row r="4518" spans="1:1">
      <c r="A4518" s="151" t="s">
        <v>6493</v>
      </c>
    </row>
    <row r="4519" spans="1:1">
      <c r="A4519" s="151" t="s">
        <v>6494</v>
      </c>
    </row>
    <row r="4520" spans="1:1">
      <c r="A4520" s="151" t="s">
        <v>6495</v>
      </c>
    </row>
    <row r="4521" spans="1:1">
      <c r="A4521" s="151" t="s">
        <v>6496</v>
      </c>
    </row>
    <row r="4522" spans="1:1">
      <c r="A4522" s="151" t="s">
        <v>6497</v>
      </c>
    </row>
    <row r="4523" spans="1:1">
      <c r="A4523" s="151" t="s">
        <v>6498</v>
      </c>
    </row>
    <row r="4524" spans="1:1">
      <c r="A4524" s="151" t="s">
        <v>6499</v>
      </c>
    </row>
    <row r="4525" spans="1:1">
      <c r="A4525" s="151" t="s">
        <v>6500</v>
      </c>
    </row>
    <row r="4526" spans="1:1">
      <c r="A4526" s="151" t="s">
        <v>6501</v>
      </c>
    </row>
    <row r="4527" spans="1:1">
      <c r="A4527" s="151" t="s">
        <v>6502</v>
      </c>
    </row>
    <row r="4528" spans="1:1">
      <c r="A4528" s="151" t="s">
        <v>6503</v>
      </c>
    </row>
    <row r="4529" spans="1:1">
      <c r="A4529" s="151" t="s">
        <v>6504</v>
      </c>
    </row>
    <row r="4530" spans="1:1">
      <c r="A4530" s="151" t="s">
        <v>6505</v>
      </c>
    </row>
    <row r="4531" spans="1:1">
      <c r="A4531" s="151" t="s">
        <v>6506</v>
      </c>
    </row>
    <row r="4532" spans="1:1">
      <c r="A4532" s="151" t="s">
        <v>6507</v>
      </c>
    </row>
    <row r="4533" spans="1:1">
      <c r="A4533" s="151" t="s">
        <v>6508</v>
      </c>
    </row>
    <row r="4534" spans="1:1">
      <c r="A4534" s="151" t="s">
        <v>6509</v>
      </c>
    </row>
    <row r="4535" spans="1:1">
      <c r="A4535" s="151" t="s">
        <v>6510</v>
      </c>
    </row>
    <row r="4536" spans="1:1">
      <c r="A4536" s="151" t="s">
        <v>6511</v>
      </c>
    </row>
    <row r="4537" spans="1:1">
      <c r="A4537" s="151" t="s">
        <v>6512</v>
      </c>
    </row>
    <row r="4538" spans="1:1">
      <c r="A4538" s="151" t="s">
        <v>6513</v>
      </c>
    </row>
    <row r="4539" spans="1:1">
      <c r="A4539" s="151" t="s">
        <v>6514</v>
      </c>
    </row>
    <row r="4540" spans="1:1">
      <c r="A4540" s="151" t="s">
        <v>6515</v>
      </c>
    </row>
    <row r="4541" spans="1:1">
      <c r="A4541" s="151" t="s">
        <v>6516</v>
      </c>
    </row>
    <row r="4542" spans="1:1">
      <c r="A4542" s="151" t="s">
        <v>6517</v>
      </c>
    </row>
    <row r="4543" spans="1:1">
      <c r="A4543" s="151" t="s">
        <v>6518</v>
      </c>
    </row>
    <row r="4544" spans="1:1">
      <c r="A4544" s="151" t="s">
        <v>6519</v>
      </c>
    </row>
    <row r="4545" spans="1:1">
      <c r="A4545" s="151" t="s">
        <v>6520</v>
      </c>
    </row>
    <row r="4546" spans="1:1">
      <c r="A4546" s="151" t="s">
        <v>6521</v>
      </c>
    </row>
    <row r="4547" spans="1:1">
      <c r="A4547" s="151" t="s">
        <v>6522</v>
      </c>
    </row>
    <row r="4548" spans="1:1">
      <c r="A4548" s="151" t="s">
        <v>6523</v>
      </c>
    </row>
    <row r="4549" spans="1:1">
      <c r="A4549" s="151" t="s">
        <v>6524</v>
      </c>
    </row>
    <row r="4550" spans="1:1">
      <c r="A4550" s="151" t="s">
        <v>6525</v>
      </c>
    </row>
    <row r="4551" spans="1:1">
      <c r="A4551" s="151" t="s">
        <v>6526</v>
      </c>
    </row>
    <row r="4552" spans="1:1">
      <c r="A4552" s="151" t="s">
        <v>6527</v>
      </c>
    </row>
    <row r="4553" spans="1:1">
      <c r="A4553" s="151" t="s">
        <v>6528</v>
      </c>
    </row>
    <row r="4554" spans="1:1">
      <c r="A4554" s="151" t="s">
        <v>6529</v>
      </c>
    </row>
    <row r="4555" spans="1:1">
      <c r="A4555" s="151" t="s">
        <v>6530</v>
      </c>
    </row>
    <row r="4556" spans="1:1">
      <c r="A4556" s="151" t="s">
        <v>6531</v>
      </c>
    </row>
    <row r="4557" spans="1:1">
      <c r="A4557" s="151" t="s">
        <v>6532</v>
      </c>
    </row>
    <row r="4558" spans="1:1">
      <c r="A4558" s="151" t="s">
        <v>6533</v>
      </c>
    </row>
    <row r="4559" spans="1:1">
      <c r="A4559" s="151" t="s">
        <v>6534</v>
      </c>
    </row>
    <row r="4560" spans="1:1">
      <c r="A4560" s="151" t="s">
        <v>6535</v>
      </c>
    </row>
    <row r="4561" spans="1:1">
      <c r="A4561" s="151" t="s">
        <v>6536</v>
      </c>
    </row>
    <row r="4562" spans="1:1">
      <c r="A4562" s="151" t="s">
        <v>6537</v>
      </c>
    </row>
    <row r="4563" spans="1:1">
      <c r="A4563" s="151" t="s">
        <v>6538</v>
      </c>
    </row>
    <row r="4564" spans="1:1">
      <c r="A4564" s="151" t="s">
        <v>6539</v>
      </c>
    </row>
    <row r="4565" spans="1:1">
      <c r="A4565" s="151" t="s">
        <v>6540</v>
      </c>
    </row>
    <row r="4566" spans="1:1">
      <c r="A4566" s="151" t="s">
        <v>6541</v>
      </c>
    </row>
    <row r="4567" spans="1:1">
      <c r="A4567" s="151" t="s">
        <v>6542</v>
      </c>
    </row>
    <row r="4568" spans="1:1">
      <c r="A4568" s="151" t="s">
        <v>6543</v>
      </c>
    </row>
    <row r="4569" spans="1:1">
      <c r="A4569" s="151" t="s">
        <v>6544</v>
      </c>
    </row>
    <row r="4570" spans="1:1">
      <c r="A4570" s="151" t="s">
        <v>6545</v>
      </c>
    </row>
    <row r="4571" spans="1:1">
      <c r="A4571" s="151" t="s">
        <v>6546</v>
      </c>
    </row>
    <row r="4572" spans="1:1">
      <c r="A4572" s="151" t="s">
        <v>6547</v>
      </c>
    </row>
    <row r="4573" spans="1:1">
      <c r="A4573" s="151" t="s">
        <v>6548</v>
      </c>
    </row>
    <row r="4574" spans="1:1">
      <c r="A4574" s="151" t="s">
        <v>6549</v>
      </c>
    </row>
    <row r="4575" spans="1:1">
      <c r="A4575" s="151" t="s">
        <v>6550</v>
      </c>
    </row>
    <row r="4576" spans="1:1">
      <c r="A4576" s="151" t="s">
        <v>6551</v>
      </c>
    </row>
    <row r="4577" spans="1:1">
      <c r="A4577" s="151" t="s">
        <v>6552</v>
      </c>
    </row>
    <row r="4578" spans="1:1">
      <c r="A4578" s="151" t="s">
        <v>6553</v>
      </c>
    </row>
    <row r="4579" spans="1:1">
      <c r="A4579" s="151" t="s">
        <v>6554</v>
      </c>
    </row>
    <row r="4580" spans="1:1">
      <c r="A4580" s="151" t="s">
        <v>6555</v>
      </c>
    </row>
    <row r="4581" spans="1:1">
      <c r="A4581" s="151" t="s">
        <v>6556</v>
      </c>
    </row>
    <row r="4582" spans="1:1">
      <c r="A4582" s="151" t="s">
        <v>6557</v>
      </c>
    </row>
    <row r="4583" spans="1:1">
      <c r="A4583" s="151" t="s">
        <v>6558</v>
      </c>
    </row>
    <row r="4584" spans="1:1">
      <c r="A4584" s="151" t="s">
        <v>6559</v>
      </c>
    </row>
    <row r="4585" spans="1:1">
      <c r="A4585" s="151" t="s">
        <v>6560</v>
      </c>
    </row>
    <row r="4586" spans="1:1">
      <c r="A4586" s="151" t="s">
        <v>6561</v>
      </c>
    </row>
    <row r="4587" spans="1:1">
      <c r="A4587" s="151" t="s">
        <v>6562</v>
      </c>
    </row>
    <row r="4588" spans="1:1">
      <c r="A4588" s="151" t="s">
        <v>6563</v>
      </c>
    </row>
    <row r="4589" spans="1:1">
      <c r="A4589" s="151" t="s">
        <v>6564</v>
      </c>
    </row>
    <row r="4590" spans="1:1">
      <c r="A4590" s="151" t="s">
        <v>6565</v>
      </c>
    </row>
    <row r="4591" spans="1:1">
      <c r="A4591" s="151" t="s">
        <v>6566</v>
      </c>
    </row>
    <row r="4592" spans="1:1">
      <c r="A4592" s="151" t="s">
        <v>6567</v>
      </c>
    </row>
    <row r="4593" spans="1:1">
      <c r="A4593" s="151" t="s">
        <v>6568</v>
      </c>
    </row>
    <row r="4594" spans="1:1">
      <c r="A4594" s="151" t="s">
        <v>6569</v>
      </c>
    </row>
    <row r="4595" spans="1:1">
      <c r="A4595" s="151" t="s">
        <v>6570</v>
      </c>
    </row>
    <row r="4596" spans="1:1">
      <c r="A4596" s="151" t="s">
        <v>6571</v>
      </c>
    </row>
    <row r="4597" spans="1:1">
      <c r="A4597" s="151" t="s">
        <v>6572</v>
      </c>
    </row>
    <row r="4598" spans="1:1">
      <c r="A4598" s="151" t="s">
        <v>6573</v>
      </c>
    </row>
    <row r="4599" spans="1:1">
      <c r="A4599" s="151" t="s">
        <v>6574</v>
      </c>
    </row>
    <row r="4600" spans="1:1">
      <c r="A4600" s="151" t="s">
        <v>6575</v>
      </c>
    </row>
    <row r="4601" spans="1:1">
      <c r="A4601" s="151" t="s">
        <v>6576</v>
      </c>
    </row>
    <row r="4602" spans="1:1">
      <c r="A4602" s="151" t="s">
        <v>6577</v>
      </c>
    </row>
    <row r="4603" spans="1:1">
      <c r="A4603" s="151" t="s">
        <v>6578</v>
      </c>
    </row>
    <row r="4604" spans="1:1">
      <c r="A4604" s="151" t="s">
        <v>6579</v>
      </c>
    </row>
    <row r="4605" spans="1:1">
      <c r="A4605" s="151" t="s">
        <v>6580</v>
      </c>
    </row>
    <row r="4606" spans="1:1">
      <c r="A4606" s="151" t="s">
        <v>6581</v>
      </c>
    </row>
    <row r="4607" spans="1:1">
      <c r="A4607" s="151" t="s">
        <v>6582</v>
      </c>
    </row>
    <row r="4608" spans="1:1">
      <c r="A4608" s="151" t="s">
        <v>6583</v>
      </c>
    </row>
    <row r="4609" spans="1:1">
      <c r="A4609" s="151" t="s">
        <v>6584</v>
      </c>
    </row>
    <row r="4610" spans="1:1">
      <c r="A4610" s="151" t="s">
        <v>6585</v>
      </c>
    </row>
    <row r="4611" spans="1:1">
      <c r="A4611" s="151" t="s">
        <v>6586</v>
      </c>
    </row>
    <row r="4612" spans="1:1">
      <c r="A4612" s="151" t="s">
        <v>6587</v>
      </c>
    </row>
    <row r="4613" spans="1:1">
      <c r="A4613" s="151" t="s">
        <v>6588</v>
      </c>
    </row>
    <row r="4614" spans="1:1">
      <c r="A4614" s="151" t="s">
        <v>6589</v>
      </c>
    </row>
    <row r="4615" spans="1:1">
      <c r="A4615" s="151" t="s">
        <v>6590</v>
      </c>
    </row>
    <row r="4616" spans="1:1">
      <c r="A4616" s="151" t="s">
        <v>6591</v>
      </c>
    </row>
    <row r="4617" spans="1:1">
      <c r="A4617" s="151" t="s">
        <v>6592</v>
      </c>
    </row>
    <row r="4618" spans="1:1">
      <c r="A4618" s="151" t="s">
        <v>6593</v>
      </c>
    </row>
    <row r="4619" spans="1:1">
      <c r="A4619" s="151" t="s">
        <v>6594</v>
      </c>
    </row>
    <row r="4620" spans="1:1">
      <c r="A4620" s="151" t="s">
        <v>6595</v>
      </c>
    </row>
    <row r="4621" spans="1:1">
      <c r="A4621" s="151" t="s">
        <v>6596</v>
      </c>
    </row>
    <row r="4622" spans="1:1">
      <c r="A4622" s="151" t="s">
        <v>6597</v>
      </c>
    </row>
    <row r="4623" spans="1:1">
      <c r="A4623" s="151" t="s">
        <v>6598</v>
      </c>
    </row>
    <row r="4624" spans="1:1">
      <c r="A4624" s="151" t="s">
        <v>6599</v>
      </c>
    </row>
    <row r="4625" spans="1:1">
      <c r="A4625" s="151" t="s">
        <v>6600</v>
      </c>
    </row>
    <row r="4626" spans="1:1">
      <c r="A4626" s="151" t="s">
        <v>6601</v>
      </c>
    </row>
    <row r="4627" spans="1:1">
      <c r="A4627" s="151" t="s">
        <v>6602</v>
      </c>
    </row>
    <row r="4628" spans="1:1">
      <c r="A4628" s="151" t="s">
        <v>6603</v>
      </c>
    </row>
    <row r="4629" spans="1:1">
      <c r="A4629" s="151" t="s">
        <v>6604</v>
      </c>
    </row>
    <row r="4630" spans="1:1">
      <c r="A4630" s="151" t="s">
        <v>6605</v>
      </c>
    </row>
    <row r="4631" spans="1:1">
      <c r="A4631" s="151" t="s">
        <v>6606</v>
      </c>
    </row>
    <row r="4632" spans="1:1">
      <c r="A4632" s="151" t="s">
        <v>6607</v>
      </c>
    </row>
    <row r="4633" spans="1:1">
      <c r="A4633" s="151" t="s">
        <v>6608</v>
      </c>
    </row>
    <row r="4634" spans="1:1">
      <c r="A4634" s="151" t="s">
        <v>6609</v>
      </c>
    </row>
    <row r="4635" spans="1:1">
      <c r="A4635" s="151" t="s">
        <v>6610</v>
      </c>
    </row>
    <row r="4636" spans="1:1">
      <c r="A4636" s="151" t="s">
        <v>6611</v>
      </c>
    </row>
    <row r="4637" spans="1:1">
      <c r="A4637" s="151" t="s">
        <v>6612</v>
      </c>
    </row>
    <row r="4638" spans="1:1">
      <c r="A4638" s="151" t="s">
        <v>6613</v>
      </c>
    </row>
    <row r="4639" spans="1:1">
      <c r="A4639" s="151" t="s">
        <v>6614</v>
      </c>
    </row>
    <row r="4640" spans="1:1">
      <c r="A4640" s="151" t="s">
        <v>6615</v>
      </c>
    </row>
    <row r="4641" spans="1:1">
      <c r="A4641" s="151" t="s">
        <v>6616</v>
      </c>
    </row>
    <row r="4642" spans="1:1">
      <c r="A4642" s="151" t="s">
        <v>6617</v>
      </c>
    </row>
    <row r="4643" spans="1:1">
      <c r="A4643" s="151" t="s">
        <v>6618</v>
      </c>
    </row>
    <row r="4644" spans="1:1">
      <c r="A4644" s="151" t="s">
        <v>6619</v>
      </c>
    </row>
    <row r="4645" spans="1:1">
      <c r="A4645" s="151" t="s">
        <v>6620</v>
      </c>
    </row>
    <row r="4646" spans="1:1">
      <c r="A4646" s="151" t="s">
        <v>6621</v>
      </c>
    </row>
    <row r="4647" spans="1:1">
      <c r="A4647" s="151" t="s">
        <v>6622</v>
      </c>
    </row>
    <row r="4648" spans="1:1">
      <c r="A4648" s="151" t="s">
        <v>6623</v>
      </c>
    </row>
    <row r="4649" spans="1:1">
      <c r="A4649" s="151" t="s">
        <v>6624</v>
      </c>
    </row>
    <row r="4650" spans="1:1">
      <c r="A4650" s="151" t="s">
        <v>6625</v>
      </c>
    </row>
    <row r="4651" spans="1:1">
      <c r="A4651" s="151" t="s">
        <v>6626</v>
      </c>
    </row>
    <row r="4652" spans="1:1">
      <c r="A4652" s="151" t="s">
        <v>6627</v>
      </c>
    </row>
    <row r="4653" spans="1:1">
      <c r="A4653" s="151" t="s">
        <v>6628</v>
      </c>
    </row>
    <row r="4654" spans="1:1">
      <c r="A4654" s="151" t="s">
        <v>6629</v>
      </c>
    </row>
    <row r="4655" spans="1:1">
      <c r="A4655" s="151" t="s">
        <v>6630</v>
      </c>
    </row>
    <row r="4656" spans="1:1">
      <c r="A4656" s="151" t="s">
        <v>6631</v>
      </c>
    </row>
    <row r="4657" spans="1:1">
      <c r="A4657" s="151" t="s">
        <v>6632</v>
      </c>
    </row>
    <row r="4658" spans="1:1">
      <c r="A4658" s="151" t="s">
        <v>6633</v>
      </c>
    </row>
    <row r="4659" spans="1:1">
      <c r="A4659" s="151" t="s">
        <v>6634</v>
      </c>
    </row>
    <row r="4660" spans="1:1">
      <c r="A4660" s="151" t="s">
        <v>6635</v>
      </c>
    </row>
    <row r="4661" spans="1:1">
      <c r="A4661" s="151" t="s">
        <v>6636</v>
      </c>
    </row>
    <row r="4662" spans="1:1">
      <c r="A4662" s="151" t="s">
        <v>6637</v>
      </c>
    </row>
    <row r="4663" spans="1:1">
      <c r="A4663" s="151" t="s">
        <v>6638</v>
      </c>
    </row>
    <row r="4664" spans="1:1">
      <c r="A4664" s="151" t="s">
        <v>6639</v>
      </c>
    </row>
    <row r="4665" spans="1:1">
      <c r="A4665" s="151" t="s">
        <v>6640</v>
      </c>
    </row>
    <row r="4666" spans="1:1">
      <c r="A4666" s="151" t="s">
        <v>6641</v>
      </c>
    </row>
    <row r="4667" spans="1:1">
      <c r="A4667" s="151" t="s">
        <v>6642</v>
      </c>
    </row>
    <row r="4668" spans="1:1">
      <c r="A4668" s="151" t="s">
        <v>6643</v>
      </c>
    </row>
    <row r="4669" spans="1:1">
      <c r="A4669" s="151" t="s">
        <v>6644</v>
      </c>
    </row>
    <row r="4670" spans="1:1">
      <c r="A4670" s="151" t="s">
        <v>6645</v>
      </c>
    </row>
    <row r="4671" spans="1:1">
      <c r="A4671" s="151" t="s">
        <v>6646</v>
      </c>
    </row>
    <row r="4672" spans="1:1">
      <c r="A4672" s="151" t="s">
        <v>6647</v>
      </c>
    </row>
    <row r="4673" spans="1:1">
      <c r="A4673" s="151" t="s">
        <v>6648</v>
      </c>
    </row>
    <row r="4674" spans="1:1">
      <c r="A4674" s="151" t="s">
        <v>6649</v>
      </c>
    </row>
    <row r="4675" spans="1:1">
      <c r="A4675" s="151" t="s">
        <v>6650</v>
      </c>
    </row>
    <row r="4676" spans="1:1">
      <c r="A4676" s="151" t="s">
        <v>6651</v>
      </c>
    </row>
    <row r="4677" spans="1:1">
      <c r="A4677" s="151" t="s">
        <v>6652</v>
      </c>
    </row>
    <row r="4678" spans="1:1">
      <c r="A4678" s="151" t="s">
        <v>6653</v>
      </c>
    </row>
    <row r="4679" spans="1:1">
      <c r="A4679" s="151" t="s">
        <v>6654</v>
      </c>
    </row>
    <row r="4680" spans="1:1">
      <c r="A4680" s="151" t="s">
        <v>6655</v>
      </c>
    </row>
    <row r="4681" spans="1:1">
      <c r="A4681" s="151" t="s">
        <v>6656</v>
      </c>
    </row>
    <row r="4682" spans="1:1">
      <c r="A4682" s="151" t="s">
        <v>6657</v>
      </c>
    </row>
    <row r="4683" spans="1:1">
      <c r="A4683" s="151" t="s">
        <v>6658</v>
      </c>
    </row>
    <row r="4684" spans="1:1">
      <c r="A4684" s="151" t="s">
        <v>6659</v>
      </c>
    </row>
    <row r="4685" spans="1:1">
      <c r="A4685" s="151" t="s">
        <v>6660</v>
      </c>
    </row>
    <row r="4686" spans="1:1">
      <c r="A4686" s="151" t="s">
        <v>6661</v>
      </c>
    </row>
    <row r="4687" spans="1:1">
      <c r="A4687" s="151" t="s">
        <v>6662</v>
      </c>
    </row>
    <row r="4688" spans="1:1">
      <c r="A4688" s="151" t="s">
        <v>6663</v>
      </c>
    </row>
    <row r="4689" spans="1:1">
      <c r="A4689" s="151" t="s">
        <v>6664</v>
      </c>
    </row>
    <row r="4690" spans="1:1">
      <c r="A4690" s="151" t="s">
        <v>6665</v>
      </c>
    </row>
    <row r="4691" spans="1:1">
      <c r="A4691" s="151" t="s">
        <v>6666</v>
      </c>
    </row>
    <row r="4692" spans="1:1">
      <c r="A4692" s="151" t="s">
        <v>6667</v>
      </c>
    </row>
    <row r="4693" spans="1:1">
      <c r="A4693" s="151" t="s">
        <v>6668</v>
      </c>
    </row>
    <row r="4694" spans="1:1">
      <c r="A4694" s="151" t="s">
        <v>6669</v>
      </c>
    </row>
    <row r="4695" spans="1:1">
      <c r="A4695" s="151" t="s">
        <v>6670</v>
      </c>
    </row>
    <row r="4696" spans="1:1">
      <c r="A4696" s="151" t="s">
        <v>6671</v>
      </c>
    </row>
    <row r="4697" spans="1:1">
      <c r="A4697" s="151" t="s">
        <v>6672</v>
      </c>
    </row>
    <row r="4698" spans="1:1">
      <c r="A4698" s="151" t="s">
        <v>6673</v>
      </c>
    </row>
    <row r="4699" spans="1:1">
      <c r="A4699" s="151" t="s">
        <v>6674</v>
      </c>
    </row>
    <row r="4700" spans="1:1">
      <c r="A4700" s="151" t="s">
        <v>6675</v>
      </c>
    </row>
    <row r="4701" spans="1:1">
      <c r="A4701" s="151" t="s">
        <v>6676</v>
      </c>
    </row>
    <row r="4702" spans="1:1">
      <c r="A4702" s="151" t="s">
        <v>6677</v>
      </c>
    </row>
    <row r="4703" spans="1:1">
      <c r="A4703" s="151" t="s">
        <v>6678</v>
      </c>
    </row>
    <row r="4704" spans="1:1">
      <c r="A4704" s="151" t="s">
        <v>6679</v>
      </c>
    </row>
    <row r="4705" spans="1:1">
      <c r="A4705" s="151" t="s">
        <v>6680</v>
      </c>
    </row>
    <row r="4706" spans="1:1">
      <c r="A4706" s="151" t="s">
        <v>6681</v>
      </c>
    </row>
    <row r="4707" spans="1:1">
      <c r="A4707" s="151" t="s">
        <v>6682</v>
      </c>
    </row>
    <row r="4708" spans="1:1">
      <c r="A4708" s="151" t="s">
        <v>6683</v>
      </c>
    </row>
    <row r="4709" spans="1:1">
      <c r="A4709" s="151" t="s">
        <v>6684</v>
      </c>
    </row>
    <row r="4710" spans="1:1">
      <c r="A4710" s="151" t="s">
        <v>6685</v>
      </c>
    </row>
    <row r="4711" spans="1:1">
      <c r="A4711" s="151" t="s">
        <v>6686</v>
      </c>
    </row>
    <row r="4712" spans="1:1">
      <c r="A4712" s="151" t="s">
        <v>6687</v>
      </c>
    </row>
    <row r="4713" spans="1:1">
      <c r="A4713" s="151" t="s">
        <v>6688</v>
      </c>
    </row>
    <row r="4714" spans="1:1">
      <c r="A4714" s="151" t="s">
        <v>6689</v>
      </c>
    </row>
    <row r="4715" spans="1:1">
      <c r="A4715" s="151" t="s">
        <v>6690</v>
      </c>
    </row>
    <row r="4716" spans="1:1">
      <c r="A4716" s="151" t="s">
        <v>6691</v>
      </c>
    </row>
    <row r="4717" spans="1:1">
      <c r="A4717" s="151" t="s">
        <v>6692</v>
      </c>
    </row>
    <row r="4718" spans="1:1">
      <c r="A4718" s="151" t="s">
        <v>6693</v>
      </c>
    </row>
    <row r="4719" spans="1:1">
      <c r="A4719" s="151" t="s">
        <v>6694</v>
      </c>
    </row>
    <row r="4720" spans="1:1">
      <c r="A4720" s="151" t="s">
        <v>6695</v>
      </c>
    </row>
    <row r="4721" spans="1:1">
      <c r="A4721" s="151" t="s">
        <v>6696</v>
      </c>
    </row>
    <row r="4722" spans="1:1">
      <c r="A4722" s="151" t="s">
        <v>6697</v>
      </c>
    </row>
    <row r="4723" spans="1:1">
      <c r="A4723" s="151" t="s">
        <v>6698</v>
      </c>
    </row>
    <row r="4724" spans="1:1">
      <c r="A4724" s="151" t="s">
        <v>6699</v>
      </c>
    </row>
    <row r="4725" spans="1:1">
      <c r="A4725" s="151" t="s">
        <v>6700</v>
      </c>
    </row>
    <row r="4726" spans="1:1">
      <c r="A4726" s="151" t="s">
        <v>6701</v>
      </c>
    </row>
    <row r="4727" spans="1:1">
      <c r="A4727" s="151" t="s">
        <v>6702</v>
      </c>
    </row>
    <row r="4728" spans="1:1">
      <c r="A4728" s="151" t="s">
        <v>6703</v>
      </c>
    </row>
    <row r="4729" spans="1:1">
      <c r="A4729" s="151" t="s">
        <v>6704</v>
      </c>
    </row>
    <row r="4730" spans="1:1">
      <c r="A4730" s="151" t="s">
        <v>6705</v>
      </c>
    </row>
    <row r="4731" spans="1:1">
      <c r="A4731" s="151" t="s">
        <v>6706</v>
      </c>
    </row>
    <row r="4732" spans="1:1">
      <c r="A4732" s="151" t="s">
        <v>6707</v>
      </c>
    </row>
    <row r="4733" spans="1:1">
      <c r="A4733" s="151" t="s">
        <v>6708</v>
      </c>
    </row>
    <row r="4734" spans="1:1">
      <c r="A4734" s="151" t="s">
        <v>6709</v>
      </c>
    </row>
    <row r="4735" spans="1:1">
      <c r="A4735" s="151" t="s">
        <v>6710</v>
      </c>
    </row>
    <row r="4736" spans="1:1">
      <c r="A4736" s="151" t="s">
        <v>6711</v>
      </c>
    </row>
    <row r="4737" spans="1:1">
      <c r="A4737" s="151" t="s">
        <v>6712</v>
      </c>
    </row>
    <row r="4738" spans="1:1">
      <c r="A4738" s="151" t="s">
        <v>6713</v>
      </c>
    </row>
    <row r="4739" spans="1:1">
      <c r="A4739" s="151" t="s">
        <v>6714</v>
      </c>
    </row>
    <row r="4740" spans="1:1">
      <c r="A4740" s="151" t="s">
        <v>6715</v>
      </c>
    </row>
    <row r="4741" spans="1:1">
      <c r="A4741" s="151" t="s">
        <v>6716</v>
      </c>
    </row>
    <row r="4742" spans="1:1">
      <c r="A4742" s="151" t="s">
        <v>6717</v>
      </c>
    </row>
    <row r="4743" spans="1:1">
      <c r="A4743" s="151" t="s">
        <v>6718</v>
      </c>
    </row>
    <row r="4744" spans="1:1">
      <c r="A4744" s="151" t="s">
        <v>6719</v>
      </c>
    </row>
    <row r="4745" spans="1:1">
      <c r="A4745" s="151" t="s">
        <v>6720</v>
      </c>
    </row>
    <row r="4746" spans="1:1">
      <c r="A4746" s="151" t="s">
        <v>6721</v>
      </c>
    </row>
    <row r="4747" spans="1:1">
      <c r="A4747" s="151" t="s">
        <v>6722</v>
      </c>
    </row>
    <row r="4748" spans="1:1">
      <c r="A4748" s="151" t="s">
        <v>6723</v>
      </c>
    </row>
    <row r="4749" spans="1:1">
      <c r="A4749" s="151" t="s">
        <v>6724</v>
      </c>
    </row>
    <row r="4750" spans="1:1">
      <c r="A4750" s="151" t="s">
        <v>6725</v>
      </c>
    </row>
    <row r="4751" spans="1:1">
      <c r="A4751" s="151" t="s">
        <v>6726</v>
      </c>
    </row>
    <row r="4752" spans="1:1">
      <c r="A4752" s="151" t="s">
        <v>6727</v>
      </c>
    </row>
    <row r="4753" spans="1:1">
      <c r="A4753" s="151" t="s">
        <v>6728</v>
      </c>
    </row>
    <row r="4754" spans="1:1">
      <c r="A4754" s="151" t="s">
        <v>6729</v>
      </c>
    </row>
    <row r="4755" spans="1:1">
      <c r="A4755" s="151" t="s">
        <v>6730</v>
      </c>
    </row>
    <row r="4756" spans="1:1">
      <c r="A4756" s="151" t="s">
        <v>6731</v>
      </c>
    </row>
    <row r="4757" spans="1:1">
      <c r="A4757" s="151" t="s">
        <v>6732</v>
      </c>
    </row>
    <row r="4758" spans="1:1">
      <c r="A4758" s="151" t="s">
        <v>6733</v>
      </c>
    </row>
    <row r="4759" spans="1:1">
      <c r="A4759" s="151" t="s">
        <v>6734</v>
      </c>
    </row>
    <row r="4760" spans="1:1">
      <c r="A4760" s="151" t="s">
        <v>6735</v>
      </c>
    </row>
    <row r="4761" spans="1:1">
      <c r="A4761" s="151" t="s">
        <v>6736</v>
      </c>
    </row>
    <row r="4762" spans="1:1">
      <c r="A4762" s="151" t="s">
        <v>6737</v>
      </c>
    </row>
    <row r="4763" spans="1:1">
      <c r="A4763" s="151" t="s">
        <v>6738</v>
      </c>
    </row>
    <row r="4764" spans="1:1">
      <c r="A4764" s="151" t="s">
        <v>6739</v>
      </c>
    </row>
    <row r="4765" spans="1:1">
      <c r="A4765" s="151" t="s">
        <v>6740</v>
      </c>
    </row>
    <row r="4766" spans="1:1">
      <c r="A4766" s="151" t="s">
        <v>6741</v>
      </c>
    </row>
    <row r="4767" spans="1:1">
      <c r="A4767" s="151" t="s">
        <v>6742</v>
      </c>
    </row>
    <row r="4768" spans="1:1">
      <c r="A4768" s="151" t="s">
        <v>6743</v>
      </c>
    </row>
    <row r="4769" spans="1:1">
      <c r="A4769" s="151" t="s">
        <v>6744</v>
      </c>
    </row>
    <row r="4770" spans="1:1">
      <c r="A4770" s="151" t="s">
        <v>6745</v>
      </c>
    </row>
    <row r="4771" spans="1:1">
      <c r="A4771" s="151" t="s">
        <v>6746</v>
      </c>
    </row>
    <row r="4772" spans="1:1">
      <c r="A4772" s="151" t="s">
        <v>6747</v>
      </c>
    </row>
    <row r="4773" spans="1:1">
      <c r="A4773" s="151" t="s">
        <v>6748</v>
      </c>
    </row>
    <row r="4774" spans="1:1">
      <c r="A4774" s="151" t="s">
        <v>6749</v>
      </c>
    </row>
    <row r="4775" spans="1:1">
      <c r="A4775" s="151" t="s">
        <v>6750</v>
      </c>
    </row>
    <row r="4776" spans="1:1">
      <c r="A4776" s="151" t="s">
        <v>6751</v>
      </c>
    </row>
    <row r="4777" spans="1:1">
      <c r="A4777" s="151" t="s">
        <v>6752</v>
      </c>
    </row>
    <row r="4778" spans="1:1">
      <c r="A4778" s="151" t="s">
        <v>6753</v>
      </c>
    </row>
    <row r="4779" spans="1:1">
      <c r="A4779" s="151" t="s">
        <v>6754</v>
      </c>
    </row>
    <row r="4780" spans="1:1">
      <c r="A4780" s="151" t="s">
        <v>6755</v>
      </c>
    </row>
    <row r="4781" spans="1:1">
      <c r="A4781" s="151" t="s">
        <v>6756</v>
      </c>
    </row>
    <row r="4782" spans="1:1">
      <c r="A4782" s="151" t="s">
        <v>6757</v>
      </c>
    </row>
    <row r="4783" spans="1:1">
      <c r="A4783" s="151" t="s">
        <v>6758</v>
      </c>
    </row>
    <row r="4784" spans="1:1">
      <c r="A4784" s="151" t="s">
        <v>6759</v>
      </c>
    </row>
    <row r="4785" spans="1:1">
      <c r="A4785" s="151" t="s">
        <v>6760</v>
      </c>
    </row>
    <row r="4786" spans="1:1">
      <c r="A4786" s="151" t="s">
        <v>6761</v>
      </c>
    </row>
    <row r="4787" spans="1:1">
      <c r="A4787" s="151" t="s">
        <v>6762</v>
      </c>
    </row>
    <row r="4788" spans="1:1">
      <c r="A4788" s="151" t="s">
        <v>6763</v>
      </c>
    </row>
    <row r="4789" spans="1:1">
      <c r="A4789" s="151" t="s">
        <v>6764</v>
      </c>
    </row>
    <row r="4790" spans="1:1">
      <c r="A4790" s="151" t="s">
        <v>6765</v>
      </c>
    </row>
    <row r="4791" spans="1:1">
      <c r="A4791" s="151" t="s">
        <v>6766</v>
      </c>
    </row>
    <row r="4792" spans="1:1">
      <c r="A4792" s="151" t="s">
        <v>6767</v>
      </c>
    </row>
    <row r="4793" spans="1:1">
      <c r="A4793" s="151" t="s">
        <v>6768</v>
      </c>
    </row>
    <row r="4794" spans="1:1">
      <c r="A4794" s="151" t="s">
        <v>6769</v>
      </c>
    </row>
    <row r="4795" spans="1:1">
      <c r="A4795" s="151" t="s">
        <v>6770</v>
      </c>
    </row>
    <row r="4796" spans="1:1">
      <c r="A4796" s="151" t="s">
        <v>6771</v>
      </c>
    </row>
    <row r="4797" spans="1:1">
      <c r="A4797" s="151" t="s">
        <v>6772</v>
      </c>
    </row>
    <row r="4798" spans="1:1">
      <c r="A4798" s="151" t="s">
        <v>6773</v>
      </c>
    </row>
    <row r="4799" spans="1:1">
      <c r="A4799" s="151" t="s">
        <v>6774</v>
      </c>
    </row>
    <row r="4800" spans="1:1">
      <c r="A4800" s="151" t="s">
        <v>6775</v>
      </c>
    </row>
    <row r="4801" spans="1:1">
      <c r="A4801" s="151" t="s">
        <v>6776</v>
      </c>
    </row>
    <row r="4802" spans="1:1">
      <c r="A4802" s="151" t="s">
        <v>6777</v>
      </c>
    </row>
    <row r="4803" spans="1:1">
      <c r="A4803" s="151" t="s">
        <v>6778</v>
      </c>
    </row>
    <row r="4804" spans="1:1">
      <c r="A4804" s="151" t="s">
        <v>6779</v>
      </c>
    </row>
    <row r="4805" spans="1:1">
      <c r="A4805" s="151" t="s">
        <v>6780</v>
      </c>
    </row>
    <row r="4806" spans="1:1">
      <c r="A4806" s="151" t="s">
        <v>6781</v>
      </c>
    </row>
    <row r="4807" spans="1:1">
      <c r="A4807" s="151" t="s">
        <v>6782</v>
      </c>
    </row>
    <row r="4808" spans="1:1">
      <c r="A4808" s="151" t="s">
        <v>6783</v>
      </c>
    </row>
    <row r="4809" spans="1:1">
      <c r="A4809" s="151" t="s">
        <v>6784</v>
      </c>
    </row>
    <row r="4810" spans="1:1">
      <c r="A4810" s="151" t="s">
        <v>6785</v>
      </c>
    </row>
    <row r="4811" spans="1:1">
      <c r="A4811" s="151" t="s">
        <v>6786</v>
      </c>
    </row>
    <row r="4812" spans="1:1">
      <c r="A4812" s="151" t="s">
        <v>6787</v>
      </c>
    </row>
    <row r="4813" spans="1:1">
      <c r="A4813" s="151" t="s">
        <v>6788</v>
      </c>
    </row>
    <row r="4814" spans="1:1">
      <c r="A4814" s="151" t="s">
        <v>6789</v>
      </c>
    </row>
    <row r="4815" spans="1:1">
      <c r="A4815" s="151" t="s">
        <v>6790</v>
      </c>
    </row>
    <row r="4816" spans="1:1">
      <c r="A4816" s="151" t="s">
        <v>6791</v>
      </c>
    </row>
    <row r="4817" spans="1:1">
      <c r="A4817" s="151" t="s">
        <v>6792</v>
      </c>
    </row>
    <row r="4818" spans="1:1">
      <c r="A4818" s="151" t="s">
        <v>6793</v>
      </c>
    </row>
    <row r="4819" spans="1:1">
      <c r="A4819" s="151" t="s">
        <v>6794</v>
      </c>
    </row>
    <row r="4820" spans="1:1">
      <c r="A4820" s="151" t="s">
        <v>6795</v>
      </c>
    </row>
    <row r="4821" spans="1:1">
      <c r="A4821" s="151" t="s">
        <v>6796</v>
      </c>
    </row>
    <row r="4822" spans="1:1">
      <c r="A4822" s="151" t="s">
        <v>6797</v>
      </c>
    </row>
    <row r="4823" spans="1:1">
      <c r="A4823" s="151" t="s">
        <v>6798</v>
      </c>
    </row>
    <row r="4824" spans="1:1">
      <c r="A4824" s="151" t="s">
        <v>6799</v>
      </c>
    </row>
    <row r="4825" spans="1:1">
      <c r="A4825" s="151" t="s">
        <v>6800</v>
      </c>
    </row>
    <row r="4826" spans="1:1">
      <c r="A4826" s="151" t="s">
        <v>6801</v>
      </c>
    </row>
    <row r="4827" spans="1:1">
      <c r="A4827" s="151" t="s">
        <v>6802</v>
      </c>
    </row>
    <row r="4828" spans="1:1">
      <c r="A4828" s="151" t="s">
        <v>6803</v>
      </c>
    </row>
    <row r="4829" spans="1:1">
      <c r="A4829" s="151" t="s">
        <v>6804</v>
      </c>
    </row>
    <row r="4830" spans="1:1">
      <c r="A4830" s="151" t="s">
        <v>6805</v>
      </c>
    </row>
    <row r="4831" spans="1:1">
      <c r="A4831" s="151" t="s">
        <v>6806</v>
      </c>
    </row>
    <row r="4832" spans="1:1">
      <c r="A4832" s="151" t="s">
        <v>6807</v>
      </c>
    </row>
    <row r="4833" spans="1:1">
      <c r="A4833" s="151" t="s">
        <v>6808</v>
      </c>
    </row>
    <row r="4834" spans="1:1">
      <c r="A4834" s="151" t="s">
        <v>6809</v>
      </c>
    </row>
    <row r="4835" spans="1:1">
      <c r="A4835" s="151" t="s">
        <v>6810</v>
      </c>
    </row>
    <row r="4836" spans="1:1">
      <c r="A4836" s="151" t="s">
        <v>6811</v>
      </c>
    </row>
    <row r="4837" spans="1:1">
      <c r="A4837" s="151" t="s">
        <v>6812</v>
      </c>
    </row>
    <row r="4838" spans="1:1">
      <c r="A4838" s="151" t="s">
        <v>6813</v>
      </c>
    </row>
    <row r="4839" spans="1:1">
      <c r="A4839" s="151" t="s">
        <v>6814</v>
      </c>
    </row>
    <row r="4840" spans="1:1">
      <c r="A4840" s="151" t="s">
        <v>6815</v>
      </c>
    </row>
    <row r="4841" spans="1:1">
      <c r="A4841" s="151" t="s">
        <v>6816</v>
      </c>
    </row>
    <row r="4842" spans="1:1">
      <c r="A4842" s="151" t="s">
        <v>6817</v>
      </c>
    </row>
    <row r="4843" spans="1:1">
      <c r="A4843" s="151" t="s">
        <v>6818</v>
      </c>
    </row>
    <row r="4844" spans="1:1">
      <c r="A4844" s="151" t="s">
        <v>6819</v>
      </c>
    </row>
    <row r="4845" spans="1:1">
      <c r="A4845" s="151" t="s">
        <v>6820</v>
      </c>
    </row>
    <row r="4846" spans="1:1">
      <c r="A4846" s="151" t="s">
        <v>6821</v>
      </c>
    </row>
    <row r="4847" spans="1:1">
      <c r="A4847" s="151" t="s">
        <v>6822</v>
      </c>
    </row>
    <row r="4848" spans="1:1">
      <c r="A4848" s="151" t="s">
        <v>6823</v>
      </c>
    </row>
    <row r="4849" spans="1:1">
      <c r="A4849" s="151" t="s">
        <v>6824</v>
      </c>
    </row>
    <row r="4850" spans="1:1">
      <c r="A4850" s="151" t="s">
        <v>6825</v>
      </c>
    </row>
    <row r="4851" spans="1:1">
      <c r="A4851" s="151" t="s">
        <v>6826</v>
      </c>
    </row>
    <row r="4852" spans="1:1">
      <c r="A4852" s="151" t="s">
        <v>6827</v>
      </c>
    </row>
    <row r="4853" spans="1:1">
      <c r="A4853" s="151" t="s">
        <v>6828</v>
      </c>
    </row>
    <row r="4854" spans="1:1">
      <c r="A4854" s="151" t="s">
        <v>6829</v>
      </c>
    </row>
    <row r="4855" spans="1:1">
      <c r="A4855" s="151" t="s">
        <v>6830</v>
      </c>
    </row>
    <row r="4856" spans="1:1">
      <c r="A4856" s="151" t="s">
        <v>6831</v>
      </c>
    </row>
    <row r="4857" spans="1:1">
      <c r="A4857" s="151" t="s">
        <v>6832</v>
      </c>
    </row>
    <row r="4858" spans="1:1">
      <c r="A4858" s="151" t="s">
        <v>6833</v>
      </c>
    </row>
    <row r="4859" spans="1:1">
      <c r="A4859" s="151" t="s">
        <v>6834</v>
      </c>
    </row>
    <row r="4860" spans="1:1">
      <c r="A4860" s="151" t="s">
        <v>6835</v>
      </c>
    </row>
    <row r="4861" spans="1:1">
      <c r="A4861" s="151" t="s">
        <v>6836</v>
      </c>
    </row>
    <row r="4862" spans="1:1">
      <c r="A4862" s="151" t="s">
        <v>6837</v>
      </c>
    </row>
    <row r="4863" spans="1:1">
      <c r="A4863" s="151" t="s">
        <v>6838</v>
      </c>
    </row>
    <row r="4864" spans="1:1">
      <c r="A4864" s="151" t="s">
        <v>6839</v>
      </c>
    </row>
    <row r="4865" spans="1:1">
      <c r="A4865" s="151" t="s">
        <v>6840</v>
      </c>
    </row>
    <row r="4866" spans="1:1">
      <c r="A4866" s="151" t="s">
        <v>6841</v>
      </c>
    </row>
    <row r="4867" spans="1:1">
      <c r="A4867" s="151" t="s">
        <v>6842</v>
      </c>
    </row>
    <row r="4868" spans="1:1">
      <c r="A4868" s="151" t="s">
        <v>6843</v>
      </c>
    </row>
    <row r="4869" spans="1:1">
      <c r="A4869" s="151" t="s">
        <v>6844</v>
      </c>
    </row>
    <row r="4870" spans="1:1">
      <c r="A4870" s="151" t="s">
        <v>6845</v>
      </c>
    </row>
    <row r="4871" spans="1:1">
      <c r="A4871" s="151" t="s">
        <v>6846</v>
      </c>
    </row>
    <row r="4872" spans="1:1">
      <c r="A4872" s="151" t="s">
        <v>6847</v>
      </c>
    </row>
    <row r="4873" spans="1:1">
      <c r="A4873" s="151" t="s">
        <v>6848</v>
      </c>
    </row>
    <row r="4874" spans="1:1">
      <c r="A4874" s="151" t="s">
        <v>6849</v>
      </c>
    </row>
    <row r="4875" spans="1:1">
      <c r="A4875" s="151" t="s">
        <v>6850</v>
      </c>
    </row>
    <row r="4876" spans="1:1">
      <c r="A4876" s="151" t="s">
        <v>6851</v>
      </c>
    </row>
    <row r="4877" spans="1:1">
      <c r="A4877" s="151" t="s">
        <v>6852</v>
      </c>
    </row>
    <row r="4878" spans="1:1">
      <c r="A4878" s="151" t="s">
        <v>6853</v>
      </c>
    </row>
    <row r="4879" spans="1:1">
      <c r="A4879" s="151" t="s">
        <v>6854</v>
      </c>
    </row>
    <row r="4880" spans="1:1">
      <c r="A4880" s="151" t="s">
        <v>6855</v>
      </c>
    </row>
    <row r="4881" spans="1:1">
      <c r="A4881" s="151" t="s">
        <v>6856</v>
      </c>
    </row>
    <row r="4882" spans="1:1">
      <c r="A4882" s="151" t="s">
        <v>6857</v>
      </c>
    </row>
    <row r="4883" spans="1:1">
      <c r="A4883" s="151" t="s">
        <v>6858</v>
      </c>
    </row>
    <row r="4884" spans="1:1">
      <c r="A4884" s="151" t="s">
        <v>6859</v>
      </c>
    </row>
    <row r="4885" spans="1:1">
      <c r="A4885" s="151" t="s">
        <v>6860</v>
      </c>
    </row>
    <row r="4886" spans="1:1">
      <c r="A4886" s="151" t="s">
        <v>6861</v>
      </c>
    </row>
    <row r="4887" spans="1:1">
      <c r="A4887" s="151" t="s">
        <v>6862</v>
      </c>
    </row>
    <row r="4888" spans="1:1">
      <c r="A4888" s="151" t="s">
        <v>6863</v>
      </c>
    </row>
    <row r="4889" spans="1:1">
      <c r="A4889" s="151" t="s">
        <v>6864</v>
      </c>
    </row>
    <row r="4890" spans="1:1">
      <c r="A4890" s="151" t="s">
        <v>6865</v>
      </c>
    </row>
    <row r="4891" spans="1:1">
      <c r="A4891" s="151" t="s">
        <v>6866</v>
      </c>
    </row>
    <row r="4892" spans="1:1">
      <c r="A4892" s="151" t="s">
        <v>6867</v>
      </c>
    </row>
    <row r="4893" spans="1:1">
      <c r="A4893" s="151" t="s">
        <v>6868</v>
      </c>
    </row>
    <row r="4894" spans="1:1">
      <c r="A4894" s="151" t="s">
        <v>6869</v>
      </c>
    </row>
    <row r="4895" spans="1:1">
      <c r="A4895" s="151" t="s">
        <v>6870</v>
      </c>
    </row>
    <row r="4896" spans="1:1">
      <c r="A4896" s="151" t="s">
        <v>6871</v>
      </c>
    </row>
    <row r="4897" spans="1:1">
      <c r="A4897" s="151" t="s">
        <v>6872</v>
      </c>
    </row>
    <row r="4898" spans="1:1">
      <c r="A4898" s="151" t="s">
        <v>6873</v>
      </c>
    </row>
    <row r="4899" spans="1:1">
      <c r="A4899" s="151" t="s">
        <v>6874</v>
      </c>
    </row>
    <row r="4900" spans="1:1">
      <c r="A4900" s="151" t="s">
        <v>6875</v>
      </c>
    </row>
    <row r="4901" spans="1:1">
      <c r="A4901" s="151" t="s">
        <v>6876</v>
      </c>
    </row>
    <row r="4902" spans="1:1">
      <c r="A4902" s="151" t="s">
        <v>6877</v>
      </c>
    </row>
    <row r="4903" spans="1:1">
      <c r="A4903" s="151" t="s">
        <v>6878</v>
      </c>
    </row>
    <row r="4904" spans="1:1">
      <c r="A4904" s="151" t="s">
        <v>6879</v>
      </c>
    </row>
    <row r="4905" spans="1:1">
      <c r="A4905" s="151" t="s">
        <v>6880</v>
      </c>
    </row>
    <row r="4906" spans="1:1">
      <c r="A4906" s="151" t="s">
        <v>6881</v>
      </c>
    </row>
    <row r="4907" spans="1:1">
      <c r="A4907" s="151" t="s">
        <v>6882</v>
      </c>
    </row>
    <row r="4908" spans="1:1">
      <c r="A4908" s="151" t="s">
        <v>6883</v>
      </c>
    </row>
    <row r="4909" spans="1:1">
      <c r="A4909" s="151" t="s">
        <v>6884</v>
      </c>
    </row>
    <row r="4910" spans="1:1">
      <c r="A4910" s="151" t="s">
        <v>6885</v>
      </c>
    </row>
    <row r="4911" spans="1:1">
      <c r="A4911" s="151" t="s">
        <v>6886</v>
      </c>
    </row>
    <row r="4912" spans="1:1">
      <c r="A4912" s="151" t="s">
        <v>6887</v>
      </c>
    </row>
    <row r="4913" spans="1:1">
      <c r="A4913" s="151" t="s">
        <v>6888</v>
      </c>
    </row>
    <row r="4914" spans="1:1">
      <c r="A4914" s="151" t="s">
        <v>6889</v>
      </c>
    </row>
    <row r="4915" spans="1:1">
      <c r="A4915" s="151" t="s">
        <v>6890</v>
      </c>
    </row>
    <row r="4916" spans="1:1">
      <c r="A4916" s="151" t="s">
        <v>6891</v>
      </c>
    </row>
    <row r="4917" spans="1:1">
      <c r="A4917" s="151" t="s">
        <v>6892</v>
      </c>
    </row>
    <row r="4918" spans="1:1">
      <c r="A4918" s="151" t="s">
        <v>6893</v>
      </c>
    </row>
    <row r="4919" spans="1:1">
      <c r="A4919" s="151" t="s">
        <v>6894</v>
      </c>
    </row>
    <row r="4920" spans="1:1">
      <c r="A4920" s="151" t="s">
        <v>6895</v>
      </c>
    </row>
    <row r="4921" spans="1:1">
      <c r="A4921" s="151" t="s">
        <v>6896</v>
      </c>
    </row>
    <row r="4922" spans="1:1">
      <c r="A4922" s="151" t="s">
        <v>6897</v>
      </c>
    </row>
    <row r="4923" spans="1:1">
      <c r="A4923" s="151" t="s">
        <v>6898</v>
      </c>
    </row>
    <row r="4924" spans="1:1">
      <c r="A4924" s="151" t="s">
        <v>6899</v>
      </c>
    </row>
    <row r="4925" spans="1:1">
      <c r="A4925" s="151" t="s">
        <v>6900</v>
      </c>
    </row>
    <row r="4926" spans="1:1">
      <c r="A4926" s="151" t="s">
        <v>6901</v>
      </c>
    </row>
    <row r="4927" spans="1:1">
      <c r="A4927" s="151" t="s">
        <v>6902</v>
      </c>
    </row>
    <row r="4928" spans="1:1">
      <c r="A4928" s="151" t="s">
        <v>6903</v>
      </c>
    </row>
    <row r="4929" spans="1:1">
      <c r="A4929" s="151" t="s">
        <v>6904</v>
      </c>
    </row>
    <row r="4930" spans="1:1">
      <c r="A4930" s="151" t="s">
        <v>6905</v>
      </c>
    </row>
    <row r="4931" spans="1:1">
      <c r="A4931" s="151" t="s">
        <v>6906</v>
      </c>
    </row>
    <row r="4932" spans="1:1">
      <c r="A4932" s="151" t="s">
        <v>6907</v>
      </c>
    </row>
    <row r="4933" spans="1:1">
      <c r="A4933" s="151" t="s">
        <v>6908</v>
      </c>
    </row>
    <row r="4934" spans="1:1">
      <c r="A4934" s="151" t="s">
        <v>6909</v>
      </c>
    </row>
    <row r="4935" spans="1:1">
      <c r="A4935" s="151" t="s">
        <v>6910</v>
      </c>
    </row>
    <row r="4936" spans="1:1">
      <c r="A4936" s="151" t="s">
        <v>6911</v>
      </c>
    </row>
    <row r="4937" spans="1:1">
      <c r="A4937" s="151" t="s">
        <v>6912</v>
      </c>
    </row>
    <row r="4938" spans="1:1">
      <c r="A4938" s="151" t="s">
        <v>6913</v>
      </c>
    </row>
    <row r="4939" spans="1:1">
      <c r="A4939" s="151" t="s">
        <v>6914</v>
      </c>
    </row>
    <row r="4940" spans="1:1">
      <c r="A4940" s="151" t="s">
        <v>6915</v>
      </c>
    </row>
    <row r="4941" spans="1:1">
      <c r="A4941" s="151" t="s">
        <v>6916</v>
      </c>
    </row>
    <row r="4942" spans="1:1">
      <c r="A4942" s="151" t="s">
        <v>6917</v>
      </c>
    </row>
    <row r="4943" spans="1:1">
      <c r="A4943" s="151" t="s">
        <v>6918</v>
      </c>
    </row>
    <row r="4944" spans="1:1">
      <c r="A4944" s="151" t="s">
        <v>6919</v>
      </c>
    </row>
    <row r="4945" spans="1:1">
      <c r="A4945" s="151" t="s">
        <v>6920</v>
      </c>
    </row>
    <row r="4946" spans="1:1">
      <c r="A4946" s="151" t="s">
        <v>6921</v>
      </c>
    </row>
    <row r="4947" spans="1:1">
      <c r="A4947" s="151" t="s">
        <v>6922</v>
      </c>
    </row>
    <row r="4948" spans="1:1">
      <c r="A4948" s="151" t="s">
        <v>6923</v>
      </c>
    </row>
    <row r="4949" spans="1:1">
      <c r="A4949" s="151" t="s">
        <v>6924</v>
      </c>
    </row>
    <row r="4950" spans="1:1">
      <c r="A4950" s="151" t="s">
        <v>6925</v>
      </c>
    </row>
    <row r="4951" spans="1:1">
      <c r="A4951" s="151" t="s">
        <v>6926</v>
      </c>
    </row>
    <row r="4952" spans="1:1">
      <c r="A4952" s="151" t="s">
        <v>6927</v>
      </c>
    </row>
    <row r="4953" spans="1:1">
      <c r="A4953" s="151" t="s">
        <v>6928</v>
      </c>
    </row>
    <row r="4954" spans="1:1">
      <c r="A4954" s="151" t="s">
        <v>6929</v>
      </c>
    </row>
    <row r="4955" spans="1:1">
      <c r="A4955" s="151" t="s">
        <v>6930</v>
      </c>
    </row>
    <row r="4956" spans="1:1">
      <c r="A4956" s="151" t="s">
        <v>6931</v>
      </c>
    </row>
    <row r="4957" spans="1:1">
      <c r="A4957" s="151" t="s">
        <v>6932</v>
      </c>
    </row>
    <row r="4958" spans="1:1">
      <c r="A4958" s="151" t="s">
        <v>6933</v>
      </c>
    </row>
    <row r="4959" spans="1:1">
      <c r="A4959" s="151" t="s">
        <v>6934</v>
      </c>
    </row>
    <row r="4960" spans="1:1">
      <c r="A4960" s="151" t="s">
        <v>6935</v>
      </c>
    </row>
    <row r="4961" spans="1:1">
      <c r="A4961" s="151" t="s">
        <v>6936</v>
      </c>
    </row>
    <row r="4962" spans="1:1">
      <c r="A4962" s="151" t="s">
        <v>6937</v>
      </c>
    </row>
    <row r="4963" spans="1:1">
      <c r="A4963" s="151" t="s">
        <v>6938</v>
      </c>
    </row>
    <row r="4964" spans="1:1">
      <c r="A4964" s="151" t="s">
        <v>6939</v>
      </c>
    </row>
    <row r="4965" spans="1:1">
      <c r="A4965" s="151" t="s">
        <v>6940</v>
      </c>
    </row>
    <row r="4966" spans="1:1">
      <c r="A4966" s="151" t="s">
        <v>6941</v>
      </c>
    </row>
    <row r="4967" spans="1:1">
      <c r="A4967" s="151" t="s">
        <v>6942</v>
      </c>
    </row>
    <row r="4968" spans="1:1">
      <c r="A4968" s="151" t="s">
        <v>6943</v>
      </c>
    </row>
    <row r="4969" spans="1:1">
      <c r="A4969" s="151" t="s">
        <v>6944</v>
      </c>
    </row>
    <row r="4970" spans="1:1">
      <c r="A4970" s="151" t="s">
        <v>6945</v>
      </c>
    </row>
    <row r="4971" spans="1:1">
      <c r="A4971" s="151" t="s">
        <v>6946</v>
      </c>
    </row>
    <row r="4972" spans="1:1">
      <c r="A4972" s="151" t="s">
        <v>6947</v>
      </c>
    </row>
    <row r="4973" spans="1:1">
      <c r="A4973" s="151" t="s">
        <v>6948</v>
      </c>
    </row>
    <row r="4974" spans="1:1">
      <c r="A4974" s="151" t="s">
        <v>6949</v>
      </c>
    </row>
    <row r="4975" spans="1:1">
      <c r="A4975" s="151" t="s">
        <v>6950</v>
      </c>
    </row>
    <row r="4976" spans="1:1">
      <c r="A4976" s="151" t="s">
        <v>6951</v>
      </c>
    </row>
    <row r="4977" spans="1:1">
      <c r="A4977" s="151" t="s">
        <v>6952</v>
      </c>
    </row>
    <row r="4978" spans="1:1">
      <c r="A4978" s="151" t="s">
        <v>6953</v>
      </c>
    </row>
    <row r="4979" spans="1:1">
      <c r="A4979" s="151" t="s">
        <v>6954</v>
      </c>
    </row>
    <row r="4980" spans="1:1">
      <c r="A4980" s="151" t="s">
        <v>6955</v>
      </c>
    </row>
    <row r="4981" spans="1:1">
      <c r="A4981" s="151" t="s">
        <v>6956</v>
      </c>
    </row>
    <row r="4982" spans="1:1">
      <c r="A4982" s="151" t="s">
        <v>6957</v>
      </c>
    </row>
    <row r="4983" spans="1:1">
      <c r="A4983" s="151" t="s">
        <v>6958</v>
      </c>
    </row>
    <row r="4984" spans="1:1">
      <c r="A4984" s="151" t="s">
        <v>6959</v>
      </c>
    </row>
    <row r="4985" spans="1:1">
      <c r="A4985" s="151" t="s">
        <v>6960</v>
      </c>
    </row>
    <row r="4986" spans="1:1">
      <c r="A4986" s="151" t="s">
        <v>6961</v>
      </c>
    </row>
    <row r="4987" spans="1:1">
      <c r="A4987" s="151" t="s">
        <v>6962</v>
      </c>
    </row>
    <row r="4988" spans="1:1">
      <c r="A4988" s="151" t="s">
        <v>6963</v>
      </c>
    </row>
    <row r="4989" spans="1:1">
      <c r="A4989" s="151" t="s">
        <v>6964</v>
      </c>
    </row>
    <row r="4990" spans="1:1">
      <c r="A4990" s="151" t="s">
        <v>6965</v>
      </c>
    </row>
    <row r="4991" spans="1:1">
      <c r="A4991" s="151" t="s">
        <v>6966</v>
      </c>
    </row>
    <row r="4992" spans="1:1">
      <c r="A4992" s="151" t="s">
        <v>6967</v>
      </c>
    </row>
    <row r="4993" spans="1:1">
      <c r="A4993" s="151" t="s">
        <v>6968</v>
      </c>
    </row>
    <row r="4994" spans="1:1">
      <c r="A4994" s="151" t="s">
        <v>6969</v>
      </c>
    </row>
    <row r="4995" spans="1:1">
      <c r="A4995" s="151" t="s">
        <v>6970</v>
      </c>
    </row>
    <row r="4996" spans="1:1">
      <c r="A4996" s="151" t="s">
        <v>6971</v>
      </c>
    </row>
    <row r="4997" spans="1:1">
      <c r="A4997" s="151" t="s">
        <v>6972</v>
      </c>
    </row>
    <row r="4998" spans="1:1">
      <c r="A4998" s="151" t="s">
        <v>6973</v>
      </c>
    </row>
    <row r="4999" spans="1:1">
      <c r="A4999" s="151" t="s">
        <v>6974</v>
      </c>
    </row>
    <row r="5000" spans="1:1">
      <c r="A5000" s="151" t="s">
        <v>6975</v>
      </c>
    </row>
    <row r="5001" spans="1:1">
      <c r="A5001" s="151" t="s">
        <v>6976</v>
      </c>
    </row>
    <row r="5002" spans="1:1">
      <c r="A5002" s="151" t="s">
        <v>6977</v>
      </c>
    </row>
    <row r="5003" spans="1:1">
      <c r="A5003" s="151" t="s">
        <v>6978</v>
      </c>
    </row>
    <row r="5004" spans="1:1">
      <c r="A5004" s="151" t="s">
        <v>6979</v>
      </c>
    </row>
    <row r="5005" spans="1:1">
      <c r="A5005" s="151" t="s">
        <v>6980</v>
      </c>
    </row>
    <row r="5006" spans="1:1">
      <c r="A5006" s="151" t="s">
        <v>6981</v>
      </c>
    </row>
    <row r="5007" spans="1:1">
      <c r="A5007" s="151" t="s">
        <v>6982</v>
      </c>
    </row>
    <row r="5008" spans="1:1">
      <c r="A5008" s="151" t="s">
        <v>6983</v>
      </c>
    </row>
    <row r="5009" spans="1:1">
      <c r="A5009" s="151" t="s">
        <v>6984</v>
      </c>
    </row>
    <row r="5010" spans="1:1">
      <c r="A5010" s="151" t="s">
        <v>6985</v>
      </c>
    </row>
    <row r="5011" spans="1:1">
      <c r="A5011" s="151" t="s">
        <v>6986</v>
      </c>
    </row>
    <row r="5012" spans="1:1">
      <c r="A5012" s="151" t="s">
        <v>6987</v>
      </c>
    </row>
    <row r="5013" spans="1:1">
      <c r="A5013" s="151" t="s">
        <v>6988</v>
      </c>
    </row>
    <row r="5014" spans="1:1">
      <c r="A5014" s="151" t="s">
        <v>6989</v>
      </c>
    </row>
    <row r="5015" spans="1:1">
      <c r="A5015" s="151" t="s">
        <v>6990</v>
      </c>
    </row>
    <row r="5016" spans="1:1">
      <c r="A5016" s="151" t="s">
        <v>6991</v>
      </c>
    </row>
    <row r="5017" spans="1:1">
      <c r="A5017" s="151" t="s">
        <v>6992</v>
      </c>
    </row>
    <row r="5018" spans="1:1">
      <c r="A5018" s="151" t="s">
        <v>6993</v>
      </c>
    </row>
    <row r="5019" spans="1:1">
      <c r="A5019" s="151" t="s">
        <v>6994</v>
      </c>
    </row>
    <row r="5020" spans="1:1">
      <c r="A5020" s="151" t="s">
        <v>6995</v>
      </c>
    </row>
    <row r="5021" spans="1:1">
      <c r="A5021" s="151" t="s">
        <v>6996</v>
      </c>
    </row>
    <row r="5022" spans="1:1">
      <c r="A5022" s="151" t="s">
        <v>6997</v>
      </c>
    </row>
    <row r="5023" spans="1:1">
      <c r="A5023" s="151" t="s">
        <v>6998</v>
      </c>
    </row>
    <row r="5024" spans="1:1">
      <c r="A5024" s="151" t="s">
        <v>6999</v>
      </c>
    </row>
    <row r="5025" spans="1:1">
      <c r="A5025" s="151" t="s">
        <v>7000</v>
      </c>
    </row>
    <row r="5026" spans="1:1">
      <c r="A5026" s="151" t="s">
        <v>7001</v>
      </c>
    </row>
    <row r="5027" spans="1:1">
      <c r="A5027" s="151" t="s">
        <v>7002</v>
      </c>
    </row>
    <row r="5028" spans="1:1">
      <c r="A5028" s="151" t="s">
        <v>7003</v>
      </c>
    </row>
    <row r="5029" spans="1:1">
      <c r="A5029" s="151" t="s">
        <v>7004</v>
      </c>
    </row>
    <row r="5030" spans="1:1">
      <c r="A5030" s="151" t="s">
        <v>7005</v>
      </c>
    </row>
    <row r="5031" spans="1:1">
      <c r="A5031" s="151" t="s">
        <v>7006</v>
      </c>
    </row>
    <row r="5032" spans="1:1">
      <c r="A5032" s="151" t="s">
        <v>7007</v>
      </c>
    </row>
    <row r="5033" spans="1:1">
      <c r="A5033" s="151" t="s">
        <v>7008</v>
      </c>
    </row>
    <row r="5034" spans="1:1">
      <c r="A5034" s="151" t="s">
        <v>7009</v>
      </c>
    </row>
    <row r="5035" spans="1:1">
      <c r="A5035" s="151" t="s">
        <v>7010</v>
      </c>
    </row>
    <row r="5036" spans="1:1">
      <c r="A5036" s="151" t="s">
        <v>7011</v>
      </c>
    </row>
    <row r="5037" spans="1:1">
      <c r="A5037" s="151" t="s">
        <v>7012</v>
      </c>
    </row>
    <row r="5038" spans="1:1">
      <c r="A5038" s="151" t="s">
        <v>7013</v>
      </c>
    </row>
    <row r="5039" spans="1:1">
      <c r="A5039" s="151" t="s">
        <v>7014</v>
      </c>
    </row>
    <row r="5040" spans="1:1">
      <c r="A5040" s="151" t="s">
        <v>7015</v>
      </c>
    </row>
    <row r="5041" spans="1:1">
      <c r="A5041" s="151" t="s">
        <v>7016</v>
      </c>
    </row>
    <row r="5042" spans="1:1">
      <c r="A5042" s="151" t="s">
        <v>7017</v>
      </c>
    </row>
    <row r="5043" spans="1:1">
      <c r="A5043" s="151" t="s">
        <v>7018</v>
      </c>
    </row>
    <row r="5044" spans="1:1">
      <c r="A5044" s="151" t="s">
        <v>7019</v>
      </c>
    </row>
    <row r="5045" spans="1:1">
      <c r="A5045" s="151" t="s">
        <v>7020</v>
      </c>
    </row>
    <row r="5046" spans="1:1">
      <c r="A5046" s="151" t="s">
        <v>7021</v>
      </c>
    </row>
    <row r="5047" spans="1:1">
      <c r="A5047" s="151" t="s">
        <v>7022</v>
      </c>
    </row>
    <row r="5048" spans="1:1">
      <c r="A5048" s="151" t="s">
        <v>7023</v>
      </c>
    </row>
    <row r="5049" spans="1:1">
      <c r="A5049" s="151" t="s">
        <v>7024</v>
      </c>
    </row>
    <row r="5050" spans="1:1">
      <c r="A5050" s="151" t="s">
        <v>7025</v>
      </c>
    </row>
    <row r="5051" spans="1:1">
      <c r="A5051" s="151" t="s">
        <v>7026</v>
      </c>
    </row>
    <row r="5052" spans="1:1">
      <c r="A5052" s="151" t="s">
        <v>7027</v>
      </c>
    </row>
    <row r="5053" spans="1:1">
      <c r="A5053" s="151" t="s">
        <v>7028</v>
      </c>
    </row>
    <row r="5054" spans="1:1">
      <c r="A5054" s="151" t="s">
        <v>7029</v>
      </c>
    </row>
    <row r="5055" spans="1:1">
      <c r="A5055" s="151" t="s">
        <v>7030</v>
      </c>
    </row>
    <row r="5056" spans="1:1">
      <c r="A5056" s="151" t="s">
        <v>7031</v>
      </c>
    </row>
    <row r="5057" spans="1:1">
      <c r="A5057" s="151" t="s">
        <v>7032</v>
      </c>
    </row>
    <row r="5058" spans="1:1">
      <c r="A5058" s="151" t="s">
        <v>7033</v>
      </c>
    </row>
    <row r="5059" spans="1:1">
      <c r="A5059" s="151" t="s">
        <v>7034</v>
      </c>
    </row>
    <row r="5060" spans="1:1">
      <c r="A5060" s="151" t="s">
        <v>7035</v>
      </c>
    </row>
    <row r="5061" spans="1:1">
      <c r="A5061" s="151" t="s">
        <v>7036</v>
      </c>
    </row>
    <row r="5062" spans="1:1">
      <c r="A5062" s="151" t="s">
        <v>7037</v>
      </c>
    </row>
    <row r="5063" spans="1:1">
      <c r="A5063" s="151" t="s">
        <v>7038</v>
      </c>
    </row>
    <row r="5064" spans="1:1">
      <c r="A5064" s="151" t="s">
        <v>7039</v>
      </c>
    </row>
    <row r="5065" spans="1:1">
      <c r="A5065" s="151" t="s">
        <v>7040</v>
      </c>
    </row>
    <row r="5066" spans="1:1">
      <c r="A5066" s="151" t="s">
        <v>7041</v>
      </c>
    </row>
    <row r="5067" spans="1:1">
      <c r="A5067" s="151" t="s">
        <v>7042</v>
      </c>
    </row>
    <row r="5068" spans="1:1">
      <c r="A5068" s="151" t="s">
        <v>7043</v>
      </c>
    </row>
    <row r="5069" spans="1:1">
      <c r="A5069" s="151" t="s">
        <v>7044</v>
      </c>
    </row>
    <row r="5070" spans="1:1">
      <c r="A5070" s="151" t="s">
        <v>7045</v>
      </c>
    </row>
    <row r="5071" spans="1:1">
      <c r="A5071" s="151" t="s">
        <v>7046</v>
      </c>
    </row>
    <row r="5072" spans="1:1">
      <c r="A5072" s="151" t="s">
        <v>7047</v>
      </c>
    </row>
    <row r="5073" spans="1:1">
      <c r="A5073" s="151" t="s">
        <v>7048</v>
      </c>
    </row>
    <row r="5074" spans="1:1">
      <c r="A5074" s="151" t="s">
        <v>7049</v>
      </c>
    </row>
    <row r="5075" spans="1:1">
      <c r="A5075" s="151" t="s">
        <v>7050</v>
      </c>
    </row>
    <row r="5076" spans="1:1">
      <c r="A5076" s="151" t="s">
        <v>7051</v>
      </c>
    </row>
    <row r="5077" spans="1:1">
      <c r="A5077" s="151" t="s">
        <v>7052</v>
      </c>
    </row>
    <row r="5078" spans="1:1">
      <c r="A5078" s="151" t="s">
        <v>7053</v>
      </c>
    </row>
    <row r="5079" spans="1:1">
      <c r="A5079" s="151" t="s">
        <v>7054</v>
      </c>
    </row>
    <row r="5080" spans="1:1">
      <c r="A5080" s="151" t="s">
        <v>7055</v>
      </c>
    </row>
    <row r="5081" spans="1:1">
      <c r="A5081" s="151" t="s">
        <v>7056</v>
      </c>
    </row>
    <row r="5082" spans="1:1">
      <c r="A5082" s="151" t="s">
        <v>7057</v>
      </c>
    </row>
    <row r="5083" spans="1:1">
      <c r="A5083" s="151" t="s">
        <v>7058</v>
      </c>
    </row>
    <row r="5084" spans="1:1">
      <c r="A5084" s="151" t="s">
        <v>7059</v>
      </c>
    </row>
    <row r="5085" spans="1:1">
      <c r="A5085" s="151" t="s">
        <v>7060</v>
      </c>
    </row>
    <row r="5086" spans="1:1">
      <c r="A5086" s="151" t="s">
        <v>7061</v>
      </c>
    </row>
    <row r="5087" spans="1:1">
      <c r="A5087" s="151" t="s">
        <v>7062</v>
      </c>
    </row>
    <row r="5088" spans="1:1">
      <c r="A5088" s="151" t="s">
        <v>7063</v>
      </c>
    </row>
    <row r="5089" spans="1:1">
      <c r="A5089" s="151" t="s">
        <v>7064</v>
      </c>
    </row>
    <row r="5090" spans="1:1">
      <c r="A5090" s="151" t="s">
        <v>7065</v>
      </c>
    </row>
    <row r="5091" spans="1:1">
      <c r="A5091" s="151" t="s">
        <v>7066</v>
      </c>
    </row>
    <row r="5092" spans="1:1">
      <c r="A5092" s="151" t="s">
        <v>7067</v>
      </c>
    </row>
    <row r="5093" spans="1:1">
      <c r="A5093" s="151" t="s">
        <v>7068</v>
      </c>
    </row>
    <row r="5094" spans="1:1">
      <c r="A5094" s="151" t="s">
        <v>7069</v>
      </c>
    </row>
    <row r="5095" spans="1:1">
      <c r="A5095" s="151" t="s">
        <v>7070</v>
      </c>
    </row>
    <row r="5096" spans="1:1">
      <c r="A5096" s="151" t="s">
        <v>7071</v>
      </c>
    </row>
    <row r="5097" spans="1:1">
      <c r="A5097" s="151" t="s">
        <v>7072</v>
      </c>
    </row>
    <row r="5098" spans="1:1">
      <c r="A5098" s="151" t="s">
        <v>7073</v>
      </c>
    </row>
    <row r="5099" spans="1:1">
      <c r="A5099" s="151" t="s">
        <v>7074</v>
      </c>
    </row>
    <row r="5100" spans="1:1">
      <c r="A5100" s="151" t="s">
        <v>7075</v>
      </c>
    </row>
    <row r="5101" spans="1:1">
      <c r="A5101" s="151" t="s">
        <v>7076</v>
      </c>
    </row>
    <row r="5102" spans="1:1">
      <c r="A5102" s="151" t="s">
        <v>7077</v>
      </c>
    </row>
    <row r="5103" spans="1:1">
      <c r="A5103" s="151" t="s">
        <v>7078</v>
      </c>
    </row>
    <row r="5104" spans="1:1">
      <c r="A5104" s="151" t="s">
        <v>7079</v>
      </c>
    </row>
    <row r="5105" spans="1:1">
      <c r="A5105" s="151" t="s">
        <v>7080</v>
      </c>
    </row>
    <row r="5106" spans="1:1">
      <c r="A5106" s="151" t="s">
        <v>7081</v>
      </c>
    </row>
    <row r="5107" spans="1:1">
      <c r="A5107" s="151" t="s">
        <v>7082</v>
      </c>
    </row>
    <row r="5108" spans="1:1">
      <c r="A5108" s="151" t="s">
        <v>7083</v>
      </c>
    </row>
    <row r="5109" spans="1:1">
      <c r="A5109" s="151" t="s">
        <v>7084</v>
      </c>
    </row>
    <row r="5110" spans="1:1">
      <c r="A5110" s="151" t="s">
        <v>7085</v>
      </c>
    </row>
    <row r="5111" spans="1:1">
      <c r="A5111" s="151" t="s">
        <v>7086</v>
      </c>
    </row>
    <row r="5112" spans="1:1">
      <c r="A5112" s="151" t="s">
        <v>7087</v>
      </c>
    </row>
    <row r="5113" spans="1:1">
      <c r="A5113" s="151" t="s">
        <v>7088</v>
      </c>
    </row>
    <row r="5114" spans="1:1">
      <c r="A5114" s="151" t="s">
        <v>7089</v>
      </c>
    </row>
    <row r="5115" spans="1:1">
      <c r="A5115" s="151" t="s">
        <v>7090</v>
      </c>
    </row>
    <row r="5116" spans="1:1">
      <c r="A5116" s="151" t="s">
        <v>7091</v>
      </c>
    </row>
    <row r="5117" spans="1:1">
      <c r="A5117" s="151" t="s">
        <v>7092</v>
      </c>
    </row>
    <row r="5118" spans="1:1">
      <c r="A5118" s="151" t="s">
        <v>7093</v>
      </c>
    </row>
    <row r="5119" spans="1:1">
      <c r="A5119" s="151" t="s">
        <v>7094</v>
      </c>
    </row>
    <row r="5120" spans="1:1">
      <c r="A5120" s="151" t="s">
        <v>7095</v>
      </c>
    </row>
    <row r="5121" spans="1:1">
      <c r="A5121" s="151" t="s">
        <v>7096</v>
      </c>
    </row>
    <row r="5122" spans="1:1">
      <c r="A5122" s="151" t="s">
        <v>7097</v>
      </c>
    </row>
    <row r="5123" spans="1:1">
      <c r="A5123" s="151" t="s">
        <v>7098</v>
      </c>
    </row>
    <row r="5124" spans="1:1">
      <c r="A5124" s="151" t="s">
        <v>7099</v>
      </c>
    </row>
    <row r="5125" spans="1:1">
      <c r="A5125" s="151" t="s">
        <v>7100</v>
      </c>
    </row>
    <row r="5126" spans="1:1">
      <c r="A5126" s="151" t="s">
        <v>7101</v>
      </c>
    </row>
    <row r="5127" spans="1:1">
      <c r="A5127" s="151" t="s">
        <v>7102</v>
      </c>
    </row>
    <row r="5128" spans="1:1">
      <c r="A5128" s="151" t="s">
        <v>7103</v>
      </c>
    </row>
    <row r="5129" spans="1:1">
      <c r="A5129" s="151" t="s">
        <v>7104</v>
      </c>
    </row>
    <row r="5130" spans="1:1">
      <c r="A5130" s="151" t="s">
        <v>7105</v>
      </c>
    </row>
    <row r="5131" spans="1:1">
      <c r="A5131" s="151" t="s">
        <v>7106</v>
      </c>
    </row>
    <row r="5132" spans="1:1">
      <c r="A5132" s="151" t="s">
        <v>7107</v>
      </c>
    </row>
    <row r="5133" spans="1:1">
      <c r="A5133" s="151" t="s">
        <v>7108</v>
      </c>
    </row>
    <row r="5134" spans="1:1">
      <c r="A5134" s="151" t="s">
        <v>7109</v>
      </c>
    </row>
    <row r="5135" spans="1:1">
      <c r="A5135" s="151" t="s">
        <v>7110</v>
      </c>
    </row>
    <row r="5136" spans="1:1">
      <c r="A5136" s="151" t="s">
        <v>7111</v>
      </c>
    </row>
    <row r="5137" spans="1:1">
      <c r="A5137" s="151" t="s">
        <v>7112</v>
      </c>
    </row>
    <row r="5138" spans="1:1">
      <c r="A5138" s="151" t="s">
        <v>7113</v>
      </c>
    </row>
    <row r="5139" spans="1:1">
      <c r="A5139" s="151" t="s">
        <v>7114</v>
      </c>
    </row>
    <row r="5140" spans="1:1">
      <c r="A5140" s="151" t="s">
        <v>7115</v>
      </c>
    </row>
    <row r="5141" spans="1:1">
      <c r="A5141" s="151" t="s">
        <v>7116</v>
      </c>
    </row>
    <row r="5142" spans="1:1">
      <c r="A5142" s="151" t="s">
        <v>7117</v>
      </c>
    </row>
    <row r="5143" spans="1:1">
      <c r="A5143" s="151" t="s">
        <v>7118</v>
      </c>
    </row>
    <row r="5144" spans="1:1">
      <c r="A5144" s="151" t="s">
        <v>7119</v>
      </c>
    </row>
    <row r="5145" spans="1:1">
      <c r="A5145" s="151" t="s">
        <v>7120</v>
      </c>
    </row>
    <row r="5146" spans="1:1">
      <c r="A5146" s="151" t="s">
        <v>7121</v>
      </c>
    </row>
    <row r="5147" spans="1:1">
      <c r="A5147" s="151" t="s">
        <v>7122</v>
      </c>
    </row>
    <row r="5148" spans="1:1">
      <c r="A5148" s="151" t="s">
        <v>7123</v>
      </c>
    </row>
    <row r="5149" spans="1:1">
      <c r="A5149" s="151" t="s">
        <v>7124</v>
      </c>
    </row>
    <row r="5150" spans="1:1">
      <c r="A5150" s="151" t="s">
        <v>7125</v>
      </c>
    </row>
    <row r="5151" spans="1:1">
      <c r="A5151" s="151" t="s">
        <v>7126</v>
      </c>
    </row>
    <row r="5152" spans="1:1">
      <c r="A5152" s="151" t="s">
        <v>7127</v>
      </c>
    </row>
    <row r="5153" spans="1:1">
      <c r="A5153" s="151" t="s">
        <v>7128</v>
      </c>
    </row>
    <row r="5154" spans="1:1">
      <c r="A5154" s="151" t="s">
        <v>7129</v>
      </c>
    </row>
    <row r="5155" spans="1:1">
      <c r="A5155" s="151" t="s">
        <v>7130</v>
      </c>
    </row>
    <row r="5156" spans="1:1">
      <c r="A5156" s="151" t="s">
        <v>7131</v>
      </c>
    </row>
    <row r="5157" spans="1:1">
      <c r="A5157" s="151" t="s">
        <v>7132</v>
      </c>
    </row>
    <row r="5158" spans="1:1">
      <c r="A5158" s="151" t="s">
        <v>7133</v>
      </c>
    </row>
    <row r="5159" spans="1:1">
      <c r="A5159" s="151" t="s">
        <v>7134</v>
      </c>
    </row>
    <row r="5160" spans="1:1">
      <c r="A5160" s="151" t="s">
        <v>7135</v>
      </c>
    </row>
    <row r="5161" spans="1:1">
      <c r="A5161" s="151" t="s">
        <v>7136</v>
      </c>
    </row>
    <row r="5162" spans="1:1">
      <c r="A5162" s="151" t="s">
        <v>7137</v>
      </c>
    </row>
    <row r="5163" spans="1:1">
      <c r="A5163" s="151" t="s">
        <v>7138</v>
      </c>
    </row>
    <row r="5164" spans="1:1">
      <c r="A5164" s="151" t="s">
        <v>7139</v>
      </c>
    </row>
    <row r="5165" spans="1:1">
      <c r="A5165" s="151" t="s">
        <v>7140</v>
      </c>
    </row>
    <row r="5166" spans="1:1">
      <c r="A5166" s="151" t="s">
        <v>7141</v>
      </c>
    </row>
    <row r="5167" spans="1:1">
      <c r="A5167" s="151" t="s">
        <v>7142</v>
      </c>
    </row>
    <row r="5168" spans="1:1">
      <c r="A5168" s="151" t="s">
        <v>7143</v>
      </c>
    </row>
    <row r="5169" spans="1:1">
      <c r="A5169" s="151" t="s">
        <v>7144</v>
      </c>
    </row>
    <row r="5170" spans="1:1">
      <c r="A5170" s="151" t="s">
        <v>7145</v>
      </c>
    </row>
    <row r="5171" spans="1:1">
      <c r="A5171" s="151" t="s">
        <v>7146</v>
      </c>
    </row>
    <row r="5172" spans="1:1">
      <c r="A5172" s="151" t="s">
        <v>7147</v>
      </c>
    </row>
    <row r="5173" spans="1:1">
      <c r="A5173" s="151" t="s">
        <v>7148</v>
      </c>
    </row>
    <row r="5174" spans="1:1">
      <c r="A5174" s="151" t="s">
        <v>7149</v>
      </c>
    </row>
    <row r="5175" spans="1:1">
      <c r="A5175" s="151" t="s">
        <v>7150</v>
      </c>
    </row>
    <row r="5176" spans="1:1">
      <c r="A5176" s="151" t="s">
        <v>7151</v>
      </c>
    </row>
    <row r="5177" spans="1:1">
      <c r="A5177" s="151" t="s">
        <v>7152</v>
      </c>
    </row>
    <row r="5178" spans="1:1">
      <c r="A5178" s="151" t="s">
        <v>7153</v>
      </c>
    </row>
    <row r="5179" spans="1:1">
      <c r="A5179" s="151" t="s">
        <v>7154</v>
      </c>
    </row>
    <row r="5180" spans="1:1">
      <c r="A5180" s="151" t="s">
        <v>7155</v>
      </c>
    </row>
    <row r="5181" spans="1:1">
      <c r="A5181" s="151" t="s">
        <v>7156</v>
      </c>
    </row>
    <row r="5182" spans="1:1">
      <c r="A5182" s="151" t="s">
        <v>7157</v>
      </c>
    </row>
    <row r="5183" spans="1:1">
      <c r="A5183" s="151" t="s">
        <v>7158</v>
      </c>
    </row>
    <row r="5184" spans="1:1">
      <c r="A5184" s="151" t="s">
        <v>7159</v>
      </c>
    </row>
    <row r="5185" spans="1:1">
      <c r="A5185" s="151" t="s">
        <v>7160</v>
      </c>
    </row>
    <row r="5186" spans="1:1">
      <c r="A5186" s="151" t="s">
        <v>7161</v>
      </c>
    </row>
    <row r="5187" spans="1:1">
      <c r="A5187" s="151" t="s">
        <v>7162</v>
      </c>
    </row>
    <row r="5188" spans="1:1">
      <c r="A5188" s="151" t="s">
        <v>7163</v>
      </c>
    </row>
    <row r="5189" spans="1:1">
      <c r="A5189" s="151" t="s">
        <v>7164</v>
      </c>
    </row>
    <row r="5190" spans="1:1">
      <c r="A5190" s="151" t="s">
        <v>7165</v>
      </c>
    </row>
    <row r="5191" spans="1:1">
      <c r="A5191" s="151" t="s">
        <v>7166</v>
      </c>
    </row>
    <row r="5192" spans="1:1">
      <c r="A5192" s="151" t="s">
        <v>7167</v>
      </c>
    </row>
    <row r="5193" spans="1:1">
      <c r="A5193" s="151" t="s">
        <v>7168</v>
      </c>
    </row>
    <row r="5194" spans="1:1">
      <c r="A5194" s="151" t="s">
        <v>7169</v>
      </c>
    </row>
    <row r="5195" spans="1:1">
      <c r="A5195" s="151" t="s">
        <v>7170</v>
      </c>
    </row>
    <row r="5196" spans="1:1">
      <c r="A5196" s="151" t="s">
        <v>7171</v>
      </c>
    </row>
    <row r="5197" spans="1:1">
      <c r="A5197" s="151" t="s">
        <v>7172</v>
      </c>
    </row>
    <row r="5198" spans="1:1">
      <c r="A5198" s="151" t="s">
        <v>7173</v>
      </c>
    </row>
    <row r="5199" spans="1:1">
      <c r="A5199" s="151" t="s">
        <v>7174</v>
      </c>
    </row>
    <row r="5200" spans="1:1">
      <c r="A5200" s="151" t="s">
        <v>7175</v>
      </c>
    </row>
    <row r="5201" spans="1:1">
      <c r="A5201" s="151" t="s">
        <v>7176</v>
      </c>
    </row>
    <row r="5202" spans="1:1">
      <c r="A5202" s="151" t="s">
        <v>7177</v>
      </c>
    </row>
    <row r="5203" spans="1:1">
      <c r="A5203" s="151" t="s">
        <v>7178</v>
      </c>
    </row>
    <row r="5204" spans="1:1">
      <c r="A5204" s="151" t="s">
        <v>7179</v>
      </c>
    </row>
    <row r="5205" spans="1:1">
      <c r="A5205" s="151" t="s">
        <v>7180</v>
      </c>
    </row>
    <row r="5206" spans="1:1">
      <c r="A5206" s="151" t="s">
        <v>7181</v>
      </c>
    </row>
    <row r="5207" spans="1:1">
      <c r="A5207" s="151" t="s">
        <v>7182</v>
      </c>
    </row>
    <row r="5208" spans="1:1">
      <c r="A5208" s="151" t="s">
        <v>7183</v>
      </c>
    </row>
    <row r="5209" spans="1:1">
      <c r="A5209" s="151" t="s">
        <v>7184</v>
      </c>
    </row>
    <row r="5210" spans="1:1">
      <c r="A5210" s="151" t="s">
        <v>7185</v>
      </c>
    </row>
    <row r="5211" spans="1:1">
      <c r="A5211" s="151" t="s">
        <v>7186</v>
      </c>
    </row>
    <row r="5212" spans="1:1">
      <c r="A5212" s="151" t="s">
        <v>7187</v>
      </c>
    </row>
    <row r="5213" spans="1:1">
      <c r="A5213" s="151" t="s">
        <v>7188</v>
      </c>
    </row>
    <row r="5214" spans="1:1">
      <c r="A5214" s="151" t="s">
        <v>7189</v>
      </c>
    </row>
    <row r="5215" spans="1:1">
      <c r="A5215" s="151" t="s">
        <v>7190</v>
      </c>
    </row>
    <row r="5216" spans="1:1">
      <c r="A5216" s="151" t="s">
        <v>7191</v>
      </c>
    </row>
    <row r="5217" spans="1:1">
      <c r="A5217" s="151" t="s">
        <v>7192</v>
      </c>
    </row>
    <row r="5218" spans="1:1">
      <c r="A5218" s="151" t="s">
        <v>7193</v>
      </c>
    </row>
    <row r="5219" spans="1:1">
      <c r="A5219" s="151" t="s">
        <v>7194</v>
      </c>
    </row>
    <row r="5220" spans="1:1">
      <c r="A5220" s="151" t="s">
        <v>7195</v>
      </c>
    </row>
    <row r="5221" spans="1:1">
      <c r="A5221" s="151" t="s">
        <v>7196</v>
      </c>
    </row>
    <row r="5222" spans="1:1">
      <c r="A5222" s="151" t="s">
        <v>7197</v>
      </c>
    </row>
    <row r="5223" spans="1:1">
      <c r="A5223" s="151" t="s">
        <v>7198</v>
      </c>
    </row>
    <row r="5224" spans="1:1">
      <c r="A5224" s="151" t="s">
        <v>7199</v>
      </c>
    </row>
    <row r="5225" spans="1:1">
      <c r="A5225" s="151" t="s">
        <v>7200</v>
      </c>
    </row>
    <row r="5226" spans="1:1">
      <c r="A5226" s="151" t="s">
        <v>7201</v>
      </c>
    </row>
    <row r="5227" spans="1:1">
      <c r="A5227" s="151" t="s">
        <v>7202</v>
      </c>
    </row>
    <row r="5228" spans="1:1">
      <c r="A5228" s="151" t="s">
        <v>7203</v>
      </c>
    </row>
    <row r="5229" spans="1:1">
      <c r="A5229" s="151" t="s">
        <v>7204</v>
      </c>
    </row>
    <row r="5230" spans="1:1">
      <c r="A5230" s="151" t="s">
        <v>7205</v>
      </c>
    </row>
    <row r="5231" spans="1:1">
      <c r="A5231" s="151" t="s">
        <v>7206</v>
      </c>
    </row>
    <row r="5232" spans="1:1">
      <c r="A5232" s="151" t="s">
        <v>7207</v>
      </c>
    </row>
    <row r="5233" spans="1:1">
      <c r="A5233" s="151" t="s">
        <v>7208</v>
      </c>
    </row>
    <row r="5234" spans="1:1">
      <c r="A5234" s="151" t="s">
        <v>7209</v>
      </c>
    </row>
    <row r="5235" spans="1:1">
      <c r="A5235" s="151" t="s">
        <v>7210</v>
      </c>
    </row>
    <row r="5236" spans="1:1">
      <c r="A5236" s="151" t="s">
        <v>7211</v>
      </c>
    </row>
    <row r="5237" spans="1:1">
      <c r="A5237" s="151" t="s">
        <v>7212</v>
      </c>
    </row>
    <row r="5238" spans="1:1">
      <c r="A5238" s="151" t="s">
        <v>7213</v>
      </c>
    </row>
    <row r="5239" spans="1:1">
      <c r="A5239" s="151" t="s">
        <v>7214</v>
      </c>
    </row>
    <row r="5240" spans="1:1">
      <c r="A5240" s="151" t="s">
        <v>7215</v>
      </c>
    </row>
    <row r="5241" spans="1:1">
      <c r="A5241" s="151" t="s">
        <v>7216</v>
      </c>
    </row>
    <row r="5242" spans="1:1">
      <c r="A5242" s="151" t="s">
        <v>7217</v>
      </c>
    </row>
    <row r="5243" spans="1:1">
      <c r="A5243" s="151" t="s">
        <v>7218</v>
      </c>
    </row>
    <row r="5244" spans="1:1">
      <c r="A5244" s="151" t="s">
        <v>7219</v>
      </c>
    </row>
    <row r="5245" spans="1:1">
      <c r="A5245" s="151" t="s">
        <v>7220</v>
      </c>
    </row>
    <row r="5246" spans="1:1">
      <c r="A5246" s="151" t="s">
        <v>7221</v>
      </c>
    </row>
    <row r="5247" spans="1:1">
      <c r="A5247" s="151" t="s">
        <v>7222</v>
      </c>
    </row>
    <row r="5248" spans="1:1">
      <c r="A5248" s="151" t="s">
        <v>7223</v>
      </c>
    </row>
    <row r="5249" spans="1:1">
      <c r="A5249" s="151" t="s">
        <v>7224</v>
      </c>
    </row>
    <row r="5250" spans="1:1">
      <c r="A5250" s="151" t="s">
        <v>7225</v>
      </c>
    </row>
    <row r="5251" spans="1:1">
      <c r="A5251" s="151" t="s">
        <v>7226</v>
      </c>
    </row>
    <row r="5252" spans="1:1">
      <c r="A5252" s="151" t="s">
        <v>7227</v>
      </c>
    </row>
    <row r="5253" spans="1:1">
      <c r="A5253" s="151" t="s">
        <v>7228</v>
      </c>
    </row>
    <row r="5254" spans="1:1">
      <c r="A5254" s="151" t="s">
        <v>7229</v>
      </c>
    </row>
    <row r="5255" spans="1:1">
      <c r="A5255" s="151" t="s">
        <v>7230</v>
      </c>
    </row>
    <row r="5256" spans="1:1">
      <c r="A5256" s="151" t="s">
        <v>7231</v>
      </c>
    </row>
    <row r="5257" spans="1:1">
      <c r="A5257" s="151" t="s">
        <v>7232</v>
      </c>
    </row>
    <row r="5258" spans="1:1">
      <c r="A5258" s="151" t="s">
        <v>7233</v>
      </c>
    </row>
    <row r="5259" spans="1:1">
      <c r="A5259" s="151" t="s">
        <v>7234</v>
      </c>
    </row>
    <row r="5260" spans="1:1">
      <c r="A5260" s="151" t="s">
        <v>7235</v>
      </c>
    </row>
    <row r="5261" spans="1:1">
      <c r="A5261" s="151" t="s">
        <v>7236</v>
      </c>
    </row>
    <row r="5262" spans="1:1">
      <c r="A5262" s="151" t="s">
        <v>7237</v>
      </c>
    </row>
    <row r="5263" spans="1:1">
      <c r="A5263" s="151" t="s">
        <v>7238</v>
      </c>
    </row>
    <row r="5264" spans="1:1">
      <c r="A5264" s="151" t="s">
        <v>7239</v>
      </c>
    </row>
    <row r="5265" spans="1:1">
      <c r="A5265" s="151" t="s">
        <v>7240</v>
      </c>
    </row>
    <row r="5266" spans="1:1">
      <c r="A5266" s="151" t="s">
        <v>7241</v>
      </c>
    </row>
    <row r="5267" spans="1:1">
      <c r="A5267" s="151" t="s">
        <v>7242</v>
      </c>
    </row>
    <row r="5268" spans="1:1">
      <c r="A5268" s="151" t="s">
        <v>7243</v>
      </c>
    </row>
    <row r="5269" spans="1:1">
      <c r="A5269" s="151" t="s">
        <v>7244</v>
      </c>
    </row>
    <row r="5270" spans="1:1">
      <c r="A5270" s="151" t="s">
        <v>7245</v>
      </c>
    </row>
    <row r="5271" spans="1:1">
      <c r="A5271" s="151" t="s">
        <v>7246</v>
      </c>
    </row>
    <row r="5272" spans="1:1">
      <c r="A5272" s="151" t="s">
        <v>7247</v>
      </c>
    </row>
    <row r="5273" spans="1:1">
      <c r="A5273" s="151" t="s">
        <v>7248</v>
      </c>
    </row>
    <row r="5274" spans="1:1">
      <c r="A5274" s="151" t="s">
        <v>7249</v>
      </c>
    </row>
    <row r="5275" spans="1:1">
      <c r="A5275" s="151" t="s">
        <v>7250</v>
      </c>
    </row>
    <row r="5276" spans="1:1">
      <c r="A5276" s="151" t="s">
        <v>7251</v>
      </c>
    </row>
    <row r="5277" spans="1:1">
      <c r="A5277" s="151" t="s">
        <v>7252</v>
      </c>
    </row>
    <row r="5278" spans="1:1">
      <c r="A5278" s="151" t="s">
        <v>7253</v>
      </c>
    </row>
    <row r="5279" spans="1:1">
      <c r="A5279" s="151" t="s">
        <v>7254</v>
      </c>
    </row>
    <row r="5280" spans="1:1">
      <c r="A5280" s="151" t="s">
        <v>7255</v>
      </c>
    </row>
    <row r="5281" spans="1:1">
      <c r="A5281" s="151" t="s">
        <v>7256</v>
      </c>
    </row>
    <row r="5282" spans="1:1">
      <c r="A5282" s="151" t="s">
        <v>7257</v>
      </c>
    </row>
    <row r="5283" spans="1:1">
      <c r="A5283" s="151" t="s">
        <v>7258</v>
      </c>
    </row>
    <row r="5284" spans="1:1">
      <c r="A5284" s="151" t="s">
        <v>7259</v>
      </c>
    </row>
    <row r="5285" spans="1:1">
      <c r="A5285" s="151" t="s">
        <v>7260</v>
      </c>
    </row>
    <row r="5286" spans="1:1">
      <c r="A5286" s="151" t="s">
        <v>7261</v>
      </c>
    </row>
    <row r="5287" spans="1:1">
      <c r="A5287" s="151" t="s">
        <v>7262</v>
      </c>
    </row>
    <row r="5288" spans="1:1">
      <c r="A5288" s="151" t="s">
        <v>7263</v>
      </c>
    </row>
    <row r="5289" spans="1:1">
      <c r="A5289" s="151" t="s">
        <v>7264</v>
      </c>
    </row>
    <row r="5290" spans="1:1">
      <c r="A5290" s="151" t="s">
        <v>7265</v>
      </c>
    </row>
    <row r="5291" spans="1:1">
      <c r="A5291" s="151" t="s">
        <v>7266</v>
      </c>
    </row>
    <row r="5292" spans="1:1">
      <c r="A5292" s="151" t="s">
        <v>7267</v>
      </c>
    </row>
    <row r="5293" spans="1:1">
      <c r="A5293" s="151" t="s">
        <v>7268</v>
      </c>
    </row>
    <row r="5294" spans="1:1">
      <c r="A5294" s="151" t="s">
        <v>7269</v>
      </c>
    </row>
    <row r="5295" spans="1:1">
      <c r="A5295" s="151" t="s">
        <v>7270</v>
      </c>
    </row>
    <row r="5296" spans="1:1">
      <c r="A5296" s="151" t="s">
        <v>7271</v>
      </c>
    </row>
    <row r="5297" spans="1:1">
      <c r="A5297" s="151" t="s">
        <v>7272</v>
      </c>
    </row>
    <row r="5298" spans="1:1">
      <c r="A5298" s="151" t="s">
        <v>7273</v>
      </c>
    </row>
    <row r="5299" spans="1:1">
      <c r="A5299" s="151" t="s">
        <v>7274</v>
      </c>
    </row>
    <row r="5300" spans="1:1">
      <c r="A5300" s="151" t="s">
        <v>7275</v>
      </c>
    </row>
    <row r="5301" spans="1:1">
      <c r="A5301" s="151" t="s">
        <v>7276</v>
      </c>
    </row>
    <row r="5302" spans="1:1">
      <c r="A5302" s="151" t="s">
        <v>7277</v>
      </c>
    </row>
    <row r="5303" spans="1:1">
      <c r="A5303" s="151" t="s">
        <v>7278</v>
      </c>
    </row>
    <row r="5304" spans="1:1">
      <c r="A5304" s="151" t="s">
        <v>7279</v>
      </c>
    </row>
    <row r="5305" spans="1:1">
      <c r="A5305" s="151" t="s">
        <v>7280</v>
      </c>
    </row>
    <row r="5306" spans="1:1">
      <c r="A5306" s="151" t="s">
        <v>7281</v>
      </c>
    </row>
    <row r="5307" spans="1:1">
      <c r="A5307" s="151" t="s">
        <v>7282</v>
      </c>
    </row>
    <row r="5308" spans="1:1">
      <c r="A5308" s="151" t="s">
        <v>7283</v>
      </c>
    </row>
    <row r="5309" spans="1:1">
      <c r="A5309" s="151" t="s">
        <v>7284</v>
      </c>
    </row>
    <row r="5310" spans="1:1">
      <c r="A5310" s="151" t="s">
        <v>7285</v>
      </c>
    </row>
    <row r="5311" spans="1:1">
      <c r="A5311" s="151" t="s">
        <v>7286</v>
      </c>
    </row>
    <row r="5312" spans="1:1">
      <c r="A5312" s="151" t="s">
        <v>7287</v>
      </c>
    </row>
    <row r="5313" spans="1:1">
      <c r="A5313" s="151" t="s">
        <v>7288</v>
      </c>
    </row>
    <row r="5314" spans="1:1">
      <c r="A5314" s="151" t="s">
        <v>7289</v>
      </c>
    </row>
    <row r="5315" spans="1:1">
      <c r="A5315" s="151" t="s">
        <v>7290</v>
      </c>
    </row>
    <row r="5316" spans="1:1">
      <c r="A5316" s="151" t="s">
        <v>7291</v>
      </c>
    </row>
    <row r="5317" spans="1:1">
      <c r="A5317" s="151" t="s">
        <v>7292</v>
      </c>
    </row>
    <row r="5318" spans="1:1">
      <c r="A5318" s="151" t="s">
        <v>7293</v>
      </c>
    </row>
    <row r="5319" spans="1:1">
      <c r="A5319" s="151" t="s">
        <v>7294</v>
      </c>
    </row>
    <row r="5320" spans="1:1">
      <c r="A5320" s="151" t="s">
        <v>7295</v>
      </c>
    </row>
    <row r="5321" spans="1:1">
      <c r="A5321" s="151" t="s">
        <v>7296</v>
      </c>
    </row>
    <row r="5322" spans="1:1">
      <c r="A5322" s="151" t="s">
        <v>7297</v>
      </c>
    </row>
    <row r="5323" spans="1:1">
      <c r="A5323" s="151" t="s">
        <v>7298</v>
      </c>
    </row>
    <row r="5324" spans="1:1">
      <c r="A5324" s="151" t="s">
        <v>7299</v>
      </c>
    </row>
    <row r="5325" spans="1:1">
      <c r="A5325" s="151" t="s">
        <v>7300</v>
      </c>
    </row>
    <row r="5326" spans="1:1">
      <c r="A5326" s="151" t="s">
        <v>7301</v>
      </c>
    </row>
    <row r="5327" spans="1:1">
      <c r="A5327" s="151" t="s">
        <v>7302</v>
      </c>
    </row>
    <row r="5328" spans="1:1">
      <c r="A5328" s="151" t="s">
        <v>7303</v>
      </c>
    </row>
    <row r="5329" spans="1:1">
      <c r="A5329" s="151" t="s">
        <v>7304</v>
      </c>
    </row>
    <row r="5330" spans="1:1">
      <c r="A5330" s="151" t="s">
        <v>7305</v>
      </c>
    </row>
    <row r="5331" spans="1:1">
      <c r="A5331" s="151" t="s">
        <v>7306</v>
      </c>
    </row>
    <row r="5332" spans="1:1">
      <c r="A5332" s="151" t="s">
        <v>7307</v>
      </c>
    </row>
    <row r="5333" spans="1:1">
      <c r="A5333" s="151" t="s">
        <v>7308</v>
      </c>
    </row>
    <row r="5334" spans="1:1">
      <c r="A5334" s="151" t="s">
        <v>7309</v>
      </c>
    </row>
    <row r="5335" spans="1:1">
      <c r="A5335" s="151" t="s">
        <v>7310</v>
      </c>
    </row>
    <row r="5336" spans="1:1">
      <c r="A5336" s="151" t="s">
        <v>7311</v>
      </c>
    </row>
    <row r="5337" spans="1:1">
      <c r="A5337" s="151" t="s">
        <v>7312</v>
      </c>
    </row>
    <row r="5338" spans="1:1">
      <c r="A5338" s="151" t="s">
        <v>7313</v>
      </c>
    </row>
    <row r="5339" spans="1:1">
      <c r="A5339" s="151" t="s">
        <v>7314</v>
      </c>
    </row>
    <row r="5340" spans="1:1">
      <c r="A5340" s="151" t="s">
        <v>7315</v>
      </c>
    </row>
    <row r="5341" spans="1:1">
      <c r="A5341" s="151" t="s">
        <v>7316</v>
      </c>
    </row>
    <row r="5342" spans="1:1">
      <c r="A5342" s="151" t="s">
        <v>7317</v>
      </c>
    </row>
    <row r="5343" spans="1:1">
      <c r="A5343" s="151" t="s">
        <v>7318</v>
      </c>
    </row>
    <row r="5344" spans="1:1">
      <c r="A5344" s="151" t="s">
        <v>7319</v>
      </c>
    </row>
    <row r="5345" spans="1:1">
      <c r="A5345" s="151" t="s">
        <v>7320</v>
      </c>
    </row>
    <row r="5346" spans="1:1">
      <c r="A5346" s="151" t="s">
        <v>7321</v>
      </c>
    </row>
    <row r="5347" spans="1:1">
      <c r="A5347" s="151" t="s">
        <v>7322</v>
      </c>
    </row>
    <row r="5348" spans="1:1">
      <c r="A5348" s="151" t="s">
        <v>7323</v>
      </c>
    </row>
    <row r="5349" spans="1:1">
      <c r="A5349" s="151" t="s">
        <v>7324</v>
      </c>
    </row>
    <row r="5350" spans="1:1">
      <c r="A5350" s="151" t="s">
        <v>7325</v>
      </c>
    </row>
    <row r="5351" spans="1:1">
      <c r="A5351" s="151" t="s">
        <v>7326</v>
      </c>
    </row>
    <row r="5352" spans="1:1">
      <c r="A5352" s="151" t="s">
        <v>7327</v>
      </c>
    </row>
    <row r="5353" spans="1:1">
      <c r="A5353" s="151" t="s">
        <v>7328</v>
      </c>
    </row>
    <row r="5354" spans="1:1">
      <c r="A5354" s="151" t="s">
        <v>7329</v>
      </c>
    </row>
    <row r="5355" spans="1:1">
      <c r="A5355" s="151" t="s">
        <v>7330</v>
      </c>
    </row>
    <row r="5356" spans="1:1">
      <c r="A5356" s="151" t="s">
        <v>7331</v>
      </c>
    </row>
    <row r="5357" spans="1:1">
      <c r="A5357" s="151" t="s">
        <v>7332</v>
      </c>
    </row>
    <row r="5358" spans="1:1">
      <c r="A5358" s="151" t="s">
        <v>7333</v>
      </c>
    </row>
    <row r="5359" spans="1:1">
      <c r="A5359" s="151" t="s">
        <v>7334</v>
      </c>
    </row>
    <row r="5360" spans="1:1">
      <c r="A5360" s="151" t="s">
        <v>7335</v>
      </c>
    </row>
    <row r="5361" spans="1:1">
      <c r="A5361" s="151" t="s">
        <v>7336</v>
      </c>
    </row>
    <row r="5362" spans="1:1">
      <c r="A5362" s="151" t="s">
        <v>7337</v>
      </c>
    </row>
    <row r="5363" spans="1:1">
      <c r="A5363" s="151" t="s">
        <v>7338</v>
      </c>
    </row>
    <row r="5364" spans="1:1">
      <c r="A5364" s="151" t="s">
        <v>7339</v>
      </c>
    </row>
    <row r="5365" spans="1:1">
      <c r="A5365" s="151" t="s">
        <v>7340</v>
      </c>
    </row>
    <row r="5366" spans="1:1">
      <c r="A5366" s="151" t="s">
        <v>7341</v>
      </c>
    </row>
    <row r="5367" spans="1:1">
      <c r="A5367" s="151" t="s">
        <v>7342</v>
      </c>
    </row>
    <row r="5368" spans="1:1">
      <c r="A5368" s="151" t="s">
        <v>7343</v>
      </c>
    </row>
    <row r="5369" spans="1:1">
      <c r="A5369" s="151" t="s">
        <v>7344</v>
      </c>
    </row>
    <row r="5370" spans="1:1">
      <c r="A5370" s="151" t="s">
        <v>7345</v>
      </c>
    </row>
    <row r="5371" spans="1:1">
      <c r="A5371" s="151" t="s">
        <v>7346</v>
      </c>
    </row>
    <row r="5372" spans="1:1">
      <c r="A5372" s="151" t="s">
        <v>7347</v>
      </c>
    </row>
    <row r="5373" spans="1:1">
      <c r="A5373" s="151" t="s">
        <v>7348</v>
      </c>
    </row>
    <row r="5374" spans="1:1">
      <c r="A5374" s="151" t="s">
        <v>7349</v>
      </c>
    </row>
    <row r="5375" spans="1:1">
      <c r="A5375" s="151" t="s">
        <v>7350</v>
      </c>
    </row>
    <row r="5376" spans="1:1">
      <c r="A5376" s="151" t="s">
        <v>7351</v>
      </c>
    </row>
    <row r="5377" spans="1:1">
      <c r="A5377" s="151" t="s">
        <v>7352</v>
      </c>
    </row>
    <row r="5378" spans="1:1">
      <c r="A5378" s="151" t="s">
        <v>7353</v>
      </c>
    </row>
    <row r="5379" spans="1:1">
      <c r="A5379" s="151" t="s">
        <v>7354</v>
      </c>
    </row>
    <row r="5380" spans="1:1">
      <c r="A5380" s="151" t="s">
        <v>7355</v>
      </c>
    </row>
    <row r="5381" spans="1:1">
      <c r="A5381" s="151" t="s">
        <v>7356</v>
      </c>
    </row>
    <row r="5382" spans="1:1">
      <c r="A5382" s="151" t="s">
        <v>7357</v>
      </c>
    </row>
    <row r="5383" spans="1:1">
      <c r="A5383" s="151" t="s">
        <v>7358</v>
      </c>
    </row>
    <row r="5384" spans="1:1">
      <c r="A5384" s="151" t="s">
        <v>7359</v>
      </c>
    </row>
    <row r="5385" spans="1:1">
      <c r="A5385" s="151" t="s">
        <v>7360</v>
      </c>
    </row>
    <row r="5386" spans="1:1">
      <c r="A5386" s="151" t="s">
        <v>7361</v>
      </c>
    </row>
    <row r="5387" spans="1:1">
      <c r="A5387" s="151" t="s">
        <v>7362</v>
      </c>
    </row>
    <row r="5388" spans="1:1">
      <c r="A5388" s="151" t="s">
        <v>7363</v>
      </c>
    </row>
    <row r="5389" spans="1:1">
      <c r="A5389" s="151" t="s">
        <v>7364</v>
      </c>
    </row>
    <row r="5390" spans="1:1">
      <c r="A5390" s="151" t="s">
        <v>7365</v>
      </c>
    </row>
    <row r="5391" spans="1:1">
      <c r="A5391" s="151" t="s">
        <v>7366</v>
      </c>
    </row>
    <row r="5392" spans="1:1">
      <c r="A5392" s="151" t="s">
        <v>7367</v>
      </c>
    </row>
    <row r="5393" spans="1:1">
      <c r="A5393" s="151" t="s">
        <v>7368</v>
      </c>
    </row>
    <row r="5394" spans="1:1">
      <c r="A5394" s="151" t="s">
        <v>7369</v>
      </c>
    </row>
    <row r="5395" spans="1:1">
      <c r="A5395" s="151" t="s">
        <v>7370</v>
      </c>
    </row>
    <row r="5396" spans="1:1">
      <c r="A5396" s="151" t="s">
        <v>7371</v>
      </c>
    </row>
    <row r="5397" spans="1:1">
      <c r="A5397" s="151" t="s">
        <v>7372</v>
      </c>
    </row>
    <row r="5398" spans="1:1">
      <c r="A5398" s="151" t="s">
        <v>7373</v>
      </c>
    </row>
    <row r="5399" spans="1:1">
      <c r="A5399" s="151" t="s">
        <v>7374</v>
      </c>
    </row>
    <row r="5400" spans="1:1">
      <c r="A5400" s="151" t="s">
        <v>7375</v>
      </c>
    </row>
    <row r="5401" spans="1:1">
      <c r="A5401" s="151" t="s">
        <v>7376</v>
      </c>
    </row>
    <row r="5402" spans="1:1">
      <c r="A5402" s="151" t="s">
        <v>7377</v>
      </c>
    </row>
    <row r="5403" spans="1:1">
      <c r="A5403" s="151" t="s">
        <v>7378</v>
      </c>
    </row>
    <row r="5404" spans="1:1">
      <c r="A5404" s="151" t="s">
        <v>7379</v>
      </c>
    </row>
    <row r="5405" spans="1:1">
      <c r="A5405" s="151" t="s">
        <v>7380</v>
      </c>
    </row>
    <row r="5406" spans="1:1">
      <c r="A5406" s="151" t="s">
        <v>7381</v>
      </c>
    </row>
    <row r="5407" spans="1:1">
      <c r="A5407" s="151" t="s">
        <v>7382</v>
      </c>
    </row>
    <row r="5408" spans="1:1">
      <c r="A5408" s="151" t="s">
        <v>7383</v>
      </c>
    </row>
    <row r="5409" spans="1:1">
      <c r="A5409" s="151" t="s">
        <v>7384</v>
      </c>
    </row>
    <row r="5410" spans="1:1">
      <c r="A5410" s="151" t="s">
        <v>7385</v>
      </c>
    </row>
    <row r="5411" spans="1:1">
      <c r="A5411" s="151" t="s">
        <v>7386</v>
      </c>
    </row>
    <row r="5412" spans="1:1">
      <c r="A5412" s="151" t="s">
        <v>7387</v>
      </c>
    </row>
    <row r="5413" spans="1:1">
      <c r="A5413" s="151" t="s">
        <v>7388</v>
      </c>
    </row>
    <row r="5414" spans="1:1">
      <c r="A5414" s="151" t="s">
        <v>7389</v>
      </c>
    </row>
    <row r="5415" spans="1:1">
      <c r="A5415" s="151" t="s">
        <v>7390</v>
      </c>
    </row>
    <row r="5416" spans="1:1">
      <c r="A5416" s="151" t="s">
        <v>7391</v>
      </c>
    </row>
    <row r="5417" spans="1:1">
      <c r="A5417" s="151" t="s">
        <v>7392</v>
      </c>
    </row>
    <row r="5418" spans="1:1">
      <c r="A5418" s="151" t="s">
        <v>7393</v>
      </c>
    </row>
    <row r="5419" spans="1:1">
      <c r="A5419" s="151" t="s">
        <v>7394</v>
      </c>
    </row>
    <row r="5420" spans="1:1">
      <c r="A5420" s="151" t="s">
        <v>7395</v>
      </c>
    </row>
    <row r="5421" spans="1:1">
      <c r="A5421" s="151" t="s">
        <v>7396</v>
      </c>
    </row>
    <row r="5422" spans="1:1">
      <c r="A5422" s="151" t="s">
        <v>7397</v>
      </c>
    </row>
    <row r="5423" spans="1:1">
      <c r="A5423" s="151" t="s">
        <v>7398</v>
      </c>
    </row>
    <row r="5424" spans="1:1">
      <c r="A5424" s="151" t="s">
        <v>7399</v>
      </c>
    </row>
    <row r="5425" spans="1:1">
      <c r="A5425" s="151" t="s">
        <v>7400</v>
      </c>
    </row>
    <row r="5426" spans="1:1">
      <c r="A5426" s="151" t="s">
        <v>7401</v>
      </c>
    </row>
    <row r="5427" spans="1:1">
      <c r="A5427" s="151" t="s">
        <v>7402</v>
      </c>
    </row>
    <row r="5428" spans="1:1">
      <c r="A5428" s="151" t="s">
        <v>7403</v>
      </c>
    </row>
    <row r="5429" spans="1:1">
      <c r="A5429" s="151" t="s">
        <v>7404</v>
      </c>
    </row>
    <row r="5430" spans="1:1">
      <c r="A5430" s="151" t="s">
        <v>7405</v>
      </c>
    </row>
    <row r="5431" spans="1:1">
      <c r="A5431" s="151" t="s">
        <v>7406</v>
      </c>
    </row>
    <row r="5432" spans="1:1">
      <c r="A5432" s="151" t="s">
        <v>7407</v>
      </c>
    </row>
    <row r="5433" spans="1:1">
      <c r="A5433" s="151" t="s">
        <v>7408</v>
      </c>
    </row>
    <row r="5434" spans="1:1">
      <c r="A5434" s="151" t="s">
        <v>7409</v>
      </c>
    </row>
    <row r="5435" spans="1:1">
      <c r="A5435" s="151" t="s">
        <v>7410</v>
      </c>
    </row>
    <row r="5436" spans="1:1">
      <c r="A5436" s="151" t="s">
        <v>7411</v>
      </c>
    </row>
    <row r="5437" spans="1:1">
      <c r="A5437" s="151" t="s">
        <v>7412</v>
      </c>
    </row>
    <row r="5438" spans="1:1">
      <c r="A5438" s="151" t="s">
        <v>7413</v>
      </c>
    </row>
    <row r="5439" spans="1:1">
      <c r="A5439" s="151" t="s">
        <v>7414</v>
      </c>
    </row>
    <row r="5440" spans="1:1">
      <c r="A5440" s="151" t="s">
        <v>7415</v>
      </c>
    </row>
    <row r="5441" spans="1:1">
      <c r="A5441" s="151" t="s">
        <v>7416</v>
      </c>
    </row>
    <row r="5442" spans="1:1">
      <c r="A5442" s="151" t="s">
        <v>7417</v>
      </c>
    </row>
    <row r="5443" spans="1:1">
      <c r="A5443" s="151" t="s">
        <v>7418</v>
      </c>
    </row>
    <row r="5444" spans="1:1">
      <c r="A5444" s="151" t="s">
        <v>7419</v>
      </c>
    </row>
    <row r="5445" spans="1:1">
      <c r="A5445" s="151" t="s">
        <v>7420</v>
      </c>
    </row>
    <row r="5446" spans="1:1">
      <c r="A5446" s="151" t="s">
        <v>7421</v>
      </c>
    </row>
    <row r="5447" spans="1:1">
      <c r="A5447" s="151" t="s">
        <v>7422</v>
      </c>
    </row>
    <row r="5448" spans="1:1">
      <c r="A5448" s="151" t="s">
        <v>7423</v>
      </c>
    </row>
    <row r="5449" spans="1:1">
      <c r="A5449" s="151" t="s">
        <v>7424</v>
      </c>
    </row>
    <row r="5450" spans="1:1">
      <c r="A5450" s="151" t="s">
        <v>7425</v>
      </c>
    </row>
    <row r="5451" spans="1:1">
      <c r="A5451" s="151" t="s">
        <v>7426</v>
      </c>
    </row>
    <row r="5452" spans="1:1">
      <c r="A5452" s="151" t="s">
        <v>7427</v>
      </c>
    </row>
    <row r="5453" spans="1:1">
      <c r="A5453" s="151" t="s">
        <v>7428</v>
      </c>
    </row>
    <row r="5454" spans="1:1">
      <c r="A5454" s="151" t="s">
        <v>7429</v>
      </c>
    </row>
    <row r="5455" spans="1:1">
      <c r="A5455" s="151" t="s">
        <v>7430</v>
      </c>
    </row>
    <row r="5456" spans="1:1">
      <c r="A5456" s="151" t="s">
        <v>7431</v>
      </c>
    </row>
    <row r="5457" spans="1:1">
      <c r="A5457" s="151" t="s">
        <v>7432</v>
      </c>
    </row>
    <row r="5458" spans="1:1">
      <c r="A5458" s="151" t="s">
        <v>7433</v>
      </c>
    </row>
    <row r="5459" spans="1:1">
      <c r="A5459" s="151" t="s">
        <v>7434</v>
      </c>
    </row>
    <row r="5460" spans="1:1">
      <c r="A5460" s="151" t="s">
        <v>7435</v>
      </c>
    </row>
    <row r="5461" spans="1:1">
      <c r="A5461" s="151" t="s">
        <v>7436</v>
      </c>
    </row>
    <row r="5462" spans="1:1">
      <c r="A5462" s="151" t="s">
        <v>7437</v>
      </c>
    </row>
    <row r="5463" spans="1:1">
      <c r="A5463" s="151" t="s">
        <v>7438</v>
      </c>
    </row>
    <row r="5464" spans="1:1">
      <c r="A5464" s="151" t="s">
        <v>7439</v>
      </c>
    </row>
    <row r="5465" spans="1:1">
      <c r="A5465" s="151" t="s">
        <v>7440</v>
      </c>
    </row>
    <row r="5466" spans="1:1">
      <c r="A5466" s="151" t="s">
        <v>7441</v>
      </c>
    </row>
    <row r="5467" spans="1:1">
      <c r="A5467" s="151" t="s">
        <v>7442</v>
      </c>
    </row>
    <row r="5468" spans="1:1">
      <c r="A5468" s="151" t="s">
        <v>7443</v>
      </c>
    </row>
    <row r="5469" spans="1:1">
      <c r="A5469" s="151" t="s">
        <v>7444</v>
      </c>
    </row>
    <row r="5470" spans="1:1">
      <c r="A5470" s="151" t="s">
        <v>7445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8"/>
  <sheetViews>
    <sheetView zoomScale="121" zoomScaleNormal="121" workbookViewId="0">
      <selection activeCell="I21" sqref="I21"/>
    </sheetView>
  </sheetViews>
  <sheetFormatPr baseColWidth="10" defaultRowHeight="12"/>
  <cols>
    <col min="1" max="1" width="17.85546875" style="192" bestFit="1" customWidth="1"/>
    <col min="2" max="2" width="15.85546875" style="192" bestFit="1" customWidth="1"/>
    <col min="3" max="13" width="11.42578125" style="192"/>
    <col min="14" max="16384" width="11.42578125" style="193"/>
  </cols>
  <sheetData>
    <row r="1" spans="1:13" ht="12.75">
      <c r="A1" s="191" t="s">
        <v>8095</v>
      </c>
      <c r="B1" s="191" t="s">
        <v>8096</v>
      </c>
    </row>
    <row r="2" spans="1:13" ht="12.75">
      <c r="A2" s="191" t="s">
        <v>8097</v>
      </c>
      <c r="B2" s="191" t="s">
        <v>8098</v>
      </c>
    </row>
    <row r="3" spans="1:13" ht="12.75">
      <c r="A3" s="191" t="s">
        <v>8099</v>
      </c>
      <c r="B3" s="191"/>
    </row>
    <row r="4" spans="1:13" ht="12.75">
      <c r="A4" s="191" t="s">
        <v>8100</v>
      </c>
      <c r="B4" s="194"/>
    </row>
    <row r="6" spans="1:13" ht="12.75">
      <c r="A6" s="323" t="s">
        <v>8101</v>
      </c>
      <c r="B6" s="195" t="s">
        <v>8102</v>
      </c>
      <c r="C6" s="322" t="s">
        <v>8103</v>
      </c>
      <c r="D6" s="322"/>
      <c r="E6" s="322"/>
      <c r="F6" s="322"/>
      <c r="G6" s="322"/>
      <c r="H6" s="196" t="s">
        <v>8104</v>
      </c>
    </row>
    <row r="7" spans="1:13" ht="12.75">
      <c r="A7" s="323"/>
      <c r="B7" s="195" t="s">
        <v>8105</v>
      </c>
      <c r="C7" s="322" t="s">
        <v>8106</v>
      </c>
      <c r="D7" s="322"/>
      <c r="E7" s="322"/>
      <c r="F7" s="322"/>
      <c r="G7" s="322"/>
      <c r="H7" s="196" t="s">
        <v>8104</v>
      </c>
    </row>
    <row r="8" spans="1:13" ht="12.75">
      <c r="A8" s="323"/>
      <c r="B8" s="195" t="s">
        <v>8107</v>
      </c>
      <c r="C8" s="322" t="s">
        <v>8108</v>
      </c>
      <c r="D8" s="322"/>
      <c r="E8" s="322"/>
      <c r="F8" s="322"/>
      <c r="G8" s="322"/>
      <c r="H8" s="196" t="s">
        <v>8104</v>
      </c>
    </row>
    <row r="9" spans="1:13" ht="12.75">
      <c r="A9" s="195" t="s">
        <v>8109</v>
      </c>
      <c r="B9" s="195" t="s">
        <v>8102</v>
      </c>
      <c r="C9" s="322" t="s">
        <v>8110</v>
      </c>
      <c r="D9" s="322"/>
      <c r="E9" s="322"/>
      <c r="F9" s="322"/>
      <c r="G9" s="322"/>
      <c r="H9" s="197" t="s">
        <v>247</v>
      </c>
    </row>
    <row r="10" spans="1:13" ht="12.75">
      <c r="A10" s="195" t="s">
        <v>8111</v>
      </c>
      <c r="B10" s="195" t="s">
        <v>8112</v>
      </c>
      <c r="C10" s="322" t="s">
        <v>8113</v>
      </c>
      <c r="D10" s="322"/>
      <c r="E10" s="322"/>
      <c r="F10" s="322"/>
      <c r="G10" s="322"/>
      <c r="H10" s="197" t="s">
        <v>8114</v>
      </c>
    </row>
    <row r="11" spans="1:13" ht="12.75">
      <c r="A11" s="195" t="s">
        <v>8115</v>
      </c>
      <c r="B11" s="195" t="s">
        <v>8116</v>
      </c>
      <c r="C11" s="322" t="s">
        <v>8117</v>
      </c>
      <c r="D11" s="322"/>
      <c r="E11" s="322"/>
      <c r="F11" s="322"/>
      <c r="G11" s="322"/>
      <c r="H11" s="197" t="s">
        <v>8118</v>
      </c>
    </row>
    <row r="12" spans="1:13" ht="12.75">
      <c r="A12" s="195" t="s">
        <v>8119</v>
      </c>
      <c r="B12" s="195" t="s">
        <v>8120</v>
      </c>
      <c r="C12" s="322" t="s">
        <v>8121</v>
      </c>
      <c r="D12" s="322"/>
      <c r="E12" s="322"/>
      <c r="F12" s="322"/>
      <c r="G12" s="322"/>
      <c r="H12" s="197" t="s">
        <v>8122</v>
      </c>
    </row>
    <row r="13" spans="1:13" ht="12.75">
      <c r="A13" s="195" t="s">
        <v>8123</v>
      </c>
      <c r="B13" s="195" t="s">
        <v>8124</v>
      </c>
      <c r="C13" s="322" t="s">
        <v>8125</v>
      </c>
      <c r="D13" s="322"/>
      <c r="E13" s="322"/>
      <c r="F13" s="322"/>
      <c r="G13" s="322"/>
      <c r="H13" s="197" t="s">
        <v>8122</v>
      </c>
    </row>
    <row r="14" spans="1:13" ht="12.75">
      <c r="A14" s="195" t="s">
        <v>8123</v>
      </c>
      <c r="B14" s="195" t="s">
        <v>7854</v>
      </c>
      <c r="C14" s="322" t="s">
        <v>8126</v>
      </c>
      <c r="D14" s="322"/>
      <c r="E14" s="322"/>
      <c r="F14" s="322"/>
      <c r="G14" s="322"/>
      <c r="H14" s="197" t="s">
        <v>8122</v>
      </c>
    </row>
    <row r="15" spans="1:13" ht="12.75">
      <c r="A15" s="195" t="s">
        <v>8127</v>
      </c>
      <c r="B15" s="195" t="s">
        <v>8128</v>
      </c>
      <c r="C15" s="322" t="s">
        <v>8129</v>
      </c>
      <c r="D15" s="322"/>
      <c r="E15" s="322"/>
      <c r="F15" s="322"/>
      <c r="G15" s="322"/>
      <c r="H15" s="197" t="s">
        <v>8122</v>
      </c>
    </row>
    <row r="16" spans="1:13" ht="12.75">
      <c r="A16" s="195" t="s">
        <v>8130</v>
      </c>
      <c r="B16" s="195" t="s">
        <v>8131</v>
      </c>
      <c r="C16" s="322" t="s">
        <v>8132</v>
      </c>
      <c r="D16" s="322"/>
      <c r="E16" s="322"/>
      <c r="F16" s="322"/>
      <c r="G16" s="322"/>
      <c r="H16" s="197" t="s">
        <v>8122</v>
      </c>
      <c r="I16" s="191"/>
      <c r="J16" s="191"/>
      <c r="K16" s="191"/>
      <c r="L16" s="191"/>
      <c r="M16" s="191"/>
    </row>
    <row r="17" spans="1:13" ht="12.75">
      <c r="A17" s="192" t="s">
        <v>8133</v>
      </c>
      <c r="B17" s="192" t="s">
        <v>8130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9" spans="1:13">
      <c r="B19" s="324" t="s">
        <v>8101</v>
      </c>
      <c r="C19" s="324"/>
      <c r="D19" s="324"/>
      <c r="E19" s="192" t="s">
        <v>8109</v>
      </c>
      <c r="F19" s="192" t="s">
        <v>8111</v>
      </c>
      <c r="G19" s="192" t="s">
        <v>8115</v>
      </c>
      <c r="H19" s="192" t="s">
        <v>8119</v>
      </c>
      <c r="I19" s="192" t="s">
        <v>8123</v>
      </c>
      <c r="J19" s="192" t="s">
        <v>8123</v>
      </c>
      <c r="K19" s="192" t="s">
        <v>8127</v>
      </c>
      <c r="L19" s="192" t="s">
        <v>8130</v>
      </c>
      <c r="M19" s="192" t="s">
        <v>8397</v>
      </c>
    </row>
    <row r="20" spans="1:13">
      <c r="A20" s="192" t="s">
        <v>213</v>
      </c>
      <c r="B20" s="192" t="s">
        <v>8102</v>
      </c>
      <c r="C20" s="192" t="s">
        <v>8105</v>
      </c>
      <c r="D20" s="192" t="s">
        <v>8107</v>
      </c>
      <c r="E20" s="192" t="s">
        <v>8102</v>
      </c>
      <c r="F20" s="192" t="s">
        <v>8112</v>
      </c>
      <c r="G20" s="192" t="s">
        <v>8116</v>
      </c>
      <c r="H20" s="192" t="s">
        <v>8120</v>
      </c>
      <c r="I20" s="192" t="s">
        <v>8124</v>
      </c>
      <c r="J20" s="192" t="s">
        <v>7854</v>
      </c>
      <c r="K20" s="192" t="s">
        <v>8128</v>
      </c>
      <c r="L20" s="192" t="s">
        <v>8131</v>
      </c>
      <c r="M20" s="192" t="s">
        <v>8130</v>
      </c>
    </row>
    <row r="21" spans="1:13">
      <c r="A21" s="198"/>
    </row>
    <row r="22" spans="1:13">
      <c r="A22" s="198"/>
    </row>
    <row r="23" spans="1:13">
      <c r="A23" s="198"/>
    </row>
    <row r="24" spans="1:13">
      <c r="A24" s="198"/>
    </row>
    <row r="25" spans="1:13">
      <c r="A25" s="198"/>
    </row>
    <row r="26" spans="1:13">
      <c r="A26" s="198"/>
    </row>
    <row r="27" spans="1:13">
      <c r="A27" s="198"/>
    </row>
    <row r="28" spans="1:13">
      <c r="A28" s="198"/>
    </row>
    <row r="29" spans="1:13">
      <c r="A29" s="198"/>
    </row>
    <row r="30" spans="1:13">
      <c r="A30" s="198"/>
      <c r="L30" s="199"/>
      <c r="M30" s="199"/>
    </row>
    <row r="31" spans="1:13">
      <c r="A31" s="198"/>
      <c r="L31" s="199"/>
      <c r="M31" s="199"/>
    </row>
    <row r="32" spans="1:13">
      <c r="A32" s="198"/>
    </row>
    <row r="33" spans="1:1">
      <c r="A33" s="198"/>
    </row>
    <row r="34" spans="1:1">
      <c r="A34" s="198"/>
    </row>
    <row r="35" spans="1:1">
      <c r="A35" s="198"/>
    </row>
    <row r="36" spans="1:1">
      <c r="A36" s="198"/>
    </row>
    <row r="37" spans="1:1">
      <c r="A37" s="198"/>
    </row>
    <row r="38" spans="1:1">
      <c r="A38" s="198"/>
    </row>
    <row r="39" spans="1:1">
      <c r="A39" s="198"/>
    </row>
    <row r="40" spans="1:1">
      <c r="A40" s="198"/>
    </row>
    <row r="41" spans="1:1">
      <c r="A41" s="198"/>
    </row>
    <row r="42" spans="1:1">
      <c r="A42" s="198"/>
    </row>
    <row r="43" spans="1:1">
      <c r="A43" s="198"/>
    </row>
    <row r="44" spans="1:1">
      <c r="A44" s="198"/>
    </row>
    <row r="45" spans="1:1">
      <c r="A45" s="198"/>
    </row>
    <row r="46" spans="1:1">
      <c r="A46" s="198"/>
    </row>
    <row r="47" spans="1:1">
      <c r="A47" s="198"/>
    </row>
    <row r="48" spans="1:1">
      <c r="A48" s="198"/>
    </row>
    <row r="49" spans="1:1">
      <c r="A49" s="198"/>
    </row>
    <row r="50" spans="1:1">
      <c r="A50" s="198"/>
    </row>
    <row r="51" spans="1:1">
      <c r="A51" s="198"/>
    </row>
    <row r="52" spans="1:1">
      <c r="A52" s="198"/>
    </row>
    <row r="53" spans="1:1">
      <c r="A53" s="198"/>
    </row>
    <row r="54" spans="1:1">
      <c r="A54" s="198"/>
    </row>
    <row r="55" spans="1:1">
      <c r="A55" s="198"/>
    </row>
    <row r="56" spans="1:1">
      <c r="A56" s="198"/>
    </row>
    <row r="57" spans="1:1">
      <c r="A57" s="198"/>
    </row>
    <row r="58" spans="1:1">
      <c r="A58" s="198"/>
    </row>
    <row r="59" spans="1:1">
      <c r="A59" s="198"/>
    </row>
    <row r="60" spans="1:1">
      <c r="A60" s="198"/>
    </row>
    <row r="61" spans="1:1">
      <c r="A61" s="198"/>
    </row>
    <row r="62" spans="1:1">
      <c r="A62" s="198"/>
    </row>
    <row r="63" spans="1:1">
      <c r="A63" s="198"/>
    </row>
    <row r="64" spans="1:1">
      <c r="A64" s="198"/>
    </row>
    <row r="65" spans="1:1">
      <c r="A65" s="198"/>
    </row>
    <row r="66" spans="1:1">
      <c r="A66" s="198"/>
    </row>
    <row r="67" spans="1:1">
      <c r="A67" s="198"/>
    </row>
    <row r="68" spans="1:1">
      <c r="A68" s="198"/>
    </row>
    <row r="69" spans="1:1">
      <c r="A69" s="198"/>
    </row>
    <row r="70" spans="1:1">
      <c r="A70" s="198"/>
    </row>
    <row r="71" spans="1:1">
      <c r="A71" s="198"/>
    </row>
    <row r="72" spans="1:1">
      <c r="A72" s="198"/>
    </row>
    <row r="73" spans="1:1">
      <c r="A73" s="198"/>
    </row>
    <row r="74" spans="1:1">
      <c r="A74" s="198"/>
    </row>
    <row r="75" spans="1:1">
      <c r="A75" s="198"/>
    </row>
    <row r="76" spans="1:1">
      <c r="A76" s="198"/>
    </row>
    <row r="77" spans="1:1">
      <c r="A77" s="198"/>
    </row>
    <row r="78" spans="1:1">
      <c r="A78" s="198"/>
    </row>
    <row r="79" spans="1:1">
      <c r="A79" s="198"/>
    </row>
    <row r="80" spans="1:1">
      <c r="A80" s="198"/>
    </row>
    <row r="81" spans="1:1">
      <c r="A81" s="198"/>
    </row>
    <row r="82" spans="1:1">
      <c r="A82" s="198"/>
    </row>
    <row r="83" spans="1:1">
      <c r="A83" s="198"/>
    </row>
    <row r="84" spans="1:1">
      <c r="A84" s="198"/>
    </row>
    <row r="85" spans="1:1">
      <c r="A85" s="198"/>
    </row>
    <row r="86" spans="1:1">
      <c r="A86" s="198"/>
    </row>
    <row r="87" spans="1:1">
      <c r="A87" s="198"/>
    </row>
    <row r="88" spans="1:1">
      <c r="A88" s="198"/>
    </row>
    <row r="89" spans="1:1">
      <c r="A89" s="198"/>
    </row>
    <row r="90" spans="1:1">
      <c r="A90" s="198"/>
    </row>
    <row r="91" spans="1:1">
      <c r="A91" s="198"/>
    </row>
    <row r="92" spans="1:1">
      <c r="A92" s="198"/>
    </row>
    <row r="93" spans="1:1">
      <c r="A93" s="198"/>
    </row>
    <row r="94" spans="1:1">
      <c r="A94" s="198"/>
    </row>
    <row r="95" spans="1:1">
      <c r="A95" s="198"/>
    </row>
    <row r="96" spans="1:1">
      <c r="A96" s="198"/>
    </row>
    <row r="97" spans="1:1">
      <c r="A97" s="198"/>
    </row>
    <row r="98" spans="1:1">
      <c r="A98" s="198"/>
    </row>
    <row r="99" spans="1:1">
      <c r="A99" s="198"/>
    </row>
    <row r="100" spans="1:1">
      <c r="A100" s="198"/>
    </row>
    <row r="101" spans="1:1">
      <c r="A101" s="198"/>
    </row>
    <row r="102" spans="1:1">
      <c r="A102" s="198"/>
    </row>
    <row r="103" spans="1:1">
      <c r="A103" s="198"/>
    </row>
    <row r="104" spans="1:1">
      <c r="A104" s="198"/>
    </row>
    <row r="105" spans="1:1">
      <c r="A105" s="198"/>
    </row>
    <row r="106" spans="1:1">
      <c r="A106" s="198"/>
    </row>
    <row r="107" spans="1:1">
      <c r="A107" s="198"/>
    </row>
    <row r="108" spans="1:1">
      <c r="A108" s="198"/>
    </row>
    <row r="109" spans="1:1">
      <c r="A109" s="198"/>
    </row>
    <row r="110" spans="1:1">
      <c r="A110" s="198"/>
    </row>
    <row r="111" spans="1:1">
      <c r="A111" s="198"/>
    </row>
    <row r="112" spans="1:1">
      <c r="A112" s="198"/>
    </row>
    <row r="113" spans="1:1">
      <c r="A113" s="198"/>
    </row>
    <row r="114" spans="1:1">
      <c r="A114" s="198"/>
    </row>
    <row r="115" spans="1:1">
      <c r="A115" s="198"/>
    </row>
    <row r="116" spans="1:1">
      <c r="A116" s="198"/>
    </row>
    <row r="117" spans="1:1">
      <c r="A117" s="198"/>
    </row>
    <row r="118" spans="1:1">
      <c r="A118" s="198"/>
    </row>
    <row r="119" spans="1:1">
      <c r="A119" s="198"/>
    </row>
    <row r="120" spans="1:1">
      <c r="A120" s="198"/>
    </row>
    <row r="121" spans="1:1">
      <c r="A121" s="198"/>
    </row>
    <row r="122" spans="1:1">
      <c r="A122" s="198"/>
    </row>
    <row r="123" spans="1:1">
      <c r="A123" s="198"/>
    </row>
    <row r="124" spans="1:1">
      <c r="A124" s="198"/>
    </row>
    <row r="125" spans="1:1">
      <c r="A125" s="198"/>
    </row>
    <row r="126" spans="1:1">
      <c r="A126" s="198"/>
    </row>
    <row r="127" spans="1:1">
      <c r="A127" s="198"/>
    </row>
    <row r="128" spans="1:1">
      <c r="A128" s="198"/>
    </row>
    <row r="129" spans="1:1">
      <c r="A129" s="198"/>
    </row>
    <row r="130" spans="1:1">
      <c r="A130" s="198"/>
    </row>
    <row r="131" spans="1:1">
      <c r="A131" s="198"/>
    </row>
    <row r="132" spans="1:1">
      <c r="A132" s="198"/>
    </row>
    <row r="133" spans="1:1">
      <c r="A133" s="198"/>
    </row>
    <row r="134" spans="1:1">
      <c r="A134" s="198"/>
    </row>
    <row r="135" spans="1:1">
      <c r="A135" s="198"/>
    </row>
    <row r="136" spans="1:1">
      <c r="A136" s="198"/>
    </row>
    <row r="137" spans="1:1">
      <c r="A137" s="198"/>
    </row>
    <row r="138" spans="1:1">
      <c r="A138" s="198"/>
    </row>
    <row r="139" spans="1:1">
      <c r="A139" s="198"/>
    </row>
    <row r="140" spans="1:1">
      <c r="A140" s="198"/>
    </row>
    <row r="141" spans="1:1">
      <c r="A141" s="198"/>
    </row>
    <row r="142" spans="1:1">
      <c r="A142" s="198"/>
    </row>
    <row r="143" spans="1:1">
      <c r="A143" s="198"/>
    </row>
    <row r="144" spans="1:1">
      <c r="A144" s="198"/>
    </row>
    <row r="145" spans="1:1">
      <c r="A145" s="198"/>
    </row>
    <row r="146" spans="1:1">
      <c r="A146" s="198"/>
    </row>
    <row r="147" spans="1:1">
      <c r="A147" s="198"/>
    </row>
    <row r="148" spans="1:1">
      <c r="A148" s="198"/>
    </row>
    <row r="149" spans="1:1">
      <c r="A149" s="198"/>
    </row>
    <row r="150" spans="1:1">
      <c r="A150" s="198"/>
    </row>
    <row r="151" spans="1:1">
      <c r="A151" s="198"/>
    </row>
    <row r="152" spans="1:1">
      <c r="A152" s="198"/>
    </row>
    <row r="153" spans="1:1">
      <c r="A153" s="198"/>
    </row>
    <row r="154" spans="1:1">
      <c r="A154" s="198"/>
    </row>
    <row r="155" spans="1:1">
      <c r="A155" s="198"/>
    </row>
    <row r="156" spans="1:1">
      <c r="A156" s="198"/>
    </row>
    <row r="157" spans="1:1">
      <c r="A157" s="198"/>
    </row>
    <row r="158" spans="1:1">
      <c r="A158" s="198"/>
    </row>
    <row r="159" spans="1:1">
      <c r="A159" s="198"/>
    </row>
    <row r="160" spans="1:1">
      <c r="A160" s="198"/>
    </row>
    <row r="161" spans="1:1">
      <c r="A161" s="198"/>
    </row>
    <row r="162" spans="1:1">
      <c r="A162" s="198"/>
    </row>
    <row r="163" spans="1:1">
      <c r="A163" s="198"/>
    </row>
    <row r="164" spans="1:1">
      <c r="A164" s="198"/>
    </row>
    <row r="165" spans="1:1">
      <c r="A165" s="198"/>
    </row>
    <row r="166" spans="1:1">
      <c r="A166" s="198"/>
    </row>
    <row r="167" spans="1:1">
      <c r="A167" s="198"/>
    </row>
    <row r="168" spans="1:1">
      <c r="A168" s="198"/>
    </row>
    <row r="169" spans="1:1">
      <c r="A169" s="198"/>
    </row>
    <row r="170" spans="1:1">
      <c r="A170" s="198"/>
    </row>
    <row r="171" spans="1:1">
      <c r="A171" s="198"/>
    </row>
    <row r="172" spans="1:1">
      <c r="A172" s="198"/>
    </row>
    <row r="173" spans="1:1">
      <c r="A173" s="198"/>
    </row>
    <row r="174" spans="1:1">
      <c r="A174" s="198"/>
    </row>
    <row r="175" spans="1:1">
      <c r="A175" s="198"/>
    </row>
    <row r="176" spans="1:1">
      <c r="A176" s="198"/>
    </row>
    <row r="177" spans="1:1">
      <c r="A177" s="198"/>
    </row>
    <row r="178" spans="1:1">
      <c r="A178" s="198"/>
    </row>
    <row r="179" spans="1:1">
      <c r="A179" s="198"/>
    </row>
    <row r="180" spans="1:1">
      <c r="A180" s="198"/>
    </row>
    <row r="181" spans="1:1">
      <c r="A181" s="198"/>
    </row>
    <row r="182" spans="1:1">
      <c r="A182" s="198"/>
    </row>
    <row r="183" spans="1:1">
      <c r="A183" s="198"/>
    </row>
    <row r="184" spans="1:1">
      <c r="A184" s="198"/>
    </row>
    <row r="185" spans="1:1">
      <c r="A185" s="198"/>
    </row>
    <row r="186" spans="1:1">
      <c r="A186" s="198"/>
    </row>
    <row r="187" spans="1:1">
      <c r="A187" s="198"/>
    </row>
    <row r="188" spans="1:1">
      <c r="A188" s="198"/>
    </row>
    <row r="189" spans="1:1">
      <c r="A189" s="198"/>
    </row>
    <row r="190" spans="1:1">
      <c r="A190" s="198"/>
    </row>
    <row r="191" spans="1:1">
      <c r="A191" s="198"/>
    </row>
    <row r="192" spans="1:1">
      <c r="A192" s="198"/>
    </row>
    <row r="193" spans="1:1">
      <c r="A193" s="198"/>
    </row>
    <row r="194" spans="1:1">
      <c r="A194" s="198"/>
    </row>
    <row r="195" spans="1:1">
      <c r="A195" s="198"/>
    </row>
    <row r="196" spans="1:1">
      <c r="A196" s="198"/>
    </row>
    <row r="197" spans="1:1">
      <c r="A197" s="198"/>
    </row>
    <row r="198" spans="1:1">
      <c r="A198" s="198"/>
    </row>
    <row r="199" spans="1:1">
      <c r="A199" s="198"/>
    </row>
    <row r="200" spans="1:1">
      <c r="A200" s="198"/>
    </row>
    <row r="201" spans="1:1">
      <c r="A201" s="198"/>
    </row>
    <row r="202" spans="1:1">
      <c r="A202" s="198"/>
    </row>
    <row r="203" spans="1:1">
      <c r="A203" s="198"/>
    </row>
    <row r="204" spans="1:1">
      <c r="A204" s="198"/>
    </row>
    <row r="205" spans="1:1">
      <c r="A205" s="198"/>
    </row>
    <row r="206" spans="1:1">
      <c r="A206" s="198"/>
    </row>
    <row r="207" spans="1:1">
      <c r="A207" s="198"/>
    </row>
    <row r="208" spans="1:1">
      <c r="A208" s="198"/>
    </row>
    <row r="209" spans="1:1">
      <c r="A209" s="198"/>
    </row>
    <row r="210" spans="1:1">
      <c r="A210" s="198"/>
    </row>
    <row r="211" spans="1:1">
      <c r="A211" s="198"/>
    </row>
    <row r="212" spans="1:1">
      <c r="A212" s="198"/>
    </row>
    <row r="213" spans="1:1">
      <c r="A213" s="198"/>
    </row>
    <row r="214" spans="1:1">
      <c r="A214" s="198"/>
    </row>
    <row r="215" spans="1:1">
      <c r="A215" s="198"/>
    </row>
    <row r="216" spans="1:1">
      <c r="A216" s="198"/>
    </row>
    <row r="217" spans="1:1">
      <c r="A217" s="198"/>
    </row>
    <row r="218" spans="1:1">
      <c r="A218" s="198"/>
    </row>
    <row r="219" spans="1:1">
      <c r="A219" s="198"/>
    </row>
    <row r="220" spans="1:1">
      <c r="A220" s="198"/>
    </row>
    <row r="221" spans="1:1">
      <c r="A221" s="198"/>
    </row>
    <row r="222" spans="1:1">
      <c r="A222" s="198"/>
    </row>
    <row r="223" spans="1:1">
      <c r="A223" s="198"/>
    </row>
    <row r="224" spans="1:1">
      <c r="A224" s="198"/>
    </row>
    <row r="225" spans="1:1">
      <c r="A225" s="198"/>
    </row>
    <row r="226" spans="1:1">
      <c r="A226" s="198"/>
    </row>
    <row r="227" spans="1:1">
      <c r="A227" s="198"/>
    </row>
    <row r="228" spans="1:1">
      <c r="A228" s="198"/>
    </row>
    <row r="229" spans="1:1">
      <c r="A229" s="198"/>
    </row>
    <row r="230" spans="1:1">
      <c r="A230" s="198"/>
    </row>
    <row r="231" spans="1:1">
      <c r="A231" s="198"/>
    </row>
    <row r="232" spans="1:1">
      <c r="A232" s="198"/>
    </row>
    <row r="233" spans="1:1">
      <c r="A233" s="198"/>
    </row>
    <row r="234" spans="1:1">
      <c r="A234" s="198"/>
    </row>
    <row r="235" spans="1:1">
      <c r="A235" s="198"/>
    </row>
    <row r="236" spans="1:1">
      <c r="A236" s="198"/>
    </row>
    <row r="237" spans="1:1">
      <c r="A237" s="198"/>
    </row>
    <row r="238" spans="1:1">
      <c r="A238" s="198"/>
    </row>
    <row r="239" spans="1:1">
      <c r="A239" s="198"/>
    </row>
    <row r="240" spans="1:1">
      <c r="A240" s="198"/>
    </row>
    <row r="241" spans="1:1">
      <c r="A241" s="198"/>
    </row>
    <row r="242" spans="1:1">
      <c r="A242" s="198"/>
    </row>
    <row r="243" spans="1:1">
      <c r="A243" s="198"/>
    </row>
    <row r="244" spans="1:1">
      <c r="A244" s="198"/>
    </row>
    <row r="245" spans="1:1">
      <c r="A245" s="198"/>
    </row>
    <row r="246" spans="1:1">
      <c r="A246" s="198"/>
    </row>
    <row r="247" spans="1:1">
      <c r="A247" s="198"/>
    </row>
    <row r="248" spans="1:1">
      <c r="A248" s="198"/>
    </row>
    <row r="249" spans="1:1">
      <c r="A249" s="198"/>
    </row>
    <row r="250" spans="1:1">
      <c r="A250" s="198"/>
    </row>
    <row r="251" spans="1:1">
      <c r="A251" s="198"/>
    </row>
    <row r="252" spans="1:1">
      <c r="A252" s="198"/>
    </row>
    <row r="253" spans="1:1">
      <c r="A253" s="198"/>
    </row>
    <row r="254" spans="1:1">
      <c r="A254" s="198"/>
    </row>
    <row r="255" spans="1:1">
      <c r="A255" s="198"/>
    </row>
    <row r="256" spans="1:1">
      <c r="A256" s="198"/>
    </row>
    <row r="257" spans="1:1">
      <c r="A257" s="198"/>
    </row>
    <row r="258" spans="1:1">
      <c r="A258" s="198"/>
    </row>
  </sheetData>
  <sheetProtection selectLockedCells="1" selectUnlockedCells="1"/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zoomScale="70" zoomScaleNormal="70" workbookViewId="0">
      <selection sqref="A1:XFD1048576"/>
    </sheetView>
  </sheetViews>
  <sheetFormatPr baseColWidth="10" defaultRowHeight="15"/>
  <cols>
    <col min="1" max="1" width="46.28515625" style="201" bestFit="1" customWidth="1"/>
    <col min="2" max="2" width="20.85546875" style="201" bestFit="1" customWidth="1"/>
    <col min="3" max="3" width="26.42578125" style="201" bestFit="1" customWidth="1"/>
    <col min="4" max="4" width="10.85546875" style="201" bestFit="1" customWidth="1"/>
    <col min="5" max="5" width="33.140625" style="201" bestFit="1" customWidth="1"/>
    <col min="6" max="6" width="12.42578125" style="201" bestFit="1" customWidth="1"/>
    <col min="7" max="7" width="12.42578125" style="200" bestFit="1" customWidth="1"/>
    <col min="8" max="8" width="13" style="200" bestFit="1" customWidth="1"/>
    <col min="9" max="9" width="10.85546875" style="200" bestFit="1" customWidth="1"/>
    <col min="10" max="16384" width="11.42578125" style="200"/>
  </cols>
  <sheetData>
    <row r="1" spans="1:11">
      <c r="A1" s="350" t="s">
        <v>8636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</row>
    <row r="2" spans="1:11">
      <c r="A2" s="351"/>
      <c r="B2" s="352" t="s">
        <v>8637</v>
      </c>
      <c r="C2" s="352" t="s">
        <v>8638</v>
      </c>
      <c r="D2" s="351"/>
      <c r="E2" s="351"/>
      <c r="F2" s="351"/>
      <c r="G2" s="351"/>
      <c r="H2" s="351"/>
      <c r="I2" s="351"/>
      <c r="J2" s="351"/>
      <c r="K2" s="351"/>
    </row>
    <row r="3" spans="1:11" ht="15" customHeight="1">
      <c r="A3" s="351" t="s">
        <v>8639</v>
      </c>
      <c r="B3" s="353"/>
      <c r="C3" s="353"/>
      <c r="D3" s="351"/>
      <c r="E3" s="351"/>
      <c r="F3" s="351"/>
      <c r="G3" s="351"/>
      <c r="H3" s="351"/>
      <c r="I3" s="351"/>
      <c r="J3" s="351"/>
      <c r="K3" s="351"/>
    </row>
    <row r="4" spans="1:11" ht="15" customHeight="1">
      <c r="A4" s="351" t="s">
        <v>8640</v>
      </c>
      <c r="B4" s="353"/>
      <c r="C4" s="353"/>
      <c r="D4" s="351"/>
      <c r="E4" s="351"/>
      <c r="F4" s="354"/>
      <c r="G4" s="354"/>
      <c r="H4" s="354"/>
      <c r="I4" s="354"/>
      <c r="J4" s="355"/>
      <c r="K4" s="351"/>
    </row>
    <row r="5" spans="1:11" ht="15" customHeight="1">
      <c r="A5" s="351" t="s">
        <v>8641</v>
      </c>
      <c r="B5" s="353" t="s">
        <v>8642</v>
      </c>
      <c r="C5" s="353" t="s">
        <v>8643</v>
      </c>
      <c r="D5" s="351"/>
      <c r="E5" s="351"/>
      <c r="F5" s="351"/>
      <c r="G5" s="354"/>
      <c r="H5" s="354"/>
      <c r="I5" s="354"/>
      <c r="J5" s="355"/>
      <c r="K5" s="351"/>
    </row>
    <row r="6" spans="1:11" ht="30">
      <c r="A6" s="351" t="s">
        <v>8644</v>
      </c>
      <c r="B6" s="353" t="s">
        <v>8645</v>
      </c>
      <c r="C6" s="351"/>
      <c r="D6" s="356"/>
      <c r="E6" s="351"/>
      <c r="F6" s="354"/>
      <c r="G6" s="354"/>
      <c r="H6" s="354"/>
      <c r="I6" s="354"/>
      <c r="J6" s="355"/>
      <c r="K6" s="351"/>
    </row>
    <row r="7" spans="1:11">
      <c r="A7" s="357" t="s">
        <v>8646</v>
      </c>
      <c r="B7" s="357"/>
      <c r="C7" s="357"/>
      <c r="D7" s="357"/>
      <c r="E7" s="357"/>
      <c r="F7" s="357"/>
      <c r="G7" s="357"/>
      <c r="H7" s="357"/>
      <c r="I7" s="357"/>
      <c r="J7" s="357"/>
      <c r="K7" s="357"/>
    </row>
    <row r="8" spans="1:11">
      <c r="A8" s="358" t="s">
        <v>8647</v>
      </c>
      <c r="B8" s="353" t="s">
        <v>8648</v>
      </c>
      <c r="C8" s="358"/>
      <c r="D8" s="358"/>
      <c r="E8" s="358" t="s">
        <v>8649</v>
      </c>
      <c r="F8" s="351"/>
      <c r="G8" s="353" t="s">
        <v>8650</v>
      </c>
      <c r="H8" s="359"/>
      <c r="I8" s="358"/>
      <c r="J8" s="358"/>
      <c r="K8" s="358"/>
    </row>
    <row r="9" spans="1:11" ht="30">
      <c r="A9" s="358" t="s">
        <v>8651</v>
      </c>
      <c r="B9" s="353"/>
      <c r="C9" s="358"/>
      <c r="D9" s="358"/>
      <c r="E9" s="360" t="s">
        <v>8652</v>
      </c>
      <c r="F9" s="351"/>
      <c r="G9" s="353" t="s">
        <v>8653</v>
      </c>
      <c r="H9" s="361" t="s">
        <v>8654</v>
      </c>
      <c r="I9" s="353" t="s">
        <v>8655</v>
      </c>
      <c r="J9" s="358"/>
      <c r="K9" s="358"/>
    </row>
    <row r="10" spans="1:11" ht="45">
      <c r="A10" s="358"/>
      <c r="B10" s="358"/>
      <c r="C10" s="358"/>
      <c r="D10" s="358"/>
      <c r="E10" s="351" t="s">
        <v>8656</v>
      </c>
      <c r="F10" s="351"/>
      <c r="G10" s="353" t="s">
        <v>8657</v>
      </c>
      <c r="H10" s="358"/>
      <c r="I10" s="358"/>
      <c r="J10" s="358"/>
      <c r="K10" s="358"/>
    </row>
    <row r="11" spans="1:11" ht="60">
      <c r="A11" s="362"/>
      <c r="B11" s="362"/>
      <c r="C11" s="358"/>
      <c r="D11" s="358"/>
      <c r="E11" s="351" t="s">
        <v>8658</v>
      </c>
      <c r="F11" s="351"/>
      <c r="G11" s="353" t="s">
        <v>8659</v>
      </c>
      <c r="H11" s="358"/>
      <c r="I11" s="358"/>
      <c r="J11" s="358"/>
      <c r="K11" s="358"/>
    </row>
    <row r="12" spans="1:11">
      <c r="A12" s="358" t="s">
        <v>8660</v>
      </c>
      <c r="B12" s="362"/>
      <c r="C12" s="363">
        <v>120</v>
      </c>
      <c r="D12" s="359"/>
      <c r="E12" s="351"/>
      <c r="F12" s="351"/>
      <c r="G12" s="351"/>
      <c r="H12" s="358"/>
      <c r="I12" s="358"/>
      <c r="J12" s="358"/>
      <c r="K12" s="358"/>
    </row>
    <row r="13" spans="1:11" ht="30">
      <c r="A13" s="358" t="s">
        <v>8661</v>
      </c>
      <c r="B13" s="351"/>
      <c r="C13" s="353" t="s">
        <v>8662</v>
      </c>
      <c r="D13" s="362"/>
      <c r="E13" s="358" t="s">
        <v>8663</v>
      </c>
      <c r="F13" s="364"/>
      <c r="G13" s="351"/>
      <c r="H13" s="351"/>
      <c r="I13" s="351"/>
      <c r="J13" s="351"/>
      <c r="K13" s="351"/>
    </row>
    <row r="14" spans="1:11">
      <c r="A14" s="358" t="s">
        <v>8664</v>
      </c>
      <c r="B14" s="365"/>
      <c r="C14" s="363"/>
      <c r="D14" s="365"/>
      <c r="E14" s="358" t="s">
        <v>8665</v>
      </c>
      <c r="F14" s="353"/>
      <c r="G14" s="354"/>
      <c r="H14" s="354"/>
      <c r="I14" s="354"/>
      <c r="J14" s="354"/>
      <c r="K14" s="351"/>
    </row>
    <row r="15" spans="1:11">
      <c r="A15" s="351"/>
      <c r="B15" s="351"/>
      <c r="C15" s="351"/>
      <c r="D15" s="365"/>
      <c r="E15" s="365"/>
      <c r="F15" s="365"/>
      <c r="G15" s="354"/>
      <c r="H15" s="354"/>
      <c r="I15" s="354"/>
      <c r="J15" s="354"/>
      <c r="K15" s="351"/>
    </row>
    <row r="16" spans="1:11">
      <c r="A16" s="366" t="s">
        <v>8666</v>
      </c>
      <c r="B16" s="367"/>
      <c r="C16" s="367"/>
      <c r="D16" s="367"/>
      <c r="E16" s="367"/>
      <c r="F16" s="367"/>
      <c r="G16" s="367"/>
      <c r="H16" s="367"/>
      <c r="I16" s="367"/>
      <c r="J16" s="367"/>
      <c r="K16" s="368"/>
    </row>
    <row r="17" spans="1:11" ht="45">
      <c r="A17" s="351" t="s">
        <v>8667</v>
      </c>
      <c r="B17" s="369" t="s">
        <v>8668</v>
      </c>
      <c r="C17" s="351"/>
      <c r="D17" s="351"/>
      <c r="E17" s="365"/>
      <c r="F17" s="365"/>
      <c r="G17" s="354"/>
      <c r="H17" s="354"/>
      <c r="I17" s="354"/>
      <c r="J17" s="354"/>
      <c r="K17" s="351"/>
    </row>
    <row r="18" spans="1:11">
      <c r="A18" s="358" t="s">
        <v>8669</v>
      </c>
      <c r="B18" s="370">
        <v>42030</v>
      </c>
      <c r="C18" s="354"/>
      <c r="D18" s="354"/>
      <c r="E18" s="354"/>
      <c r="F18" s="354"/>
      <c r="G18" s="354"/>
      <c r="H18" s="354"/>
      <c r="I18" s="354"/>
      <c r="J18" s="354"/>
      <c r="K18" s="351"/>
    </row>
    <row r="19" spans="1:11" ht="75">
      <c r="A19" s="371" t="s">
        <v>8670</v>
      </c>
      <c r="B19" s="371" t="s">
        <v>8671</v>
      </c>
      <c r="C19" s="371" t="s">
        <v>8672</v>
      </c>
      <c r="D19" s="371" t="s">
        <v>8673</v>
      </c>
      <c r="E19" s="371" t="s">
        <v>8674</v>
      </c>
      <c r="F19" s="371" t="s">
        <v>8675</v>
      </c>
      <c r="G19" s="371" t="s">
        <v>8676</v>
      </c>
      <c r="H19" s="371" t="s">
        <v>8677</v>
      </c>
      <c r="I19" s="371" t="s">
        <v>8678</v>
      </c>
      <c r="J19" s="354"/>
      <c r="K19" s="354"/>
    </row>
    <row r="20" spans="1:11">
      <c r="A20" s="372">
        <v>1</v>
      </c>
      <c r="B20" s="373">
        <v>30</v>
      </c>
      <c r="C20" s="373">
        <v>0</v>
      </c>
      <c r="D20" s="373"/>
      <c r="E20" s="373">
        <v>14</v>
      </c>
      <c r="F20" s="373">
        <v>31.2</v>
      </c>
      <c r="G20" s="373">
        <v>47</v>
      </c>
      <c r="H20" s="373">
        <v>4.7</v>
      </c>
      <c r="I20" s="373">
        <v>1.7</v>
      </c>
      <c r="J20" s="354"/>
      <c r="K20" s="354"/>
    </row>
    <row r="21" spans="1:11">
      <c r="A21" s="372">
        <v>2</v>
      </c>
      <c r="B21" s="373"/>
      <c r="C21" s="373"/>
      <c r="D21" s="373"/>
      <c r="E21" s="373"/>
      <c r="F21" s="373"/>
      <c r="G21" s="373"/>
      <c r="H21" s="373"/>
      <c r="I21" s="373"/>
      <c r="J21" s="354"/>
      <c r="K21" s="354"/>
    </row>
    <row r="22" spans="1:11">
      <c r="A22" s="372">
        <v>3</v>
      </c>
      <c r="B22" s="373"/>
      <c r="C22" s="373"/>
      <c r="D22" s="373"/>
      <c r="E22" s="373"/>
      <c r="F22" s="373"/>
      <c r="G22" s="373"/>
      <c r="H22" s="373"/>
      <c r="I22" s="373"/>
      <c r="J22" s="354"/>
      <c r="K22" s="354"/>
    </row>
    <row r="23" spans="1:11">
      <c r="A23" s="374"/>
      <c r="B23" s="374"/>
      <c r="C23" s="374"/>
      <c r="D23" s="374"/>
      <c r="E23" s="374"/>
      <c r="F23" s="374"/>
      <c r="G23" s="374"/>
      <c r="H23" s="374"/>
      <c r="I23" s="374"/>
      <c r="J23" s="354"/>
      <c r="K23" s="354"/>
    </row>
    <row r="24" spans="1:11">
      <c r="A24" s="366" t="s">
        <v>8679</v>
      </c>
      <c r="B24" s="367"/>
      <c r="C24" s="367"/>
      <c r="D24" s="367"/>
      <c r="E24" s="367"/>
      <c r="F24" s="367"/>
      <c r="G24" s="367"/>
      <c r="H24" s="367"/>
      <c r="I24" s="367"/>
      <c r="J24" s="367"/>
      <c r="K24" s="368"/>
    </row>
    <row r="25" spans="1:11" ht="45">
      <c r="A25" s="374" t="s">
        <v>8667</v>
      </c>
      <c r="B25" s="369" t="s">
        <v>8668</v>
      </c>
      <c r="C25" s="374"/>
      <c r="D25" s="374"/>
      <c r="E25" s="374"/>
      <c r="F25" s="374"/>
      <c r="G25" s="374"/>
      <c r="H25" s="374"/>
      <c r="I25" s="374"/>
      <c r="J25" s="374"/>
      <c r="K25" s="374"/>
    </row>
    <row r="26" spans="1:11">
      <c r="A26" s="358" t="s">
        <v>8669</v>
      </c>
      <c r="B26" s="370">
        <v>42030</v>
      </c>
      <c r="C26" s="358"/>
      <c r="D26" s="375"/>
      <c r="E26" s="375"/>
      <c r="F26" s="374"/>
      <c r="G26" s="374"/>
      <c r="H26" s="374"/>
      <c r="I26" s="374"/>
      <c r="J26" s="374"/>
      <c r="K26" s="374"/>
    </row>
    <row r="27" spans="1:11" ht="90">
      <c r="A27" s="371" t="s">
        <v>8670</v>
      </c>
      <c r="B27" s="352" t="s">
        <v>8680</v>
      </c>
      <c r="C27" s="371" t="s">
        <v>8681</v>
      </c>
      <c r="D27" s="371" t="s">
        <v>8682</v>
      </c>
      <c r="E27" s="352" t="s">
        <v>8683</v>
      </c>
      <c r="F27" s="352" t="s">
        <v>8684</v>
      </c>
      <c r="G27" s="352" t="s">
        <v>8685</v>
      </c>
      <c r="H27" s="352" t="s">
        <v>8686</v>
      </c>
      <c r="I27" s="358"/>
      <c r="J27" s="358"/>
      <c r="K27" s="358"/>
    </row>
    <row r="28" spans="1:11">
      <c r="A28" s="372">
        <v>1</v>
      </c>
      <c r="B28" s="373">
        <v>7.2</v>
      </c>
      <c r="C28" s="373">
        <v>1.4</v>
      </c>
      <c r="D28" s="373">
        <v>10.6</v>
      </c>
      <c r="E28" s="373">
        <v>74</v>
      </c>
      <c r="F28" s="373">
        <v>292</v>
      </c>
      <c r="G28" s="373">
        <v>2724</v>
      </c>
      <c r="H28" s="373">
        <v>116</v>
      </c>
      <c r="I28" s="351"/>
      <c r="J28" s="351"/>
      <c r="K28" s="351"/>
    </row>
    <row r="29" spans="1:11">
      <c r="A29" s="372">
        <v>2</v>
      </c>
      <c r="B29" s="373"/>
      <c r="C29" s="373"/>
      <c r="D29" s="373"/>
      <c r="E29" s="373"/>
      <c r="F29" s="373"/>
      <c r="G29" s="373"/>
      <c r="H29" s="373"/>
      <c r="I29" s="351"/>
      <c r="J29" s="351"/>
      <c r="K29" s="351"/>
    </row>
    <row r="30" spans="1:11">
      <c r="A30" s="372">
        <v>3</v>
      </c>
      <c r="B30" s="373"/>
      <c r="C30" s="373"/>
      <c r="D30" s="373"/>
      <c r="E30" s="373"/>
      <c r="F30" s="373"/>
      <c r="G30" s="373"/>
      <c r="H30" s="373"/>
      <c r="I30" s="351"/>
      <c r="J30" s="351"/>
      <c r="K30" s="351"/>
    </row>
    <row r="31" spans="1:11">
      <c r="A31" s="376" t="s">
        <v>8687</v>
      </c>
      <c r="B31" s="374"/>
      <c r="C31" s="374"/>
      <c r="D31" s="353"/>
      <c r="E31" s="353"/>
      <c r="F31" s="374"/>
      <c r="G31" s="374"/>
      <c r="H31" s="374"/>
      <c r="I31" s="351"/>
      <c r="J31" s="351"/>
      <c r="K31" s="351"/>
    </row>
    <row r="32" spans="1:11">
      <c r="A32" s="376"/>
      <c r="B32" s="374"/>
      <c r="C32" s="374"/>
      <c r="D32" s="374"/>
      <c r="E32" s="374"/>
      <c r="F32" s="374"/>
      <c r="G32" s="374"/>
      <c r="H32" s="374"/>
      <c r="I32" s="351"/>
      <c r="J32" s="351"/>
      <c r="K32" s="351"/>
    </row>
  </sheetData>
  <mergeCells count="4">
    <mergeCell ref="A1:K1"/>
    <mergeCell ref="A7:K7"/>
    <mergeCell ref="A16:K16"/>
    <mergeCell ref="A24:K24"/>
  </mergeCells>
  <dataValidations count="22">
    <dataValidation type="decimal" allowBlank="1" showInputMessage="1" showErrorMessage="1" error="Un numérique est attendu. Il doit être compris entre 0 et 14" prompt="Un numérique est attendu. Il doit être compris entre 0 et 14" sqref="B28:B30">
      <formula1>0</formula1>
      <formula2>14</formula2>
    </dataValidation>
    <dataValidation type="decimal" allowBlank="1" showInputMessage="1" showErrorMessage="1" error="Un numérique est attendu. Il doit être compris entre 0 et 100" prompt="Un numérique est attendu. Il doit être compris entre 0 et 100" sqref="C20:I22 C28:C30">
      <formula1>0</formula1>
      <formula2>100</formula2>
    </dataValidation>
    <dataValidation type="decimal" allowBlank="1" showInputMessage="1" showErrorMessage="1" error="Un numérique est attendu. Il doit être compris entre 0 et 500" prompt="Un numérique est attendu. Il doit être compris entre 0 et 500" sqref="F13">
      <formula1>0</formula1>
      <formula2>500</formula2>
    </dataValidation>
    <dataValidation type="decimal" allowBlank="1" showInputMessage="1" showErrorMessage="1" error="Un numérique est attendu. Il doit être compris entre 0 et 200" prompt="Un numérique est attendu. Il doit être compris entre 0 et 200" sqref="C12 C14 B20:B22">
      <formula1>0</formula1>
      <formula2>200</formula2>
    </dataValidation>
    <dataValidation type="list" showInputMessage="1" showErrorMessage="1" sqref="B8">
      <formula1>OFFSET(Ref_Nom_Sol,0,0,COUNTA(Ref_Nom_Sol)+1)</formula1>
    </dataValidation>
    <dataValidation type="list" allowBlank="1" showInputMessage="1" showErrorMessage="1" sqref="E31">
      <formula1>OFFSET(Ref_Methode_P2O5,0,0,COUNTA(Ref_Methode_P2O5)+1)</formula1>
    </dataValidation>
    <dataValidation type="list" allowBlank="1" showInputMessage="1" showErrorMessage="1" sqref="D31">
      <formula1>OFFSET(Ref_Methode_CEC,0,0,COUNTA(Ref_Methode_CEC)+1)</formula1>
    </dataValidation>
    <dataValidation type="list" showInputMessage="1" showErrorMessage="1" sqref="G11">
      <formula1>OFFSET(Ref_Aptitude_Rechauf,0,0,COUNTA(Ref_Aptitude_Rechauf)+1)</formula1>
    </dataValidation>
    <dataValidation type="list" allowBlank="1" showInputMessage="1" showErrorMessage="1" sqref="C3:C5">
      <formula1>OFFSET(Ref_Devenir_Residus,0,0,COUNTA(Ref_Devenir_Residus)+1)</formula1>
    </dataValidation>
    <dataValidation type="list" showInputMessage="1" showErrorMessage="1" sqref="B25 B17">
      <formula1>OFFSET(Ref_Lieu_Prelev,0,0,COUNTA(Ref_Lieu_Prelev)+1)</formula1>
    </dataValidation>
    <dataValidation type="list" showInputMessage="1" showErrorMessage="1" sqref="G8">
      <formula1>OFFSET(Ref_Sensible_Battance,0,0,COUNTA(Ref_Sensible_Battance)+1)</formula1>
    </dataValidation>
    <dataValidation type="list" showInputMessage="1" showErrorMessage="1" sqref="G9">
      <formula1>OFFSET(Ref_Sensible_Eau,0,0,COUNTA(Ref_Sensible_Eau)+1)</formula1>
    </dataValidation>
    <dataValidation type="list" allowBlank="1" showInputMessage="1" showErrorMessage="1" sqref="G10">
      <formula1>OFFSET(Ref_Sensible_Sec,0,0,COUNTA(Ref_Sensible_Sec)+1)</formula1>
    </dataValidation>
    <dataValidation type="list" showInputMessage="1" showErrorMessage="1" sqref="B3:B5">
      <formula1>OFFSET(Ref_Ante_Prece,0,0,COUNTA(Ref_Ante_Prece)+1)</formula1>
    </dataValidation>
    <dataValidation type="list" allowBlank="1" showInputMessage="1" showErrorMessage="1" sqref="B6">
      <formula1>OFFSET(Ref_Interculture,0,0,COUNTA(Ref_Interculture)+1)</formula1>
    </dataValidation>
    <dataValidation type="list" allowBlank="1" showInputMessage="1" showErrorMessage="1" sqref="B9">
      <formula1>OFFSET(Ref_Texture,0,0,COUNTA(Ref_Texture)+1)</formula1>
    </dataValidation>
    <dataValidation type="list" allowBlank="1" showInputMessage="1" showErrorMessage="1" sqref="I9">
      <formula1>OFFSET(Ref_Oui_Non,0,0,COUNTA(Ref_Oui_Non)+1)</formula1>
    </dataValidation>
    <dataValidation type="list" allowBlank="1" showInputMessage="1" showErrorMessage="1" sqref="C13">
      <formula1>OFFSET(Ref_Obstacle_Racine,0,0,COUNTA(Ref_Obstacle_Racine)+1)</formula1>
    </dataValidation>
    <dataValidation type="list" showInputMessage="1" showErrorMessage="1" sqref="F14">
      <formula1>OFFSET(Ref_Methode_RU,0,0,COUNTA(Ref_Methode_RU)+1)</formula1>
    </dataValidation>
    <dataValidation allowBlank="1" showInputMessage="1" showErrorMessage="1" error="Une date sous le format JJ/MM/AAAA est attendue." prompt="Une date sous le format JJ/MM/AAAA est attendue. " sqref="B18"/>
    <dataValidation type="decimal" allowBlank="1" showInputMessage="1" showErrorMessage="1" error="Un numérique est attendu. Il doit être compris entre 0 et 1000000" prompt="Un numérique est attendu. Il doit être compris entre 0 et 1000000" sqref="D28:H30">
      <formula1>0</formula1>
      <formula2>1000000</formula2>
    </dataValidation>
    <dataValidation type="date" allowBlank="1" showInputMessage="1" showErrorMessage="1" error="Une date sous le format JJ/MM/AAAA est attendue. Elle doit être comprise entre 01/01/2010 et 01/01/2025" prompt="Une date sous le format JJ/MM/AAAA est attendue. Elle doit être comprise entre 01/01/2010 et 01/01/2025" sqref="B26">
      <formula1>40179</formula1>
      <formula2>45658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S41" sqref="S41"/>
    </sheetView>
  </sheetViews>
  <sheetFormatPr baseColWidth="10" defaultRowHeight="12.75"/>
  <cols>
    <col min="1" max="1" width="11.7109375" style="202" customWidth="1"/>
    <col min="2" max="2" width="10.140625" style="202" bestFit="1" customWidth="1"/>
    <col min="3" max="4" width="3" style="202" bestFit="1" customWidth="1"/>
    <col min="5" max="5" width="8.85546875" style="202" bestFit="1" customWidth="1"/>
    <col min="6" max="6" width="11.140625" style="202" bestFit="1" customWidth="1"/>
    <col min="7" max="7" width="6.28515625" style="202" bestFit="1" customWidth="1"/>
    <col min="8" max="8" width="4.140625" style="202" bestFit="1" customWidth="1"/>
    <col min="9" max="9" width="6.5703125" style="202" bestFit="1" customWidth="1"/>
    <col min="10" max="10" width="12" style="202" bestFit="1" customWidth="1"/>
    <col min="11" max="11" width="4.140625" style="202" bestFit="1" customWidth="1"/>
    <col min="12" max="12" width="12" style="202" bestFit="1" customWidth="1"/>
    <col min="13" max="13" width="14.28515625" style="202" bestFit="1" customWidth="1"/>
    <col min="14" max="14" width="11.140625" style="202" bestFit="1" customWidth="1"/>
    <col min="15" max="15" width="7.42578125" style="202" bestFit="1" customWidth="1"/>
    <col min="16" max="16" width="14.42578125" style="202" bestFit="1" customWidth="1"/>
    <col min="17" max="17" width="11.28515625" style="202" bestFit="1" customWidth="1"/>
    <col min="18" max="18" width="10.42578125" style="202" bestFit="1" customWidth="1"/>
    <col min="19" max="19" width="13" style="193" bestFit="1" customWidth="1"/>
    <col min="20" max="20" width="11.42578125" style="193"/>
    <col min="21" max="21" width="12.42578125" style="202" customWidth="1"/>
    <col min="22" max="22" width="11.85546875" style="202" customWidth="1"/>
    <col min="23" max="23" width="11.42578125" style="193"/>
    <col min="24" max="24" width="15.85546875" style="193" bestFit="1" customWidth="1"/>
    <col min="25" max="16384" width="11.42578125" style="193"/>
  </cols>
  <sheetData>
    <row r="1" spans="1:25" ht="15.75">
      <c r="C1" s="210"/>
      <c r="D1" s="210"/>
      <c r="E1" s="210"/>
      <c r="F1" s="210"/>
      <c r="G1" s="210"/>
      <c r="H1" s="336" t="s">
        <v>8163</v>
      </c>
      <c r="I1" s="337"/>
      <c r="J1" s="338"/>
      <c r="K1" s="339" t="s">
        <v>8162</v>
      </c>
      <c r="L1" s="337"/>
      <c r="M1" s="337"/>
      <c r="N1" s="337"/>
      <c r="O1" s="337"/>
      <c r="P1" s="337"/>
      <c r="Q1" s="337"/>
      <c r="R1" s="338"/>
      <c r="S1" s="340" t="s">
        <v>8176</v>
      </c>
      <c r="T1" s="341"/>
      <c r="U1" s="342" t="s">
        <v>8161</v>
      </c>
      <c r="V1" s="342"/>
      <c r="W1" s="343"/>
      <c r="X1" s="233"/>
    </row>
    <row r="2" spans="1:25" s="309" customFormat="1">
      <c r="A2" s="299" t="s">
        <v>8160</v>
      </c>
      <c r="B2" s="299" t="s">
        <v>213</v>
      </c>
      <c r="C2" s="299" t="s">
        <v>22</v>
      </c>
      <c r="D2" s="299" t="s">
        <v>21</v>
      </c>
      <c r="E2" s="299" t="s">
        <v>8159</v>
      </c>
      <c r="F2" s="299" t="s">
        <v>8158</v>
      </c>
      <c r="G2" s="299" t="s">
        <v>8157</v>
      </c>
      <c r="H2" s="299" t="s">
        <v>8155</v>
      </c>
      <c r="I2" s="299" t="s">
        <v>8156</v>
      </c>
      <c r="J2" s="300" t="s">
        <v>8172</v>
      </c>
      <c r="K2" s="301" t="s">
        <v>8155</v>
      </c>
      <c r="L2" s="299" t="s">
        <v>8169</v>
      </c>
      <c r="M2" s="302" t="s">
        <v>8154</v>
      </c>
      <c r="N2" s="302" t="s">
        <v>8153</v>
      </c>
      <c r="O2" s="299" t="s">
        <v>8171</v>
      </c>
      <c r="P2" s="302" t="s">
        <v>8152</v>
      </c>
      <c r="Q2" s="302" t="s">
        <v>8151</v>
      </c>
      <c r="R2" s="303" t="s">
        <v>8170</v>
      </c>
      <c r="S2" s="304" t="s">
        <v>8174</v>
      </c>
      <c r="T2" s="302" t="s">
        <v>8175</v>
      </c>
      <c r="U2" s="305" t="s">
        <v>8150</v>
      </c>
      <c r="V2" s="305" t="s">
        <v>8149</v>
      </c>
      <c r="W2" s="306" t="s">
        <v>8177</v>
      </c>
      <c r="X2" s="307" t="s">
        <v>8178</v>
      </c>
      <c r="Y2" s="308" t="s">
        <v>8179</v>
      </c>
    </row>
    <row r="3" spans="1:25">
      <c r="A3" s="208" t="s">
        <v>8148</v>
      </c>
      <c r="B3" s="209">
        <v>41982</v>
      </c>
      <c r="C3" s="234">
        <v>2</v>
      </c>
      <c r="D3" s="234">
        <v>42</v>
      </c>
      <c r="E3" s="208" t="s">
        <v>265</v>
      </c>
      <c r="F3" s="207" t="s">
        <v>8238</v>
      </c>
      <c r="G3" s="207" t="s">
        <v>8372</v>
      </c>
      <c r="H3" s="207">
        <v>28</v>
      </c>
      <c r="I3" s="295">
        <v>1775</v>
      </c>
      <c r="J3" s="229" t="s">
        <v>8374</v>
      </c>
      <c r="K3" s="232">
        <v>8</v>
      </c>
      <c r="L3" s="295"/>
      <c r="M3" s="327">
        <v>418</v>
      </c>
      <c r="N3" s="344"/>
      <c r="O3" s="228"/>
      <c r="P3" s="327">
        <v>60</v>
      </c>
      <c r="Q3" s="328"/>
      <c r="R3" s="229"/>
      <c r="S3" s="231"/>
      <c r="T3" s="230"/>
      <c r="U3" s="329">
        <v>3.45</v>
      </c>
      <c r="V3" s="330"/>
      <c r="W3" s="206"/>
      <c r="X3" s="206"/>
      <c r="Y3" s="206"/>
    </row>
    <row r="4" spans="1:25">
      <c r="A4" s="208" t="s">
        <v>8148</v>
      </c>
      <c r="B4" s="209">
        <v>41982</v>
      </c>
      <c r="C4" s="234">
        <v>3</v>
      </c>
      <c r="D4" s="234">
        <v>18</v>
      </c>
      <c r="E4" s="208" t="s">
        <v>265</v>
      </c>
      <c r="F4" s="207" t="s">
        <v>8238</v>
      </c>
      <c r="G4" s="207" t="s">
        <v>8372</v>
      </c>
      <c r="H4" s="207">
        <v>17</v>
      </c>
      <c r="I4" s="295">
        <v>1182</v>
      </c>
      <c r="J4" s="229" t="s">
        <v>8374</v>
      </c>
      <c r="K4" s="232">
        <v>8</v>
      </c>
      <c r="L4" s="295"/>
      <c r="M4" s="334">
        <v>233</v>
      </c>
      <c r="N4" s="335"/>
      <c r="O4" s="228"/>
      <c r="P4" s="327">
        <v>36</v>
      </c>
      <c r="Q4" s="328"/>
      <c r="R4" s="229"/>
      <c r="S4" s="231"/>
      <c r="T4" s="230"/>
      <c r="U4" s="329">
        <v>3.18</v>
      </c>
      <c r="V4" s="330"/>
      <c r="W4" s="206"/>
      <c r="X4" s="206"/>
      <c r="Y4" s="206"/>
    </row>
    <row r="5" spans="1:25">
      <c r="A5" s="208" t="s">
        <v>8148</v>
      </c>
      <c r="B5" s="209">
        <v>41982</v>
      </c>
      <c r="C5" s="234">
        <v>5</v>
      </c>
      <c r="D5" s="234">
        <v>16</v>
      </c>
      <c r="E5" s="208" t="s">
        <v>267</v>
      </c>
      <c r="F5" s="207" t="s">
        <v>8238</v>
      </c>
      <c r="G5" s="207" t="s">
        <v>8372</v>
      </c>
      <c r="H5" s="207">
        <v>20</v>
      </c>
      <c r="I5" s="295">
        <v>909</v>
      </c>
      <c r="J5" s="229" t="s">
        <v>8374</v>
      </c>
      <c r="K5" s="232">
        <v>6</v>
      </c>
      <c r="L5" s="295"/>
      <c r="M5" s="332">
        <v>228</v>
      </c>
      <c r="N5" s="333"/>
      <c r="O5" s="228"/>
      <c r="P5" s="327">
        <v>24</v>
      </c>
      <c r="Q5" s="328"/>
      <c r="R5" s="229"/>
      <c r="S5" s="231"/>
      <c r="T5" s="230"/>
      <c r="U5" s="329">
        <v>2.16</v>
      </c>
      <c r="V5" s="330"/>
      <c r="W5" s="206"/>
      <c r="X5" s="206"/>
      <c r="Y5" s="206"/>
    </row>
    <row r="6" spans="1:25">
      <c r="A6" s="208" t="s">
        <v>8148</v>
      </c>
      <c r="B6" s="209">
        <v>41982</v>
      </c>
      <c r="C6" s="234">
        <v>3</v>
      </c>
      <c r="D6" s="234">
        <v>26</v>
      </c>
      <c r="E6" s="208" t="s">
        <v>267</v>
      </c>
      <c r="F6" s="207" t="s">
        <v>8238</v>
      </c>
      <c r="G6" s="207" t="s">
        <v>8372</v>
      </c>
      <c r="H6" s="207">
        <v>40</v>
      </c>
      <c r="I6" s="295">
        <v>1177</v>
      </c>
      <c r="J6" s="229" t="s">
        <v>8374</v>
      </c>
      <c r="K6" s="232">
        <v>8</v>
      </c>
      <c r="L6" s="295"/>
      <c r="M6" s="332">
        <v>248</v>
      </c>
      <c r="N6" s="333"/>
      <c r="O6" s="228"/>
      <c r="P6" s="327">
        <v>41.4</v>
      </c>
      <c r="Q6" s="328"/>
      <c r="R6" s="229"/>
      <c r="S6" s="231"/>
      <c r="T6" s="230"/>
      <c r="U6" s="329">
        <v>2.58</v>
      </c>
      <c r="V6" s="330"/>
      <c r="W6" s="206"/>
      <c r="X6" s="206"/>
      <c r="Y6" s="206"/>
    </row>
    <row r="7" spans="1:25">
      <c r="A7" s="208" t="s">
        <v>8147</v>
      </c>
      <c r="B7" s="209">
        <v>42032</v>
      </c>
      <c r="C7" s="234">
        <v>2</v>
      </c>
      <c r="D7" s="234">
        <v>42</v>
      </c>
      <c r="E7" s="208" t="s">
        <v>265</v>
      </c>
      <c r="F7" s="207" t="s">
        <v>8238</v>
      </c>
      <c r="G7" s="207" t="s">
        <v>8373</v>
      </c>
      <c r="H7" s="207">
        <v>23</v>
      </c>
      <c r="I7" s="295">
        <v>1030</v>
      </c>
      <c r="J7" s="229" t="s">
        <v>8374</v>
      </c>
      <c r="K7" s="232">
        <v>6</v>
      </c>
      <c r="L7" s="295"/>
      <c r="M7" s="332">
        <v>237</v>
      </c>
      <c r="N7" s="333"/>
      <c r="O7" s="228"/>
      <c r="P7" s="327">
        <v>38.799999999999997</v>
      </c>
      <c r="Q7" s="328"/>
      <c r="R7" s="229"/>
      <c r="S7" s="231"/>
      <c r="T7" s="230"/>
      <c r="U7" s="329">
        <v>2.85</v>
      </c>
      <c r="V7" s="330"/>
      <c r="W7" s="206"/>
      <c r="X7" s="206"/>
      <c r="Y7" s="206"/>
    </row>
    <row r="8" spans="1:25">
      <c r="A8" s="208" t="s">
        <v>8147</v>
      </c>
      <c r="B8" s="209">
        <v>42032</v>
      </c>
      <c r="C8" s="234">
        <v>3</v>
      </c>
      <c r="D8" s="234">
        <v>18</v>
      </c>
      <c r="E8" s="208" t="s">
        <v>265</v>
      </c>
      <c r="F8" s="207" t="s">
        <v>8238</v>
      </c>
      <c r="G8" s="207" t="s">
        <v>8373</v>
      </c>
      <c r="H8" s="207">
        <v>23</v>
      </c>
      <c r="I8" s="295">
        <v>1085</v>
      </c>
      <c r="J8" s="229" t="s">
        <v>8374</v>
      </c>
      <c r="K8" s="232">
        <v>6</v>
      </c>
      <c r="L8" s="295"/>
      <c r="M8" s="332">
        <v>299</v>
      </c>
      <c r="N8" s="333"/>
      <c r="O8" s="228"/>
      <c r="P8" s="327">
        <v>50.1</v>
      </c>
      <c r="Q8" s="328"/>
      <c r="R8" s="229"/>
      <c r="S8" s="231"/>
      <c r="T8" s="230"/>
      <c r="U8" s="329">
        <v>2.61</v>
      </c>
      <c r="V8" s="330"/>
      <c r="W8" s="206"/>
      <c r="X8" s="206"/>
      <c r="Y8" s="206"/>
    </row>
    <row r="9" spans="1:25">
      <c r="A9" s="208" t="s">
        <v>8147</v>
      </c>
      <c r="B9" s="209">
        <v>42032</v>
      </c>
      <c r="C9" s="234">
        <v>5</v>
      </c>
      <c r="D9" s="234">
        <v>16</v>
      </c>
      <c r="E9" s="208" t="s">
        <v>267</v>
      </c>
      <c r="F9" s="207" t="s">
        <v>8238</v>
      </c>
      <c r="G9" s="207" t="s">
        <v>8373</v>
      </c>
      <c r="H9" s="207">
        <v>18</v>
      </c>
      <c r="I9" s="295">
        <v>781</v>
      </c>
      <c r="J9" s="229" t="s">
        <v>8374</v>
      </c>
      <c r="K9" s="232">
        <v>4</v>
      </c>
      <c r="L9" s="295"/>
      <c r="M9" s="332">
        <v>154</v>
      </c>
      <c r="N9" s="333"/>
      <c r="O9" s="228"/>
      <c r="P9" s="327">
        <v>24.4</v>
      </c>
      <c r="Q9" s="328"/>
      <c r="R9" s="229"/>
      <c r="S9" s="231"/>
      <c r="T9" s="230"/>
      <c r="U9" s="329">
        <v>2.44</v>
      </c>
      <c r="V9" s="330"/>
      <c r="W9" s="206"/>
      <c r="X9" s="206"/>
      <c r="Y9" s="206"/>
    </row>
    <row r="10" spans="1:25">
      <c r="A10" s="208" t="s">
        <v>8147</v>
      </c>
      <c r="B10" s="209">
        <v>42032</v>
      </c>
      <c r="C10" s="234">
        <v>3</v>
      </c>
      <c r="D10" s="234">
        <v>26</v>
      </c>
      <c r="E10" s="208" t="s">
        <v>267</v>
      </c>
      <c r="F10" s="207" t="s">
        <v>8238</v>
      </c>
      <c r="G10" s="207" t="s">
        <v>8373</v>
      </c>
      <c r="H10" s="207">
        <v>13</v>
      </c>
      <c r="I10" s="295">
        <v>634</v>
      </c>
      <c r="J10" s="229" t="s">
        <v>8374</v>
      </c>
      <c r="K10" s="232">
        <v>4</v>
      </c>
      <c r="L10" s="295"/>
      <c r="M10" s="325">
        <v>218</v>
      </c>
      <c r="N10" s="326"/>
      <c r="O10" s="228"/>
      <c r="P10" s="327">
        <v>39.700000000000003</v>
      </c>
      <c r="Q10" s="328"/>
      <c r="R10" s="229"/>
      <c r="S10" s="231"/>
      <c r="T10" s="230"/>
      <c r="U10" s="329">
        <v>2.57</v>
      </c>
      <c r="V10" s="330"/>
      <c r="W10" s="206"/>
      <c r="X10" s="206"/>
      <c r="Y10" s="206"/>
    </row>
    <row r="11" spans="1:25">
      <c r="A11" s="208" t="s">
        <v>8146</v>
      </c>
      <c r="B11" s="209">
        <v>42102</v>
      </c>
      <c r="C11" s="234">
        <v>2</v>
      </c>
      <c r="D11" s="234">
        <v>42</v>
      </c>
      <c r="E11" s="208" t="s">
        <v>265</v>
      </c>
      <c r="F11" s="207" t="s">
        <v>8238</v>
      </c>
      <c r="G11" s="207" t="s">
        <v>8371</v>
      </c>
      <c r="H11" s="250">
        <v>27</v>
      </c>
      <c r="I11" s="251">
        <v>2052</v>
      </c>
      <c r="J11" s="229" t="s">
        <v>8374</v>
      </c>
      <c r="K11" s="250">
        <v>8</v>
      </c>
      <c r="L11" s="295"/>
      <c r="M11" s="251">
        <v>356.4</v>
      </c>
      <c r="N11" s="251">
        <v>360.2</v>
      </c>
      <c r="O11" s="228"/>
      <c r="P11" s="251">
        <v>55.8</v>
      </c>
      <c r="Q11" s="251">
        <v>46.8</v>
      </c>
      <c r="R11" s="229"/>
      <c r="S11" s="231"/>
      <c r="T11" s="230"/>
      <c r="U11" s="275">
        <v>2.33</v>
      </c>
      <c r="V11" s="275">
        <v>2.56</v>
      </c>
      <c r="W11" s="206"/>
      <c r="X11" s="206"/>
      <c r="Y11" s="206"/>
    </row>
    <row r="12" spans="1:25">
      <c r="A12" s="208" t="s">
        <v>8146</v>
      </c>
      <c r="B12" s="209">
        <v>42102</v>
      </c>
      <c r="C12" s="234">
        <v>3</v>
      </c>
      <c r="D12" s="234">
        <v>18</v>
      </c>
      <c r="E12" s="208" t="s">
        <v>265</v>
      </c>
      <c r="F12" s="207" t="s">
        <v>8238</v>
      </c>
      <c r="G12" s="207" t="s">
        <v>8371</v>
      </c>
      <c r="H12" s="250">
        <v>27</v>
      </c>
      <c r="I12" s="251">
        <v>2711</v>
      </c>
      <c r="J12" s="229" t="s">
        <v>8374</v>
      </c>
      <c r="K12" s="250">
        <v>7</v>
      </c>
      <c r="L12" s="295"/>
      <c r="M12" s="251">
        <v>334.7</v>
      </c>
      <c r="N12" s="251">
        <v>295.7</v>
      </c>
      <c r="O12" s="228"/>
      <c r="P12" s="251">
        <v>50.4</v>
      </c>
      <c r="Q12" s="251">
        <v>37.200000000000003</v>
      </c>
      <c r="R12" s="229"/>
      <c r="S12" s="231"/>
      <c r="T12" s="230"/>
      <c r="U12" s="275">
        <v>2.4700000000000002</v>
      </c>
      <c r="V12" s="275">
        <v>2.37</v>
      </c>
      <c r="W12" s="206"/>
      <c r="X12" s="206"/>
      <c r="Y12" s="206"/>
    </row>
    <row r="13" spans="1:25">
      <c r="A13" s="208" t="s">
        <v>8146</v>
      </c>
      <c r="B13" s="209">
        <v>42102</v>
      </c>
      <c r="C13" s="234">
        <v>9</v>
      </c>
      <c r="D13" s="234">
        <v>23</v>
      </c>
      <c r="E13" s="208" t="s">
        <v>265</v>
      </c>
      <c r="F13" s="207" t="s">
        <v>8238</v>
      </c>
      <c r="G13" s="207" t="s">
        <v>8371</v>
      </c>
      <c r="H13" s="250">
        <v>32</v>
      </c>
      <c r="I13" s="251">
        <v>2495</v>
      </c>
      <c r="J13" s="229" t="s">
        <v>8374</v>
      </c>
      <c r="K13" s="250">
        <v>9</v>
      </c>
      <c r="L13" s="295"/>
      <c r="M13" s="251">
        <v>391.2</v>
      </c>
      <c r="N13" s="251">
        <v>434.6</v>
      </c>
      <c r="O13" s="228"/>
      <c r="P13" s="251">
        <v>65.8</v>
      </c>
      <c r="Q13" s="251">
        <v>53.7</v>
      </c>
      <c r="R13" s="229"/>
      <c r="S13" s="231"/>
      <c r="T13" s="230"/>
      <c r="U13" s="275">
        <v>2.48</v>
      </c>
      <c r="V13" s="275">
        <v>2.27</v>
      </c>
      <c r="W13" s="206"/>
      <c r="X13" s="206"/>
      <c r="Y13" s="206"/>
    </row>
    <row r="14" spans="1:25">
      <c r="A14" s="208" t="s">
        <v>8146</v>
      </c>
      <c r="B14" s="209">
        <v>42102</v>
      </c>
      <c r="C14" s="234">
        <v>12</v>
      </c>
      <c r="D14" s="234">
        <v>45</v>
      </c>
      <c r="E14" s="208" t="s">
        <v>265</v>
      </c>
      <c r="F14" s="207" t="s">
        <v>8238</v>
      </c>
      <c r="G14" s="207" t="s">
        <v>8371</v>
      </c>
      <c r="H14" s="250">
        <v>37</v>
      </c>
      <c r="I14" s="251">
        <v>4089</v>
      </c>
      <c r="J14" s="229" t="s">
        <v>8374</v>
      </c>
      <c r="K14" s="250">
        <v>10</v>
      </c>
      <c r="L14" s="295"/>
      <c r="M14" s="251">
        <v>625.6</v>
      </c>
      <c r="N14" s="251">
        <v>500.3</v>
      </c>
      <c r="O14" s="228"/>
      <c r="P14" s="251">
        <v>76.8</v>
      </c>
      <c r="Q14" s="251">
        <v>58.4</v>
      </c>
      <c r="R14" s="229"/>
      <c r="S14" s="231"/>
      <c r="T14" s="230"/>
      <c r="U14" s="275">
        <v>3.29</v>
      </c>
      <c r="V14" s="275">
        <v>2.5499999999999998</v>
      </c>
      <c r="W14" s="206"/>
      <c r="X14" s="206"/>
      <c r="Y14" s="206"/>
    </row>
    <row r="15" spans="1:25">
      <c r="A15" s="208" t="s">
        <v>8146</v>
      </c>
      <c r="B15" s="209">
        <v>42102</v>
      </c>
      <c r="C15" s="234">
        <v>5</v>
      </c>
      <c r="D15" s="234">
        <v>16</v>
      </c>
      <c r="E15" s="208" t="s">
        <v>267</v>
      </c>
      <c r="F15" s="207" t="s">
        <v>8238</v>
      </c>
      <c r="G15" s="207" t="s">
        <v>8371</v>
      </c>
      <c r="H15" s="250">
        <v>33</v>
      </c>
      <c r="I15" s="251">
        <v>4159</v>
      </c>
      <c r="J15" s="229" t="s">
        <v>8374</v>
      </c>
      <c r="K15" s="250">
        <v>8</v>
      </c>
      <c r="L15" s="295"/>
      <c r="M15" s="251">
        <v>870.5</v>
      </c>
      <c r="N15" s="251">
        <v>684.8</v>
      </c>
      <c r="O15" s="228"/>
      <c r="P15" s="251">
        <v>113.4</v>
      </c>
      <c r="Q15" s="251">
        <v>82.3</v>
      </c>
      <c r="R15" s="229"/>
      <c r="S15" s="231"/>
      <c r="T15" s="230"/>
      <c r="U15" s="275">
        <v>4.3600000000000003</v>
      </c>
      <c r="V15" s="275">
        <v>2.98</v>
      </c>
      <c r="W15" s="206"/>
      <c r="X15" s="206"/>
      <c r="Y15" s="206"/>
    </row>
    <row r="16" spans="1:25">
      <c r="A16" s="208" t="s">
        <v>8146</v>
      </c>
      <c r="B16" s="209">
        <v>42102</v>
      </c>
      <c r="C16" s="234">
        <v>3</v>
      </c>
      <c r="D16" s="234">
        <v>26</v>
      </c>
      <c r="E16" s="208" t="s">
        <v>267</v>
      </c>
      <c r="F16" s="207" t="s">
        <v>8238</v>
      </c>
      <c r="G16" s="207" t="s">
        <v>8371</v>
      </c>
      <c r="H16" s="250">
        <v>25</v>
      </c>
      <c r="I16" s="251">
        <v>4523</v>
      </c>
      <c r="J16" s="229" t="s">
        <v>8374</v>
      </c>
      <c r="K16" s="250">
        <v>7</v>
      </c>
      <c r="L16" s="295"/>
      <c r="M16" s="251">
        <v>621</v>
      </c>
      <c r="N16" s="251">
        <v>363.8</v>
      </c>
      <c r="O16" s="228"/>
      <c r="P16" s="251">
        <v>68.2</v>
      </c>
      <c r="Q16" s="251">
        <v>37.700000000000003</v>
      </c>
      <c r="R16" s="229"/>
      <c r="S16" s="231"/>
      <c r="T16" s="230"/>
      <c r="U16" s="275">
        <v>4.75</v>
      </c>
      <c r="V16" s="275">
        <v>3.9</v>
      </c>
      <c r="W16" s="206"/>
      <c r="X16" s="206"/>
      <c r="Y16" s="206"/>
    </row>
    <row r="17" spans="1:25">
      <c r="A17" s="208" t="s">
        <v>8146</v>
      </c>
      <c r="B17" s="209">
        <v>42102</v>
      </c>
      <c r="C17" s="234">
        <v>11</v>
      </c>
      <c r="D17" s="234">
        <v>53</v>
      </c>
      <c r="E17" s="208" t="s">
        <v>267</v>
      </c>
      <c r="F17" s="207" t="s">
        <v>8238</v>
      </c>
      <c r="G17" s="207" t="s">
        <v>8371</v>
      </c>
      <c r="H17" s="250">
        <v>23</v>
      </c>
      <c r="I17" s="251">
        <v>3780</v>
      </c>
      <c r="J17" s="229" t="s">
        <v>8374</v>
      </c>
      <c r="K17" s="250">
        <v>5</v>
      </c>
      <c r="L17" s="295"/>
      <c r="M17" s="251">
        <v>700.8</v>
      </c>
      <c r="N17" s="251">
        <v>289.39999999999998</v>
      </c>
      <c r="O17" s="228"/>
      <c r="P17" s="251">
        <v>81</v>
      </c>
      <c r="Q17" s="251">
        <v>32.5</v>
      </c>
      <c r="R17" s="229"/>
      <c r="S17" s="231"/>
      <c r="T17" s="230"/>
      <c r="U17" s="276">
        <v>4.2</v>
      </c>
      <c r="V17" s="276">
        <v>4.08</v>
      </c>
      <c r="W17" s="206"/>
      <c r="X17" s="206"/>
      <c r="Y17" s="206"/>
    </row>
    <row r="18" spans="1:25">
      <c r="A18" s="208" t="s">
        <v>8146</v>
      </c>
      <c r="B18" s="209">
        <v>42102</v>
      </c>
      <c r="C18" s="234">
        <v>7</v>
      </c>
      <c r="D18" s="234">
        <v>68</v>
      </c>
      <c r="E18" s="208" t="s">
        <v>267</v>
      </c>
      <c r="F18" s="207" t="s">
        <v>8238</v>
      </c>
      <c r="G18" s="207" t="s">
        <v>8371</v>
      </c>
      <c r="H18" s="250">
        <v>32</v>
      </c>
      <c r="I18" s="251">
        <v>3354</v>
      </c>
      <c r="J18" s="229" t="s">
        <v>8374</v>
      </c>
      <c r="K18" s="250">
        <v>7</v>
      </c>
      <c r="L18" s="295"/>
      <c r="M18" s="251">
        <v>898</v>
      </c>
      <c r="N18" s="251">
        <v>451.1</v>
      </c>
      <c r="O18" s="228"/>
      <c r="P18" s="251">
        <v>110.8</v>
      </c>
      <c r="Q18" s="251">
        <v>48.5</v>
      </c>
      <c r="R18" s="229"/>
      <c r="S18" s="231"/>
      <c r="T18" s="230"/>
      <c r="U18" s="275">
        <v>4.3099999999999996</v>
      </c>
      <c r="V18" s="275">
        <v>3.82</v>
      </c>
      <c r="W18" s="206"/>
      <c r="X18" s="206"/>
      <c r="Y18" s="206"/>
    </row>
    <row r="19" spans="1:25">
      <c r="A19" s="208" t="s">
        <v>8145</v>
      </c>
      <c r="B19" s="207" t="s">
        <v>8379</v>
      </c>
      <c r="C19" s="234">
        <v>2</v>
      </c>
      <c r="D19" s="234">
        <v>42</v>
      </c>
      <c r="E19" s="208" t="s">
        <v>265</v>
      </c>
      <c r="F19" s="207" t="s">
        <v>8238</v>
      </c>
      <c r="G19" s="207" t="s">
        <v>8379</v>
      </c>
      <c r="H19" s="207" t="s">
        <v>8379</v>
      </c>
      <c r="I19" s="207" t="s">
        <v>8379</v>
      </c>
      <c r="J19" s="229" t="s">
        <v>8374</v>
      </c>
      <c r="K19" s="207" t="s">
        <v>8379</v>
      </c>
      <c r="L19" s="295" t="s">
        <v>8379</v>
      </c>
      <c r="M19" s="207" t="s">
        <v>8379</v>
      </c>
      <c r="N19" s="207" t="s">
        <v>8379</v>
      </c>
      <c r="O19" s="228" t="s">
        <v>8379</v>
      </c>
      <c r="P19" s="207" t="s">
        <v>8379</v>
      </c>
      <c r="Q19" s="207" t="s">
        <v>8379</v>
      </c>
      <c r="R19" s="229" t="s">
        <v>8379</v>
      </c>
      <c r="S19" s="231" t="s">
        <v>8379</v>
      </c>
      <c r="T19" s="230" t="s">
        <v>8379</v>
      </c>
      <c r="U19" s="207" t="s">
        <v>8379</v>
      </c>
      <c r="V19" s="207" t="s">
        <v>8379</v>
      </c>
      <c r="W19" s="206" t="s">
        <v>8379</v>
      </c>
      <c r="X19" s="206" t="s">
        <v>8379</v>
      </c>
      <c r="Y19" s="206" t="s">
        <v>8379</v>
      </c>
    </row>
    <row r="20" spans="1:25">
      <c r="A20" s="208" t="s">
        <v>8145</v>
      </c>
      <c r="B20" s="207" t="s">
        <v>8379</v>
      </c>
      <c r="C20" s="234">
        <v>3</v>
      </c>
      <c r="D20" s="234">
        <v>18</v>
      </c>
      <c r="E20" s="208" t="s">
        <v>265</v>
      </c>
      <c r="F20" s="207" t="s">
        <v>8238</v>
      </c>
      <c r="G20" s="207" t="s">
        <v>8379</v>
      </c>
      <c r="H20" s="207" t="s">
        <v>8379</v>
      </c>
      <c r="I20" s="207" t="s">
        <v>8379</v>
      </c>
      <c r="J20" s="229" t="s">
        <v>8374</v>
      </c>
      <c r="K20" s="207" t="s">
        <v>8379</v>
      </c>
      <c r="L20" s="295" t="s">
        <v>8379</v>
      </c>
      <c r="M20" s="207" t="s">
        <v>8379</v>
      </c>
      <c r="N20" s="207" t="s">
        <v>8379</v>
      </c>
      <c r="O20" s="228" t="s">
        <v>8379</v>
      </c>
      <c r="P20" s="207" t="s">
        <v>8379</v>
      </c>
      <c r="Q20" s="207" t="s">
        <v>8379</v>
      </c>
      <c r="R20" s="229" t="s">
        <v>8379</v>
      </c>
      <c r="S20" s="231" t="s">
        <v>8379</v>
      </c>
      <c r="T20" s="230" t="s">
        <v>8379</v>
      </c>
      <c r="U20" s="207" t="s">
        <v>8379</v>
      </c>
      <c r="V20" s="207" t="s">
        <v>8379</v>
      </c>
      <c r="W20" s="206" t="s">
        <v>8379</v>
      </c>
      <c r="X20" s="206" t="s">
        <v>8379</v>
      </c>
      <c r="Y20" s="206" t="s">
        <v>8379</v>
      </c>
    </row>
    <row r="21" spans="1:25">
      <c r="A21" s="208" t="s">
        <v>8145</v>
      </c>
      <c r="B21" s="207" t="s">
        <v>8379</v>
      </c>
      <c r="C21" s="234">
        <v>9</v>
      </c>
      <c r="D21" s="234">
        <v>23</v>
      </c>
      <c r="E21" s="208" t="s">
        <v>265</v>
      </c>
      <c r="F21" s="207" t="s">
        <v>8238</v>
      </c>
      <c r="G21" s="207" t="s">
        <v>8379</v>
      </c>
      <c r="H21" s="207" t="s">
        <v>8379</v>
      </c>
      <c r="I21" s="207" t="s">
        <v>8379</v>
      </c>
      <c r="J21" s="229" t="s">
        <v>8374</v>
      </c>
      <c r="K21" s="207" t="s">
        <v>8379</v>
      </c>
      <c r="L21" s="295" t="s">
        <v>8379</v>
      </c>
      <c r="M21" s="207" t="s">
        <v>8379</v>
      </c>
      <c r="N21" s="207" t="s">
        <v>8379</v>
      </c>
      <c r="O21" s="228" t="s">
        <v>8379</v>
      </c>
      <c r="P21" s="207" t="s">
        <v>8379</v>
      </c>
      <c r="Q21" s="207" t="s">
        <v>8379</v>
      </c>
      <c r="R21" s="229" t="s">
        <v>8379</v>
      </c>
      <c r="S21" s="231" t="s">
        <v>8379</v>
      </c>
      <c r="T21" s="230" t="s">
        <v>8379</v>
      </c>
      <c r="U21" s="207" t="s">
        <v>8379</v>
      </c>
      <c r="V21" s="207" t="s">
        <v>8379</v>
      </c>
      <c r="W21" s="206" t="s">
        <v>8379</v>
      </c>
      <c r="X21" s="206" t="s">
        <v>8379</v>
      </c>
      <c r="Y21" s="206" t="s">
        <v>8379</v>
      </c>
    </row>
    <row r="22" spans="1:25">
      <c r="A22" s="208" t="s">
        <v>8145</v>
      </c>
      <c r="B22" s="207" t="s">
        <v>8379</v>
      </c>
      <c r="C22" s="234">
        <v>12</v>
      </c>
      <c r="D22" s="234">
        <v>45</v>
      </c>
      <c r="E22" s="208" t="s">
        <v>265</v>
      </c>
      <c r="F22" s="207" t="s">
        <v>8238</v>
      </c>
      <c r="G22" s="207" t="s">
        <v>8379</v>
      </c>
      <c r="H22" s="207" t="s">
        <v>8379</v>
      </c>
      <c r="I22" s="207" t="s">
        <v>8379</v>
      </c>
      <c r="J22" s="229" t="s">
        <v>8374</v>
      </c>
      <c r="K22" s="207" t="s">
        <v>8379</v>
      </c>
      <c r="L22" s="295" t="s">
        <v>8379</v>
      </c>
      <c r="M22" s="207" t="s">
        <v>8379</v>
      </c>
      <c r="N22" s="207" t="s">
        <v>8379</v>
      </c>
      <c r="O22" s="228" t="s">
        <v>8379</v>
      </c>
      <c r="P22" s="207" t="s">
        <v>8379</v>
      </c>
      <c r="Q22" s="207" t="s">
        <v>8379</v>
      </c>
      <c r="R22" s="229" t="s">
        <v>8379</v>
      </c>
      <c r="S22" s="231" t="s">
        <v>8379</v>
      </c>
      <c r="T22" s="230" t="s">
        <v>8379</v>
      </c>
      <c r="U22" s="207" t="s">
        <v>8379</v>
      </c>
      <c r="V22" s="207" t="s">
        <v>8379</v>
      </c>
      <c r="W22" s="206" t="s">
        <v>8379</v>
      </c>
      <c r="X22" s="206" t="s">
        <v>8379</v>
      </c>
      <c r="Y22" s="206" t="s">
        <v>8379</v>
      </c>
    </row>
    <row r="23" spans="1:25">
      <c r="A23" s="208" t="s">
        <v>8145</v>
      </c>
      <c r="B23" s="207" t="s">
        <v>8379</v>
      </c>
      <c r="C23" s="234">
        <v>5</v>
      </c>
      <c r="D23" s="234">
        <v>16</v>
      </c>
      <c r="E23" s="208" t="s">
        <v>267</v>
      </c>
      <c r="F23" s="207" t="s">
        <v>8238</v>
      </c>
      <c r="G23" s="207" t="s">
        <v>8379</v>
      </c>
      <c r="H23" s="207" t="s">
        <v>8379</v>
      </c>
      <c r="I23" s="207" t="s">
        <v>8379</v>
      </c>
      <c r="J23" s="229" t="s">
        <v>8374</v>
      </c>
      <c r="K23" s="207" t="s">
        <v>8379</v>
      </c>
      <c r="L23" s="295" t="s">
        <v>8379</v>
      </c>
      <c r="M23" s="207" t="s">
        <v>8379</v>
      </c>
      <c r="N23" s="207" t="s">
        <v>8379</v>
      </c>
      <c r="O23" s="228" t="s">
        <v>8379</v>
      </c>
      <c r="P23" s="207" t="s">
        <v>8379</v>
      </c>
      <c r="Q23" s="207" t="s">
        <v>8379</v>
      </c>
      <c r="R23" s="229" t="s">
        <v>8379</v>
      </c>
      <c r="S23" s="231" t="s">
        <v>8379</v>
      </c>
      <c r="T23" s="230" t="s">
        <v>8379</v>
      </c>
      <c r="U23" s="207" t="s">
        <v>8379</v>
      </c>
      <c r="V23" s="207" t="s">
        <v>8379</v>
      </c>
      <c r="W23" s="206" t="s">
        <v>8379</v>
      </c>
      <c r="X23" s="206" t="s">
        <v>8379</v>
      </c>
      <c r="Y23" s="206" t="s">
        <v>8379</v>
      </c>
    </row>
    <row r="24" spans="1:25">
      <c r="A24" s="208" t="s">
        <v>8145</v>
      </c>
      <c r="B24" s="207" t="s">
        <v>8379</v>
      </c>
      <c r="C24" s="234">
        <v>3</v>
      </c>
      <c r="D24" s="234">
        <v>26</v>
      </c>
      <c r="E24" s="208" t="s">
        <v>267</v>
      </c>
      <c r="F24" s="207" t="s">
        <v>8238</v>
      </c>
      <c r="G24" s="207" t="s">
        <v>8379</v>
      </c>
      <c r="H24" s="207" t="s">
        <v>8379</v>
      </c>
      <c r="I24" s="207" t="s">
        <v>8379</v>
      </c>
      <c r="J24" s="229" t="s">
        <v>8374</v>
      </c>
      <c r="K24" s="207" t="s">
        <v>8379</v>
      </c>
      <c r="L24" s="295" t="s">
        <v>8379</v>
      </c>
      <c r="M24" s="207" t="s">
        <v>8379</v>
      </c>
      <c r="N24" s="207" t="s">
        <v>8379</v>
      </c>
      <c r="O24" s="228" t="s">
        <v>8379</v>
      </c>
      <c r="P24" s="207" t="s">
        <v>8379</v>
      </c>
      <c r="Q24" s="207" t="s">
        <v>8379</v>
      </c>
      <c r="R24" s="229" t="s">
        <v>8379</v>
      </c>
      <c r="S24" s="231" t="s">
        <v>8379</v>
      </c>
      <c r="T24" s="230" t="s">
        <v>8379</v>
      </c>
      <c r="U24" s="207" t="s">
        <v>8379</v>
      </c>
      <c r="V24" s="207" t="s">
        <v>8379</v>
      </c>
      <c r="W24" s="206" t="s">
        <v>8379</v>
      </c>
      <c r="X24" s="206" t="s">
        <v>8379</v>
      </c>
      <c r="Y24" s="206" t="s">
        <v>8379</v>
      </c>
    </row>
    <row r="25" spans="1:25">
      <c r="A25" s="208" t="s">
        <v>8145</v>
      </c>
      <c r="B25" s="207" t="s">
        <v>8379</v>
      </c>
      <c r="C25" s="234">
        <v>11</v>
      </c>
      <c r="D25" s="234">
        <v>53</v>
      </c>
      <c r="E25" s="208" t="s">
        <v>267</v>
      </c>
      <c r="F25" s="207" t="s">
        <v>8238</v>
      </c>
      <c r="G25" s="207" t="s">
        <v>8379</v>
      </c>
      <c r="H25" s="207" t="s">
        <v>8379</v>
      </c>
      <c r="I25" s="207" t="s">
        <v>8379</v>
      </c>
      <c r="J25" s="229" t="s">
        <v>8374</v>
      </c>
      <c r="K25" s="207" t="s">
        <v>8379</v>
      </c>
      <c r="L25" s="295" t="s">
        <v>8379</v>
      </c>
      <c r="M25" s="207" t="s">
        <v>8379</v>
      </c>
      <c r="N25" s="207" t="s">
        <v>8379</v>
      </c>
      <c r="O25" s="228" t="s">
        <v>8379</v>
      </c>
      <c r="P25" s="207" t="s">
        <v>8379</v>
      </c>
      <c r="Q25" s="207" t="s">
        <v>8379</v>
      </c>
      <c r="R25" s="229" t="s">
        <v>8379</v>
      </c>
      <c r="S25" s="231" t="s">
        <v>8379</v>
      </c>
      <c r="T25" s="230" t="s">
        <v>8379</v>
      </c>
      <c r="U25" s="207" t="s">
        <v>8379</v>
      </c>
      <c r="V25" s="207" t="s">
        <v>8379</v>
      </c>
      <c r="W25" s="206" t="s">
        <v>8379</v>
      </c>
      <c r="X25" s="206" t="s">
        <v>8379</v>
      </c>
      <c r="Y25" s="206" t="s">
        <v>8379</v>
      </c>
    </row>
    <row r="26" spans="1:25">
      <c r="A26" s="208" t="s">
        <v>8145</v>
      </c>
      <c r="B26" s="207" t="s">
        <v>8379</v>
      </c>
      <c r="C26" s="234">
        <v>7</v>
      </c>
      <c r="D26" s="234">
        <v>68</v>
      </c>
      <c r="E26" s="208" t="s">
        <v>267</v>
      </c>
      <c r="F26" s="207" t="s">
        <v>8238</v>
      </c>
      <c r="G26" s="207" t="s">
        <v>8379</v>
      </c>
      <c r="H26" s="207" t="s">
        <v>8379</v>
      </c>
      <c r="I26" s="207" t="s">
        <v>8379</v>
      </c>
      <c r="J26" s="229" t="s">
        <v>8374</v>
      </c>
      <c r="K26" s="207" t="s">
        <v>8379</v>
      </c>
      <c r="L26" s="295" t="s">
        <v>8379</v>
      </c>
      <c r="M26" s="207" t="s">
        <v>8379</v>
      </c>
      <c r="N26" s="207" t="s">
        <v>8379</v>
      </c>
      <c r="O26" s="228" t="s">
        <v>8379</v>
      </c>
      <c r="P26" s="207" t="s">
        <v>8379</v>
      </c>
      <c r="Q26" s="207" t="s">
        <v>8379</v>
      </c>
      <c r="R26" s="229" t="s">
        <v>8379</v>
      </c>
      <c r="S26" s="231" t="s">
        <v>8379</v>
      </c>
      <c r="T26" s="230" t="s">
        <v>8379</v>
      </c>
      <c r="U26" s="207" t="s">
        <v>8379</v>
      </c>
      <c r="V26" s="207" t="s">
        <v>8379</v>
      </c>
      <c r="W26" s="206" t="s">
        <v>8379</v>
      </c>
      <c r="X26" s="206" t="s">
        <v>8379</v>
      </c>
      <c r="Y26" s="206" t="s">
        <v>8379</v>
      </c>
    </row>
    <row r="27" spans="1:25">
      <c r="P27" s="205"/>
      <c r="Q27" s="205"/>
    </row>
    <row r="28" spans="1:25">
      <c r="A28" s="204" t="s">
        <v>8144</v>
      </c>
      <c r="P28" s="205"/>
      <c r="Q28" s="205"/>
    </row>
    <row r="29" spans="1:25">
      <c r="A29" s="203" t="s">
        <v>8143</v>
      </c>
      <c r="L29" s="331" t="s">
        <v>8180</v>
      </c>
      <c r="M29" s="331"/>
      <c r="N29" s="331"/>
      <c r="O29" s="331"/>
      <c r="P29" s="205"/>
      <c r="Q29" s="205"/>
    </row>
    <row r="30" spans="1:25">
      <c r="A30" s="203" t="s">
        <v>8142</v>
      </c>
      <c r="L30" s="331"/>
      <c r="M30" s="331"/>
      <c r="N30" s="331"/>
      <c r="O30" s="331"/>
    </row>
    <row r="31" spans="1:25">
      <c r="A31" s="203" t="s">
        <v>8141</v>
      </c>
    </row>
    <row r="32" spans="1:25">
      <c r="A32" s="204" t="s">
        <v>8140</v>
      </c>
      <c r="P32" s="205"/>
      <c r="Q32" s="205"/>
    </row>
    <row r="33" spans="1:17">
      <c r="A33" s="204" t="s">
        <v>8139</v>
      </c>
      <c r="P33" s="205"/>
      <c r="Q33" s="205"/>
    </row>
    <row r="34" spans="1:17">
      <c r="A34" s="204" t="s">
        <v>8138</v>
      </c>
      <c r="N34" s="202" t="s">
        <v>8395</v>
      </c>
    </row>
    <row r="35" spans="1:17">
      <c r="A35" s="203" t="s">
        <v>8137</v>
      </c>
    </row>
    <row r="36" spans="1:17">
      <c r="A36" s="203" t="s">
        <v>8136</v>
      </c>
    </row>
    <row r="37" spans="1:17">
      <c r="A37" s="203" t="s">
        <v>8135</v>
      </c>
    </row>
    <row r="38" spans="1:17">
      <c r="A38" s="203" t="s">
        <v>8134</v>
      </c>
    </row>
    <row r="40" spans="1:17">
      <c r="A40" s="202" t="s">
        <v>8173</v>
      </c>
    </row>
  </sheetData>
  <sheetProtection selectLockedCells="1" selectUnlockedCells="1"/>
  <mergeCells count="29">
    <mergeCell ref="H1:J1"/>
    <mergeCell ref="K1:R1"/>
    <mergeCell ref="S1:T1"/>
    <mergeCell ref="U1:W1"/>
    <mergeCell ref="M3:N3"/>
    <mergeCell ref="P3:Q3"/>
    <mergeCell ref="U3:V3"/>
    <mergeCell ref="M4:N4"/>
    <mergeCell ref="P4:Q4"/>
    <mergeCell ref="U4:V4"/>
    <mergeCell ref="M5:N5"/>
    <mergeCell ref="P5:Q5"/>
    <mergeCell ref="U5:V5"/>
    <mergeCell ref="M6:N6"/>
    <mergeCell ref="P6:Q6"/>
    <mergeCell ref="U6:V6"/>
    <mergeCell ref="M7:N7"/>
    <mergeCell ref="P7:Q7"/>
    <mergeCell ref="U7:V7"/>
    <mergeCell ref="M10:N10"/>
    <mergeCell ref="P10:Q10"/>
    <mergeCell ref="U10:V10"/>
    <mergeCell ref="L29:O30"/>
    <mergeCell ref="M8:N8"/>
    <mergeCell ref="P8:Q8"/>
    <mergeCell ref="U8:V8"/>
    <mergeCell ref="M9:N9"/>
    <mergeCell ref="P9:Q9"/>
    <mergeCell ref="U9:V9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17"/>
  <sheetViews>
    <sheetView zoomScaleNormal="100" workbookViewId="0">
      <selection activeCell="G22" sqref="G22"/>
    </sheetView>
  </sheetViews>
  <sheetFormatPr baseColWidth="10" defaultRowHeight="12"/>
  <cols>
    <col min="1" max="16384" width="11.42578125" style="193"/>
  </cols>
  <sheetData>
    <row r="1" spans="1:149" ht="15">
      <c r="B1" s="271" t="s">
        <v>8367</v>
      </c>
      <c r="C1" s="266">
        <v>1</v>
      </c>
      <c r="D1" s="266">
        <v>2</v>
      </c>
      <c r="E1" s="266">
        <v>3</v>
      </c>
      <c r="F1" s="266">
        <v>4</v>
      </c>
      <c r="G1" s="266">
        <v>5</v>
      </c>
      <c r="H1" s="266">
        <v>6</v>
      </c>
      <c r="I1" s="266">
        <v>7</v>
      </c>
      <c r="J1" s="266">
        <v>8</v>
      </c>
      <c r="K1" s="266">
        <v>9</v>
      </c>
      <c r="L1" s="266">
        <v>10</v>
      </c>
      <c r="M1" s="266">
        <v>11</v>
      </c>
      <c r="N1" s="266">
        <v>12</v>
      </c>
      <c r="O1" s="266">
        <v>13</v>
      </c>
      <c r="P1" s="266">
        <v>14</v>
      </c>
      <c r="Q1" s="266">
        <v>15</v>
      </c>
      <c r="R1" s="266">
        <v>16</v>
      </c>
      <c r="S1" s="266">
        <v>17</v>
      </c>
      <c r="T1" s="266">
        <v>18</v>
      </c>
      <c r="U1" s="266">
        <v>19</v>
      </c>
      <c r="V1" s="266">
        <v>20</v>
      </c>
      <c r="W1" s="266">
        <v>21</v>
      </c>
      <c r="X1" s="266">
        <v>22</v>
      </c>
      <c r="Y1" s="266">
        <v>23</v>
      </c>
      <c r="Z1" s="266">
        <v>24</v>
      </c>
      <c r="AA1" s="266">
        <v>25</v>
      </c>
      <c r="AB1" s="266">
        <v>26</v>
      </c>
      <c r="AC1" s="266">
        <v>27</v>
      </c>
      <c r="AD1" s="266">
        <v>28</v>
      </c>
      <c r="AE1" s="266">
        <v>29</v>
      </c>
      <c r="AF1" s="266">
        <v>30</v>
      </c>
      <c r="AG1" s="266">
        <v>31</v>
      </c>
      <c r="AH1" s="266">
        <v>32</v>
      </c>
      <c r="AI1" s="266">
        <v>33</v>
      </c>
      <c r="AJ1" s="266">
        <v>34</v>
      </c>
      <c r="AK1" s="266">
        <v>35</v>
      </c>
      <c r="AL1" s="266">
        <v>36</v>
      </c>
      <c r="AM1" s="266">
        <v>37</v>
      </c>
      <c r="AN1" s="266">
        <v>38</v>
      </c>
      <c r="AO1" s="266">
        <v>39</v>
      </c>
      <c r="AP1" s="266">
        <v>40</v>
      </c>
      <c r="AQ1" s="266">
        <v>41</v>
      </c>
      <c r="AR1" s="266">
        <v>42</v>
      </c>
      <c r="AS1" s="266">
        <v>43</v>
      </c>
      <c r="AT1" s="266">
        <v>44</v>
      </c>
      <c r="AU1" s="266">
        <v>45</v>
      </c>
      <c r="AV1" s="266">
        <v>46</v>
      </c>
      <c r="AW1" s="266">
        <v>47</v>
      </c>
      <c r="AX1" s="266">
        <v>48</v>
      </c>
      <c r="AY1" s="266">
        <v>49</v>
      </c>
      <c r="AZ1" s="266">
        <v>50</v>
      </c>
      <c r="BA1" s="266">
        <v>51</v>
      </c>
      <c r="BB1" s="266">
        <v>52</v>
      </c>
      <c r="BC1" s="266">
        <v>53</v>
      </c>
      <c r="BD1" s="266">
        <v>54</v>
      </c>
      <c r="BE1" s="266">
        <v>55</v>
      </c>
      <c r="BF1" s="266">
        <v>56</v>
      </c>
      <c r="BG1" s="266">
        <v>57</v>
      </c>
      <c r="BH1" s="266">
        <v>58</v>
      </c>
      <c r="BI1" s="266">
        <v>59</v>
      </c>
      <c r="BJ1" s="266">
        <v>60</v>
      </c>
      <c r="BK1" s="266">
        <v>61</v>
      </c>
      <c r="BL1" s="266">
        <v>62</v>
      </c>
      <c r="BM1" s="266">
        <v>63</v>
      </c>
      <c r="BN1" s="266">
        <v>64</v>
      </c>
      <c r="BO1" s="266">
        <v>65</v>
      </c>
      <c r="BP1" s="266">
        <v>66</v>
      </c>
      <c r="BQ1" s="266">
        <v>67</v>
      </c>
      <c r="BR1" s="266">
        <v>68</v>
      </c>
      <c r="BS1" s="266">
        <v>69</v>
      </c>
      <c r="BT1" s="266">
        <v>70</v>
      </c>
      <c r="BU1" s="266">
        <v>71</v>
      </c>
      <c r="BV1" s="266">
        <v>72</v>
      </c>
      <c r="BW1" s="266">
        <v>73</v>
      </c>
      <c r="BX1" s="272" t="s">
        <v>8370</v>
      </c>
      <c r="BY1" s="268">
        <v>2</v>
      </c>
      <c r="BZ1" s="268">
        <v>3</v>
      </c>
      <c r="CA1" s="268">
        <v>4</v>
      </c>
      <c r="CB1" s="268">
        <v>5</v>
      </c>
      <c r="CC1" s="268">
        <v>6</v>
      </c>
      <c r="CD1" s="268">
        <v>7</v>
      </c>
      <c r="CE1" s="268">
        <v>8</v>
      </c>
      <c r="CF1" s="268">
        <v>9</v>
      </c>
      <c r="CG1" s="268">
        <v>10</v>
      </c>
      <c r="CH1" s="268">
        <v>11</v>
      </c>
      <c r="CI1" s="268">
        <v>12</v>
      </c>
      <c r="CJ1" s="268">
        <v>13</v>
      </c>
      <c r="CK1" s="268">
        <v>14</v>
      </c>
      <c r="CL1" s="268">
        <v>15</v>
      </c>
      <c r="CM1" s="268">
        <v>16</v>
      </c>
      <c r="CN1" s="268">
        <v>17</v>
      </c>
      <c r="CO1" s="268">
        <v>18</v>
      </c>
      <c r="CP1" s="268">
        <v>19</v>
      </c>
      <c r="CQ1" s="268">
        <v>20</v>
      </c>
      <c r="CR1" s="268">
        <v>21</v>
      </c>
      <c r="CS1" s="268">
        <v>22</v>
      </c>
      <c r="CT1" s="268">
        <v>23</v>
      </c>
      <c r="CU1" s="268">
        <v>24</v>
      </c>
      <c r="CV1" s="268">
        <v>25</v>
      </c>
      <c r="CW1" s="268">
        <v>26</v>
      </c>
      <c r="CX1" s="268">
        <v>27</v>
      </c>
      <c r="CY1" s="268">
        <v>28</v>
      </c>
      <c r="CZ1" s="268">
        <v>29</v>
      </c>
      <c r="DA1" s="268">
        <v>30</v>
      </c>
      <c r="DB1" s="268">
        <v>31</v>
      </c>
      <c r="DC1" s="268">
        <v>32</v>
      </c>
      <c r="DD1" s="268">
        <v>33</v>
      </c>
      <c r="DE1" s="268">
        <v>34</v>
      </c>
      <c r="DF1" s="268">
        <v>35</v>
      </c>
      <c r="DG1" s="268">
        <v>36</v>
      </c>
      <c r="DH1" s="268">
        <v>37</v>
      </c>
      <c r="DI1" s="268">
        <v>38</v>
      </c>
      <c r="DJ1" s="268">
        <v>39</v>
      </c>
      <c r="DK1" s="268">
        <v>40</v>
      </c>
      <c r="DL1" s="268">
        <v>41</v>
      </c>
      <c r="DM1" s="268">
        <v>42</v>
      </c>
      <c r="DN1" s="268">
        <v>43</v>
      </c>
      <c r="DO1" s="268">
        <v>44</v>
      </c>
      <c r="DP1" s="268">
        <v>45</v>
      </c>
      <c r="DQ1" s="268">
        <v>46</v>
      </c>
      <c r="DR1" s="268">
        <v>47</v>
      </c>
      <c r="DS1" s="268">
        <v>48</v>
      </c>
      <c r="DT1" s="268">
        <v>49</v>
      </c>
      <c r="DU1" s="268">
        <v>50</v>
      </c>
      <c r="DV1" s="268">
        <v>51</v>
      </c>
      <c r="DW1" s="268">
        <v>52</v>
      </c>
      <c r="DX1" s="268">
        <v>53</v>
      </c>
      <c r="DY1" s="268">
        <v>54</v>
      </c>
      <c r="DZ1" s="268">
        <v>55</v>
      </c>
      <c r="EA1" s="268">
        <v>56</v>
      </c>
      <c r="EB1" s="268">
        <v>57</v>
      </c>
      <c r="EC1" s="268">
        <v>58</v>
      </c>
      <c r="ED1" s="268">
        <v>59</v>
      </c>
      <c r="EE1" s="268">
        <v>60</v>
      </c>
      <c r="EF1" s="268">
        <v>61</v>
      </c>
      <c r="EG1" s="268">
        <v>62</v>
      </c>
      <c r="EH1" s="268">
        <v>63</v>
      </c>
      <c r="EI1" s="268">
        <v>64</v>
      </c>
      <c r="EJ1" s="268">
        <v>65</v>
      </c>
      <c r="EK1" s="268">
        <v>66</v>
      </c>
      <c r="EL1" s="268">
        <v>67</v>
      </c>
      <c r="EM1" s="268">
        <v>68</v>
      </c>
      <c r="EN1" s="268">
        <v>69</v>
      </c>
      <c r="EO1" s="268">
        <v>70</v>
      </c>
      <c r="EP1" s="268">
        <v>71</v>
      </c>
      <c r="EQ1" s="268">
        <v>72</v>
      </c>
      <c r="ER1" s="268">
        <v>73</v>
      </c>
      <c r="ES1" s="272" t="s">
        <v>8370</v>
      </c>
    </row>
    <row r="2" spans="1:149" ht="15">
      <c r="B2" s="266">
        <v>12</v>
      </c>
      <c r="C2" s="269"/>
      <c r="D2" t="s">
        <v>7611</v>
      </c>
      <c r="E2" t="s">
        <v>7740</v>
      </c>
      <c r="F2" t="s">
        <v>7633</v>
      </c>
      <c r="G2" t="s">
        <v>7756</v>
      </c>
      <c r="H2" s="269"/>
      <c r="I2" t="s">
        <v>7723</v>
      </c>
      <c r="J2" t="s">
        <v>7689</v>
      </c>
      <c r="K2" t="s">
        <v>8337</v>
      </c>
      <c r="L2" t="s">
        <v>7604</v>
      </c>
      <c r="M2" t="s">
        <v>8330</v>
      </c>
      <c r="N2" t="s">
        <v>7644</v>
      </c>
      <c r="O2" t="s">
        <v>7716</v>
      </c>
      <c r="P2" t="s">
        <v>8283</v>
      </c>
      <c r="Q2" t="s">
        <v>7780</v>
      </c>
      <c r="R2" t="s">
        <v>7636</v>
      </c>
      <c r="S2" t="s">
        <v>7721</v>
      </c>
      <c r="T2" t="s">
        <v>7670</v>
      </c>
      <c r="U2" t="s">
        <v>8285</v>
      </c>
      <c r="V2" t="s">
        <v>7806</v>
      </c>
      <c r="W2" t="s">
        <v>7686</v>
      </c>
      <c r="X2" t="s">
        <v>8344</v>
      </c>
      <c r="Y2" t="s">
        <v>8345</v>
      </c>
      <c r="Z2" t="s">
        <v>8336</v>
      </c>
      <c r="AA2" t="s">
        <v>7769</v>
      </c>
      <c r="AB2" t="s">
        <v>7664</v>
      </c>
      <c r="AC2" s="269"/>
      <c r="AD2" s="269"/>
      <c r="AE2" t="s">
        <v>7738</v>
      </c>
      <c r="AF2" t="s">
        <v>7728</v>
      </c>
      <c r="AG2" t="s">
        <v>7643</v>
      </c>
      <c r="AH2" t="s">
        <v>8289</v>
      </c>
      <c r="AI2" t="s">
        <v>8281</v>
      </c>
      <c r="AJ2" t="s">
        <v>8290</v>
      </c>
      <c r="AK2" t="s">
        <v>7779</v>
      </c>
      <c r="AL2" t="s">
        <v>7705</v>
      </c>
      <c r="AM2" t="s">
        <v>8237</v>
      </c>
      <c r="AN2" t="s">
        <v>8235</v>
      </c>
      <c r="AO2" t="s">
        <v>7763</v>
      </c>
      <c r="AP2" t="s">
        <v>8351</v>
      </c>
      <c r="AQ2" t="s">
        <v>7777</v>
      </c>
      <c r="AR2" t="s">
        <v>8258</v>
      </c>
      <c r="AS2" t="s">
        <v>8257</v>
      </c>
      <c r="AT2" t="s">
        <v>8322</v>
      </c>
      <c r="AU2" t="s">
        <v>8238</v>
      </c>
      <c r="AV2" t="s">
        <v>7657</v>
      </c>
      <c r="AW2" t="s">
        <v>8298</v>
      </c>
      <c r="AX2" t="s">
        <v>8209</v>
      </c>
      <c r="AY2" s="269"/>
      <c r="AZ2" s="269"/>
      <c r="BA2" t="s">
        <v>8365</v>
      </c>
      <c r="BB2" t="s">
        <v>7725</v>
      </c>
      <c r="BC2" t="s">
        <v>7772</v>
      </c>
      <c r="BD2" t="s">
        <v>7700</v>
      </c>
      <c r="BE2" t="s">
        <v>7680</v>
      </c>
      <c r="BF2" t="s">
        <v>7658</v>
      </c>
      <c r="BG2" t="s">
        <v>8204</v>
      </c>
      <c r="BH2" t="s">
        <v>8315</v>
      </c>
      <c r="BI2" t="s">
        <v>8256</v>
      </c>
      <c r="BJ2" t="s">
        <v>7709</v>
      </c>
      <c r="BK2" t="s">
        <v>7637</v>
      </c>
      <c r="BL2" t="s">
        <v>7761</v>
      </c>
      <c r="BM2" t="s">
        <v>8251</v>
      </c>
      <c r="BN2" t="s">
        <v>8354</v>
      </c>
      <c r="BO2" t="s">
        <v>8253</v>
      </c>
      <c r="BP2" t="s">
        <v>8249</v>
      </c>
      <c r="BQ2" t="s">
        <v>8203</v>
      </c>
      <c r="BR2" t="s">
        <v>8245</v>
      </c>
      <c r="BS2" t="s">
        <v>7748</v>
      </c>
      <c r="BT2" t="s">
        <v>7800</v>
      </c>
      <c r="BU2" s="269"/>
      <c r="BV2" s="269"/>
      <c r="BW2" s="269"/>
      <c r="BX2" s="269"/>
      <c r="BY2" s="269"/>
      <c r="BZ2" s="269"/>
      <c r="CA2" t="s">
        <v>7605</v>
      </c>
      <c r="CB2" t="s">
        <v>7611</v>
      </c>
      <c r="CC2" t="s">
        <v>7742</v>
      </c>
      <c r="CD2" t="s">
        <v>7744</v>
      </c>
      <c r="CE2" s="269"/>
      <c r="CF2" t="s">
        <v>8280</v>
      </c>
      <c r="CG2" t="s">
        <v>7625</v>
      </c>
      <c r="CH2" t="s">
        <v>8337</v>
      </c>
      <c r="CI2" t="s">
        <v>7784</v>
      </c>
      <c r="CJ2" t="s">
        <v>7640</v>
      </c>
      <c r="CK2" t="s">
        <v>8266</v>
      </c>
      <c r="CL2" t="s">
        <v>7653</v>
      </c>
      <c r="CM2" t="s">
        <v>8259</v>
      </c>
      <c r="CN2" t="s">
        <v>7679</v>
      </c>
      <c r="CO2" t="s">
        <v>7708</v>
      </c>
      <c r="CP2" t="s">
        <v>7699</v>
      </c>
      <c r="CQ2" t="s">
        <v>7688</v>
      </c>
      <c r="CR2" t="s">
        <v>8355</v>
      </c>
      <c r="CS2" t="s">
        <v>7803</v>
      </c>
      <c r="CT2" t="s">
        <v>8325</v>
      </c>
      <c r="CU2" t="s">
        <v>8312</v>
      </c>
      <c r="CV2" t="s">
        <v>8223</v>
      </c>
      <c r="CW2" t="s">
        <v>7675</v>
      </c>
      <c r="CX2" t="s">
        <v>7786</v>
      </c>
      <c r="CY2" t="s">
        <v>7610</v>
      </c>
      <c r="CZ2" s="269"/>
      <c r="DA2" s="269"/>
      <c r="DB2" t="s">
        <v>7627</v>
      </c>
      <c r="DC2" t="s">
        <v>7606</v>
      </c>
      <c r="DD2" t="s">
        <v>8331</v>
      </c>
      <c r="DE2" t="s">
        <v>7657</v>
      </c>
      <c r="DF2" t="s">
        <v>8288</v>
      </c>
      <c r="DG2" t="s">
        <v>8292</v>
      </c>
      <c r="DH2" t="s">
        <v>7696</v>
      </c>
      <c r="DI2" t="s">
        <v>8204</v>
      </c>
      <c r="DJ2" t="s">
        <v>8229</v>
      </c>
      <c r="DK2" t="s">
        <v>7636</v>
      </c>
      <c r="DL2" t="s">
        <v>7661</v>
      </c>
      <c r="DM2" t="s">
        <v>8297</v>
      </c>
      <c r="DN2" t="s">
        <v>8335</v>
      </c>
      <c r="DO2" t="s">
        <v>7723</v>
      </c>
      <c r="DP2" t="s">
        <v>7778</v>
      </c>
      <c r="DQ2" t="s">
        <v>7771</v>
      </c>
      <c r="DR2" t="s">
        <v>7715</v>
      </c>
      <c r="DS2" t="s">
        <v>7793</v>
      </c>
      <c r="DT2" t="s">
        <v>7684</v>
      </c>
      <c r="DU2" t="s">
        <v>8225</v>
      </c>
      <c r="DV2" s="269"/>
      <c r="DW2" s="269"/>
      <c r="DX2" t="s">
        <v>7807</v>
      </c>
      <c r="DY2" t="s">
        <v>8338</v>
      </c>
      <c r="DZ2" t="s">
        <v>7763</v>
      </c>
      <c r="EA2" t="s">
        <v>7660</v>
      </c>
      <c r="EB2" t="s">
        <v>8327</v>
      </c>
      <c r="EC2" t="s">
        <v>8308</v>
      </c>
      <c r="ED2" t="s">
        <v>8239</v>
      </c>
      <c r="EE2" t="s">
        <v>8320</v>
      </c>
      <c r="EF2" t="s">
        <v>8345</v>
      </c>
      <c r="EG2" t="s">
        <v>8319</v>
      </c>
      <c r="EH2" t="s">
        <v>7668</v>
      </c>
      <c r="EI2" t="s">
        <v>7664</v>
      </c>
      <c r="EJ2" t="s">
        <v>7777</v>
      </c>
      <c r="EK2" t="s">
        <v>7701</v>
      </c>
      <c r="EL2" t="s">
        <v>8272</v>
      </c>
      <c r="EM2" t="s">
        <v>7691</v>
      </c>
      <c r="EN2" t="s">
        <v>8332</v>
      </c>
      <c r="EO2" t="s">
        <v>8300</v>
      </c>
      <c r="EP2" t="s">
        <v>8357</v>
      </c>
      <c r="EQ2" t="s">
        <v>8256</v>
      </c>
      <c r="ER2" s="269"/>
      <c r="ES2" s="268">
        <v>12</v>
      </c>
    </row>
    <row r="3" spans="1:149" ht="15">
      <c r="B3" s="266">
        <v>11</v>
      </c>
      <c r="C3" s="269"/>
      <c r="D3" t="s">
        <v>7612</v>
      </c>
      <c r="E3" t="s">
        <v>7646</v>
      </c>
      <c r="F3" t="s">
        <v>7750</v>
      </c>
      <c r="G3" t="s">
        <v>7645</v>
      </c>
      <c r="H3" s="269"/>
      <c r="I3" t="s">
        <v>8296</v>
      </c>
      <c r="J3" t="s">
        <v>8268</v>
      </c>
      <c r="K3" t="s">
        <v>7765</v>
      </c>
      <c r="L3" t="s">
        <v>7786</v>
      </c>
      <c r="M3" t="s">
        <v>8269</v>
      </c>
      <c r="N3" t="s">
        <v>7762</v>
      </c>
      <c r="O3" t="s">
        <v>7663</v>
      </c>
      <c r="P3" t="s">
        <v>7682</v>
      </c>
      <c r="Q3" t="s">
        <v>8225</v>
      </c>
      <c r="R3" t="s">
        <v>7702</v>
      </c>
      <c r="S3" t="s">
        <v>8220</v>
      </c>
      <c r="T3" t="s">
        <v>7850</v>
      </c>
      <c r="U3" t="s">
        <v>8331</v>
      </c>
      <c r="V3" t="s">
        <v>7635</v>
      </c>
      <c r="W3" t="s">
        <v>8232</v>
      </c>
      <c r="X3" t="s">
        <v>8212</v>
      </c>
      <c r="Y3" t="s">
        <v>7776</v>
      </c>
      <c r="Z3" t="s">
        <v>7784</v>
      </c>
      <c r="AA3" t="s">
        <v>8286</v>
      </c>
      <c r="AB3" t="s">
        <v>7654</v>
      </c>
      <c r="AC3" s="269"/>
      <c r="AD3" s="269"/>
      <c r="AE3" t="s">
        <v>8335</v>
      </c>
      <c r="AF3" t="s">
        <v>8240</v>
      </c>
      <c r="AG3" t="s">
        <v>8288</v>
      </c>
      <c r="AH3" t="s">
        <v>7615</v>
      </c>
      <c r="AI3" t="s">
        <v>7773</v>
      </c>
      <c r="AJ3" t="s">
        <v>8329</v>
      </c>
      <c r="AK3" t="s">
        <v>7669</v>
      </c>
      <c r="AL3" t="s">
        <v>8239</v>
      </c>
      <c r="AM3" t="s">
        <v>7681</v>
      </c>
      <c r="AN3" t="s">
        <v>7662</v>
      </c>
      <c r="AO3" t="s">
        <v>7766</v>
      </c>
      <c r="AP3" t="s">
        <v>8200</v>
      </c>
      <c r="AQ3" t="s">
        <v>7712</v>
      </c>
      <c r="AR3" t="s">
        <v>7661</v>
      </c>
      <c r="AS3" t="s">
        <v>8355</v>
      </c>
      <c r="AT3" t="s">
        <v>7696</v>
      </c>
      <c r="AU3" t="s">
        <v>8357</v>
      </c>
      <c r="AV3" t="s">
        <v>7774</v>
      </c>
      <c r="AW3" t="s">
        <v>8321</v>
      </c>
      <c r="AX3" t="s">
        <v>8314</v>
      </c>
      <c r="AY3" s="269"/>
      <c r="AZ3" s="269"/>
      <c r="BA3" t="s">
        <v>7743</v>
      </c>
      <c r="BB3" t="s">
        <v>7805</v>
      </c>
      <c r="BC3" t="s">
        <v>8195</v>
      </c>
      <c r="BD3" t="s">
        <v>8193</v>
      </c>
      <c r="BE3" t="s">
        <v>8362</v>
      </c>
      <c r="BF3" t="s">
        <v>8264</v>
      </c>
      <c r="BG3" t="s">
        <v>7718</v>
      </c>
      <c r="BH3" t="s">
        <v>8241</v>
      </c>
      <c r="BI3" t="s">
        <v>7627</v>
      </c>
      <c r="BJ3" t="s">
        <v>7797</v>
      </c>
      <c r="BK3" t="s">
        <v>7648</v>
      </c>
      <c r="BL3" t="s">
        <v>8307</v>
      </c>
      <c r="BM3" t="s">
        <v>7616</v>
      </c>
      <c r="BN3" t="s">
        <v>7719</v>
      </c>
      <c r="BO3" t="s">
        <v>8353</v>
      </c>
      <c r="BP3" t="s">
        <v>7783</v>
      </c>
      <c r="BQ3" t="s">
        <v>8255</v>
      </c>
      <c r="BR3" t="s">
        <v>8261</v>
      </c>
      <c r="BS3" t="s">
        <v>8194</v>
      </c>
      <c r="BT3" t="s">
        <v>7758</v>
      </c>
      <c r="BU3" s="269"/>
      <c r="BV3" s="269"/>
      <c r="BW3" s="269"/>
      <c r="BX3" s="269"/>
      <c r="BY3" s="269"/>
      <c r="BZ3" s="269"/>
      <c r="CA3" t="s">
        <v>7747</v>
      </c>
      <c r="CB3" t="s">
        <v>7756</v>
      </c>
      <c r="CC3" t="s">
        <v>7607</v>
      </c>
      <c r="CD3" t="s">
        <v>7629</v>
      </c>
      <c r="CE3" s="269"/>
      <c r="CF3" t="s">
        <v>8350</v>
      </c>
      <c r="CG3" t="s">
        <v>7770</v>
      </c>
      <c r="CH3" t="s">
        <v>7690</v>
      </c>
      <c r="CI3" t="s">
        <v>7739</v>
      </c>
      <c r="CJ3" t="s">
        <v>7681</v>
      </c>
      <c r="CK3" t="s">
        <v>8243</v>
      </c>
      <c r="CL3" t="s">
        <v>8203</v>
      </c>
      <c r="CM3" t="s">
        <v>7795</v>
      </c>
      <c r="CN3" t="s">
        <v>8208</v>
      </c>
      <c r="CO3" t="s">
        <v>8286</v>
      </c>
      <c r="CP3" t="s">
        <v>7850</v>
      </c>
      <c r="CQ3" t="s">
        <v>8261</v>
      </c>
      <c r="CR3" t="s">
        <v>8200</v>
      </c>
      <c r="CS3" t="s">
        <v>8344</v>
      </c>
      <c r="CT3" t="s">
        <v>8226</v>
      </c>
      <c r="CU3" t="s">
        <v>7772</v>
      </c>
      <c r="CV3" t="s">
        <v>8258</v>
      </c>
      <c r="CW3" t="s">
        <v>7752</v>
      </c>
      <c r="CX3" t="s">
        <v>7626</v>
      </c>
      <c r="CY3" t="s">
        <v>8311</v>
      </c>
      <c r="CZ3" s="269"/>
      <c r="DA3" s="269"/>
      <c r="DB3" t="s">
        <v>7608</v>
      </c>
      <c r="DC3" t="s">
        <v>8291</v>
      </c>
      <c r="DD3" t="s">
        <v>7683</v>
      </c>
      <c r="DE3" t="s">
        <v>8241</v>
      </c>
      <c r="DF3" t="s">
        <v>8295</v>
      </c>
      <c r="DG3" t="s">
        <v>7768</v>
      </c>
      <c r="DH3" t="s">
        <v>7792</v>
      </c>
      <c r="DI3" t="s">
        <v>8341</v>
      </c>
      <c r="DJ3" t="s">
        <v>8260</v>
      </c>
      <c r="DK3" t="s">
        <v>7666</v>
      </c>
      <c r="DL3" t="s">
        <v>7621</v>
      </c>
      <c r="DM3" t="s">
        <v>7682</v>
      </c>
      <c r="DN3" t="s">
        <v>8323</v>
      </c>
      <c r="DO3" t="s">
        <v>7642</v>
      </c>
      <c r="DP3" t="s">
        <v>7721</v>
      </c>
      <c r="DQ3" t="s">
        <v>7614</v>
      </c>
      <c r="DR3" t="s">
        <v>7748</v>
      </c>
      <c r="DS3" t="s">
        <v>7694</v>
      </c>
      <c r="DT3" t="s">
        <v>7705</v>
      </c>
      <c r="DU3" t="s">
        <v>7654</v>
      </c>
      <c r="DV3" s="269"/>
      <c r="DW3" s="269"/>
      <c r="DX3" t="s">
        <v>8238</v>
      </c>
      <c r="DY3" t="s">
        <v>7659</v>
      </c>
      <c r="DZ3" t="s">
        <v>8246</v>
      </c>
      <c r="EA3" t="s">
        <v>8333</v>
      </c>
      <c r="EB3" t="s">
        <v>8334</v>
      </c>
      <c r="EC3" t="s">
        <v>7707</v>
      </c>
      <c r="ED3" t="s">
        <v>8351</v>
      </c>
      <c r="EE3" t="s">
        <v>8324</v>
      </c>
      <c r="EF3" t="s">
        <v>8365</v>
      </c>
      <c r="EG3" t="s">
        <v>7669</v>
      </c>
      <c r="EH3" t="s">
        <v>7702</v>
      </c>
      <c r="EI3" t="s">
        <v>7801</v>
      </c>
      <c r="EJ3" t="s">
        <v>8366</v>
      </c>
      <c r="EK3" t="s">
        <v>8194</v>
      </c>
      <c r="EL3" t="s">
        <v>8287</v>
      </c>
      <c r="EM3" t="s">
        <v>7698</v>
      </c>
      <c r="EN3" t="s">
        <v>7769</v>
      </c>
      <c r="EO3" t="s">
        <v>8363</v>
      </c>
      <c r="EP3" t="s">
        <v>8364</v>
      </c>
      <c r="EQ3" t="s">
        <v>8317</v>
      </c>
      <c r="ER3" s="269"/>
      <c r="ES3" s="268">
        <v>11</v>
      </c>
    </row>
    <row r="4" spans="1:149" ht="15">
      <c r="B4" s="266">
        <v>10</v>
      </c>
      <c r="C4" s="269"/>
      <c r="D4" t="s">
        <v>7747</v>
      </c>
      <c r="E4" t="s">
        <v>8238</v>
      </c>
      <c r="F4" t="s">
        <v>7629</v>
      </c>
      <c r="G4" t="s">
        <v>7749</v>
      </c>
      <c r="H4" s="269"/>
      <c r="I4" t="s">
        <v>8279</v>
      </c>
      <c r="J4" t="s">
        <v>7804</v>
      </c>
      <c r="K4" t="s">
        <v>8273</v>
      </c>
      <c r="L4" t="s">
        <v>8332</v>
      </c>
      <c r="M4" t="s">
        <v>7672</v>
      </c>
      <c r="N4" t="s">
        <v>8277</v>
      </c>
      <c r="O4" t="s">
        <v>7710</v>
      </c>
      <c r="P4" t="s">
        <v>7610</v>
      </c>
      <c r="Q4" t="s">
        <v>8230</v>
      </c>
      <c r="R4" t="s">
        <v>7690</v>
      </c>
      <c r="S4" t="s">
        <v>7694</v>
      </c>
      <c r="T4" t="s">
        <v>8267</v>
      </c>
      <c r="U4" t="s">
        <v>7617</v>
      </c>
      <c r="V4" t="s">
        <v>8236</v>
      </c>
      <c r="W4" t="s">
        <v>8218</v>
      </c>
      <c r="X4" t="s">
        <v>8338</v>
      </c>
      <c r="Y4" t="s">
        <v>8297</v>
      </c>
      <c r="Z4" t="s">
        <v>8226</v>
      </c>
      <c r="AA4" t="s">
        <v>7781</v>
      </c>
      <c r="AB4" t="s">
        <v>7678</v>
      </c>
      <c r="AC4" s="269"/>
      <c r="AD4" s="269"/>
      <c r="AE4" t="s">
        <v>8294</v>
      </c>
      <c r="AF4" t="s">
        <v>7683</v>
      </c>
      <c r="AG4" t="s">
        <v>7673</v>
      </c>
      <c r="AH4" t="s">
        <v>8221</v>
      </c>
      <c r="AI4" t="s">
        <v>8292</v>
      </c>
      <c r="AJ4" t="s">
        <v>8228</v>
      </c>
      <c r="AK4" t="s">
        <v>7685</v>
      </c>
      <c r="AL4" t="s">
        <v>7693</v>
      </c>
      <c r="AM4" t="s">
        <v>8342</v>
      </c>
      <c r="AN4" t="s">
        <v>8214</v>
      </c>
      <c r="AO4" t="s">
        <v>8306</v>
      </c>
      <c r="AP4" t="s">
        <v>7619</v>
      </c>
      <c r="AQ4" t="s">
        <v>7752</v>
      </c>
      <c r="AR4" t="s">
        <v>8198</v>
      </c>
      <c r="AS4" t="s">
        <v>7639</v>
      </c>
      <c r="AT4" t="s">
        <v>7613</v>
      </c>
      <c r="AU4" t="s">
        <v>7790</v>
      </c>
      <c r="AV4" t="s">
        <v>7732</v>
      </c>
      <c r="AW4" t="s">
        <v>8358</v>
      </c>
      <c r="AX4" t="s">
        <v>8302</v>
      </c>
      <c r="AY4" s="269"/>
      <c r="AZ4" s="269"/>
      <c r="BA4" t="s">
        <v>8259</v>
      </c>
      <c r="BB4" t="s">
        <v>8366</v>
      </c>
      <c r="BC4" t="s">
        <v>8309</v>
      </c>
      <c r="BD4" t="s">
        <v>7671</v>
      </c>
      <c r="BE4" t="s">
        <v>7717</v>
      </c>
      <c r="BF4" t="s">
        <v>8210</v>
      </c>
      <c r="BG4" t="s">
        <v>8320</v>
      </c>
      <c r="BH4" t="s">
        <v>7739</v>
      </c>
      <c r="BI4" t="s">
        <v>7659</v>
      </c>
      <c r="BJ4" t="s">
        <v>7606</v>
      </c>
      <c r="BK4" t="s">
        <v>7684</v>
      </c>
      <c r="BL4" t="s">
        <v>7735</v>
      </c>
      <c r="BM4" t="s">
        <v>8360</v>
      </c>
      <c r="BN4" t="s">
        <v>8262</v>
      </c>
      <c r="BO4" t="s">
        <v>8317</v>
      </c>
      <c r="BP4" t="s">
        <v>7754</v>
      </c>
      <c r="BQ4" t="s">
        <v>7755</v>
      </c>
      <c r="BR4" t="s">
        <v>7789</v>
      </c>
      <c r="BS4" t="s">
        <v>8356</v>
      </c>
      <c r="BT4" t="s">
        <v>7720</v>
      </c>
      <c r="BU4" s="269"/>
      <c r="BV4" s="269"/>
      <c r="BW4" s="269"/>
      <c r="BX4" s="269"/>
      <c r="BY4" s="269"/>
      <c r="BZ4" s="269"/>
      <c r="CA4" t="s">
        <v>7632</v>
      </c>
      <c r="CB4" t="s">
        <v>7740</v>
      </c>
      <c r="CC4" t="s">
        <v>7745</v>
      </c>
      <c r="CD4" t="s">
        <v>7645</v>
      </c>
      <c r="CE4" s="269"/>
      <c r="CF4" t="s">
        <v>8253</v>
      </c>
      <c r="CG4" t="s">
        <v>7674</v>
      </c>
      <c r="CH4" t="s">
        <v>7716</v>
      </c>
      <c r="CI4" t="s">
        <v>7656</v>
      </c>
      <c r="CJ4" t="s">
        <v>7624</v>
      </c>
      <c r="CK4" t="s">
        <v>8219</v>
      </c>
      <c r="CL4" t="s">
        <v>7724</v>
      </c>
      <c r="CM4" t="s">
        <v>8326</v>
      </c>
      <c r="CN4" t="s">
        <v>8315</v>
      </c>
      <c r="CO4" t="s">
        <v>8192</v>
      </c>
      <c r="CP4" t="s">
        <v>7617</v>
      </c>
      <c r="CQ4" t="s">
        <v>7635</v>
      </c>
      <c r="CR4" t="s">
        <v>7806</v>
      </c>
      <c r="CS4" t="s">
        <v>8303</v>
      </c>
      <c r="CT4" t="s">
        <v>8346</v>
      </c>
      <c r="CU4" t="s">
        <v>7808</v>
      </c>
      <c r="CV4" t="s">
        <v>7712</v>
      </c>
      <c r="CW4" t="s">
        <v>7689</v>
      </c>
      <c r="CX4" t="s">
        <v>7761</v>
      </c>
      <c r="CY4" t="s">
        <v>8302</v>
      </c>
      <c r="CZ4" s="269"/>
      <c r="DA4" s="269"/>
      <c r="DB4" t="s">
        <v>7609</v>
      </c>
      <c r="DC4" t="s">
        <v>7687</v>
      </c>
      <c r="DD4" t="s">
        <v>7692</v>
      </c>
      <c r="DE4" t="s">
        <v>7700</v>
      </c>
      <c r="DF4" t="s">
        <v>8264</v>
      </c>
      <c r="DG4" t="s">
        <v>7711</v>
      </c>
      <c r="DH4" t="s">
        <v>7719</v>
      </c>
      <c r="DI4" t="s">
        <v>8284</v>
      </c>
      <c r="DJ4" t="s">
        <v>8362</v>
      </c>
      <c r="DK4" t="s">
        <v>8328</v>
      </c>
      <c r="DL4" t="s">
        <v>8254</v>
      </c>
      <c r="DM4" t="s">
        <v>8307</v>
      </c>
      <c r="DN4" t="s">
        <v>7638</v>
      </c>
      <c r="DO4" t="s">
        <v>8267</v>
      </c>
      <c r="DP4" t="s">
        <v>7616</v>
      </c>
      <c r="DQ4" t="s">
        <v>8207</v>
      </c>
      <c r="DR4" t="s">
        <v>8352</v>
      </c>
      <c r="DS4" t="s">
        <v>7800</v>
      </c>
      <c r="DT4" t="s">
        <v>8282</v>
      </c>
      <c r="DU4" t="s">
        <v>8309</v>
      </c>
      <c r="DV4" s="269"/>
      <c r="DW4" s="269"/>
      <c r="DX4" t="s">
        <v>8217</v>
      </c>
      <c r="DY4" t="s">
        <v>7714</v>
      </c>
      <c r="DZ4" t="s">
        <v>8340</v>
      </c>
      <c r="EA4" t="s">
        <v>7641</v>
      </c>
      <c r="EB4" t="s">
        <v>7783</v>
      </c>
      <c r="EC4" t="s">
        <v>8234</v>
      </c>
      <c r="ED4" t="s">
        <v>7727</v>
      </c>
      <c r="EE4" t="s">
        <v>7693</v>
      </c>
      <c r="EF4" t="s">
        <v>8195</v>
      </c>
      <c r="EG4" t="s">
        <v>7647</v>
      </c>
      <c r="EH4" t="s">
        <v>7672</v>
      </c>
      <c r="EI4" t="s">
        <v>8268</v>
      </c>
      <c r="EJ4" t="s">
        <v>8322</v>
      </c>
      <c r="EK4" t="s">
        <v>8228</v>
      </c>
      <c r="EL4" t="s">
        <v>7615</v>
      </c>
      <c r="EM4" t="s">
        <v>8231</v>
      </c>
      <c r="EN4" t="s">
        <v>7728</v>
      </c>
      <c r="EO4" t="s">
        <v>8196</v>
      </c>
      <c r="EP4" t="s">
        <v>8321</v>
      </c>
      <c r="EQ4" t="s">
        <v>7802</v>
      </c>
      <c r="ER4" s="269"/>
      <c r="ES4" s="268">
        <v>10</v>
      </c>
    </row>
    <row r="5" spans="1:149" ht="15">
      <c r="B5" s="266">
        <v>9</v>
      </c>
      <c r="C5" s="269"/>
      <c r="D5" t="s">
        <v>7731</v>
      </c>
      <c r="E5" t="s">
        <v>7607</v>
      </c>
      <c r="F5" t="s">
        <v>7651</v>
      </c>
      <c r="G5" t="s">
        <v>7746</v>
      </c>
      <c r="H5" s="269"/>
      <c r="I5" t="s">
        <v>7641</v>
      </c>
      <c r="J5" t="s">
        <v>8231</v>
      </c>
      <c r="K5" t="s">
        <v>8287</v>
      </c>
      <c r="L5" t="s">
        <v>7792</v>
      </c>
      <c r="M5" t="s">
        <v>7808</v>
      </c>
      <c r="N5" t="s">
        <v>8334</v>
      </c>
      <c r="O5" t="s">
        <v>8213</v>
      </c>
      <c r="P5" t="s">
        <v>7794</v>
      </c>
      <c r="Q5" t="s">
        <v>8265</v>
      </c>
      <c r="R5" t="s">
        <v>8223</v>
      </c>
      <c r="S5" t="s">
        <v>7675</v>
      </c>
      <c r="T5" t="s">
        <v>8328</v>
      </c>
      <c r="U5" t="s">
        <v>8224</v>
      </c>
      <c r="V5" t="s">
        <v>7701</v>
      </c>
      <c r="W5" t="s">
        <v>8266</v>
      </c>
      <c r="X5" t="s">
        <v>7647</v>
      </c>
      <c r="Y5" t="s">
        <v>8238</v>
      </c>
      <c r="Z5" t="s">
        <v>7622</v>
      </c>
      <c r="AA5" t="s">
        <v>7785</v>
      </c>
      <c r="AB5" t="s">
        <v>8293</v>
      </c>
      <c r="AC5" s="269"/>
      <c r="AD5" s="269"/>
      <c r="AE5" t="s">
        <v>7708</v>
      </c>
      <c r="AF5" t="s">
        <v>7692</v>
      </c>
      <c r="AG5" t="s">
        <v>8216</v>
      </c>
      <c r="AH5" t="s">
        <v>8227</v>
      </c>
      <c r="AI5" t="s">
        <v>7677</v>
      </c>
      <c r="AJ5" t="s">
        <v>7733</v>
      </c>
      <c r="AK5" t="s">
        <v>8280</v>
      </c>
      <c r="AL5" t="s">
        <v>8346</v>
      </c>
      <c r="AM5" t="s">
        <v>8215</v>
      </c>
      <c r="AN5" t="s">
        <v>8284</v>
      </c>
      <c r="AO5" t="s">
        <v>8254</v>
      </c>
      <c r="AP5" t="s">
        <v>8325</v>
      </c>
      <c r="AQ5" t="s">
        <v>7798</v>
      </c>
      <c r="AR5" t="s">
        <v>7801</v>
      </c>
      <c r="AS5" t="s">
        <v>8246</v>
      </c>
      <c r="AT5" t="s">
        <v>7656</v>
      </c>
      <c r="AU5" t="s">
        <v>8324</v>
      </c>
      <c r="AV5" t="s">
        <v>8363</v>
      </c>
      <c r="AW5" t="s">
        <v>7753</v>
      </c>
      <c r="AX5" t="s">
        <v>7707</v>
      </c>
      <c r="AY5" s="269"/>
      <c r="AZ5" s="269"/>
      <c r="BA5" t="s">
        <v>7703</v>
      </c>
      <c r="BB5" t="s">
        <v>7730</v>
      </c>
      <c r="BC5" t="s">
        <v>7760</v>
      </c>
      <c r="BD5" t="s">
        <v>8318</v>
      </c>
      <c r="BE5" t="s">
        <v>8299</v>
      </c>
      <c r="BF5" t="s">
        <v>8303</v>
      </c>
      <c r="BG5" t="s">
        <v>8361</v>
      </c>
      <c r="BH5" t="s">
        <v>8308</v>
      </c>
      <c r="BI5" t="s">
        <v>8352</v>
      </c>
      <c r="BJ5" t="s">
        <v>8205</v>
      </c>
      <c r="BK5" t="s">
        <v>7741</v>
      </c>
      <c r="BL5" t="s">
        <v>7771</v>
      </c>
      <c r="BM5" t="s">
        <v>7674</v>
      </c>
      <c r="BN5" t="s">
        <v>8248</v>
      </c>
      <c r="BO5" t="s">
        <v>7726</v>
      </c>
      <c r="BP5" t="s">
        <v>8191</v>
      </c>
      <c r="BQ5" t="s">
        <v>7791</v>
      </c>
      <c r="BR5" t="s">
        <v>8310</v>
      </c>
      <c r="BS5" t="s">
        <v>7653</v>
      </c>
      <c r="BT5" t="s">
        <v>7665</v>
      </c>
      <c r="BU5" s="269"/>
      <c r="BV5" s="269"/>
      <c r="BW5" s="269"/>
      <c r="BX5" s="269"/>
      <c r="BY5" s="269"/>
      <c r="BZ5" s="269"/>
      <c r="CA5" t="s">
        <v>7746</v>
      </c>
      <c r="CB5" t="s">
        <v>7750</v>
      </c>
      <c r="CC5" t="s">
        <v>7749</v>
      </c>
      <c r="CD5" t="s">
        <v>7633</v>
      </c>
      <c r="CE5" s="269"/>
      <c r="CF5" t="s">
        <v>8306</v>
      </c>
      <c r="CG5" t="s">
        <v>8290</v>
      </c>
      <c r="CH5" t="s">
        <v>8238</v>
      </c>
      <c r="CI5" t="s">
        <v>7758</v>
      </c>
      <c r="CJ5" t="s">
        <v>7788</v>
      </c>
      <c r="CK5" t="s">
        <v>8238</v>
      </c>
      <c r="CL5" t="s">
        <v>8201</v>
      </c>
      <c r="CM5" t="s">
        <v>8248</v>
      </c>
      <c r="CN5" t="s">
        <v>8263</v>
      </c>
      <c r="CO5" t="s">
        <v>8193</v>
      </c>
      <c r="CP5" t="s">
        <v>8360</v>
      </c>
      <c r="CQ5" t="s">
        <v>8283</v>
      </c>
      <c r="CR5" t="s">
        <v>7732</v>
      </c>
      <c r="CS5" t="s">
        <v>8359</v>
      </c>
      <c r="CT5" t="s">
        <v>7726</v>
      </c>
      <c r="CU5" t="s">
        <v>7751</v>
      </c>
      <c r="CV5" t="s">
        <v>7780</v>
      </c>
      <c r="CW5" t="s">
        <v>7791</v>
      </c>
      <c r="CX5" t="s">
        <v>8205</v>
      </c>
      <c r="CY5" t="s">
        <v>8230</v>
      </c>
      <c r="CZ5" s="269"/>
      <c r="DA5" s="269"/>
      <c r="DB5" t="s">
        <v>7637</v>
      </c>
      <c r="DC5" t="s">
        <v>7670</v>
      </c>
      <c r="DD5" t="s">
        <v>7797</v>
      </c>
      <c r="DE5" t="s">
        <v>8209</v>
      </c>
      <c r="DF5" t="s">
        <v>8191</v>
      </c>
      <c r="DG5" t="s">
        <v>7713</v>
      </c>
      <c r="DH5" t="s">
        <v>7737</v>
      </c>
      <c r="DI5" t="s">
        <v>7671</v>
      </c>
      <c r="DJ5" t="s">
        <v>8212</v>
      </c>
      <c r="DK5" t="s">
        <v>7650</v>
      </c>
      <c r="DL5" t="s">
        <v>7760</v>
      </c>
      <c r="DM5" t="s">
        <v>7789</v>
      </c>
      <c r="DN5" t="s">
        <v>7717</v>
      </c>
      <c r="DO5" t="s">
        <v>7662</v>
      </c>
      <c r="DP5" t="s">
        <v>8293</v>
      </c>
      <c r="DQ5" t="s">
        <v>7673</v>
      </c>
      <c r="DR5" t="s">
        <v>8222</v>
      </c>
      <c r="DS5" t="s">
        <v>8276</v>
      </c>
      <c r="DT5" t="s">
        <v>8242</v>
      </c>
      <c r="DU5" t="s">
        <v>8305</v>
      </c>
      <c r="DV5" s="269"/>
      <c r="DW5" s="269"/>
      <c r="DX5" t="s">
        <v>8213</v>
      </c>
      <c r="DY5" t="s">
        <v>8235</v>
      </c>
      <c r="DZ5" t="s">
        <v>8294</v>
      </c>
      <c r="EA5" t="s">
        <v>7738</v>
      </c>
      <c r="EB5" t="s">
        <v>8354</v>
      </c>
      <c r="EC5" t="s">
        <v>8358</v>
      </c>
      <c r="ED5" t="s">
        <v>7790</v>
      </c>
      <c r="EE5" t="s">
        <v>8278</v>
      </c>
      <c r="EF5" t="s">
        <v>8330</v>
      </c>
      <c r="EG5" t="s">
        <v>8273</v>
      </c>
      <c r="EH5" t="s">
        <v>8206</v>
      </c>
      <c r="EI5" t="s">
        <v>7743</v>
      </c>
      <c r="EJ5" t="s">
        <v>8298</v>
      </c>
      <c r="EK5" t="s">
        <v>8220</v>
      </c>
      <c r="EL5" t="s">
        <v>8247</v>
      </c>
      <c r="EM5" t="s">
        <v>7754</v>
      </c>
      <c r="EN5" t="s">
        <v>8304</v>
      </c>
      <c r="EO5" t="s">
        <v>8249</v>
      </c>
      <c r="EP5" t="s">
        <v>7697</v>
      </c>
      <c r="EQ5" t="s">
        <v>7759</v>
      </c>
      <c r="ER5" s="269"/>
      <c r="ES5" s="268">
        <v>9</v>
      </c>
    </row>
    <row r="6" spans="1:149" ht="15">
      <c r="B6" s="266">
        <v>8</v>
      </c>
      <c r="C6" s="269"/>
      <c r="D6" t="s">
        <v>7605</v>
      </c>
      <c r="E6" t="s">
        <v>7649</v>
      </c>
      <c r="F6" t="s">
        <v>7742</v>
      </c>
      <c r="G6" t="s">
        <v>7745</v>
      </c>
      <c r="H6" s="269"/>
      <c r="I6" t="s">
        <v>7624</v>
      </c>
      <c r="J6" t="s">
        <v>7638</v>
      </c>
      <c r="K6" t="s">
        <v>8347</v>
      </c>
      <c r="L6" t="s">
        <v>8211</v>
      </c>
      <c r="M6" t="s">
        <v>7652</v>
      </c>
      <c r="N6" t="s">
        <v>7660</v>
      </c>
      <c r="O6" t="s">
        <v>8326</v>
      </c>
      <c r="P6" t="s">
        <v>8229</v>
      </c>
      <c r="Q6" t="s">
        <v>8348</v>
      </c>
      <c r="R6" t="s">
        <v>8278</v>
      </c>
      <c r="S6" t="s">
        <v>8271</v>
      </c>
      <c r="T6" t="s">
        <v>7803</v>
      </c>
      <c r="U6" t="s">
        <v>8270</v>
      </c>
      <c r="V6" t="s">
        <v>7666</v>
      </c>
      <c r="W6" t="s">
        <v>7706</v>
      </c>
      <c r="X6" t="s">
        <v>7722</v>
      </c>
      <c r="Y6" t="s">
        <v>8274</v>
      </c>
      <c r="Z6" t="s">
        <v>8222</v>
      </c>
      <c r="AA6" t="s">
        <v>7650</v>
      </c>
      <c r="AB6" t="s">
        <v>7802</v>
      </c>
      <c r="AC6" s="269"/>
      <c r="AD6" s="269"/>
      <c r="AE6" t="s">
        <v>8275</v>
      </c>
      <c r="AF6" t="s">
        <v>7640</v>
      </c>
      <c r="AG6" t="s">
        <v>8234</v>
      </c>
      <c r="AH6" t="s">
        <v>8333</v>
      </c>
      <c r="AI6" t="s">
        <v>8327</v>
      </c>
      <c r="AJ6" t="s">
        <v>7614</v>
      </c>
      <c r="AK6" t="s">
        <v>7796</v>
      </c>
      <c r="AL6" t="s">
        <v>7768</v>
      </c>
      <c r="AM6" t="s">
        <v>7775</v>
      </c>
      <c r="AN6" t="s">
        <v>7764</v>
      </c>
      <c r="AO6" t="s">
        <v>8208</v>
      </c>
      <c r="AP6" t="s">
        <v>7714</v>
      </c>
      <c r="AQ6" t="s">
        <v>7699</v>
      </c>
      <c r="AR6" t="s">
        <v>7620</v>
      </c>
      <c r="AS6" t="s">
        <v>8207</v>
      </c>
      <c r="AT6" t="s">
        <v>7757</v>
      </c>
      <c r="AU6" t="s">
        <v>8250</v>
      </c>
      <c r="AV6" t="s">
        <v>8313</v>
      </c>
      <c r="AW6" t="s">
        <v>7631</v>
      </c>
      <c r="AX6" t="s">
        <v>7695</v>
      </c>
      <c r="AY6" s="269"/>
      <c r="AZ6" s="269"/>
      <c r="BA6" t="s">
        <v>7676</v>
      </c>
      <c r="BB6" t="s">
        <v>8252</v>
      </c>
      <c r="BC6" t="s">
        <v>8312</v>
      </c>
      <c r="BD6" t="s">
        <v>8301</v>
      </c>
      <c r="BE6" t="s">
        <v>7626</v>
      </c>
      <c r="BF6" t="s">
        <v>8350</v>
      </c>
      <c r="BG6" t="s">
        <v>7727</v>
      </c>
      <c r="BH6" t="s">
        <v>8359</v>
      </c>
      <c r="BI6" t="s">
        <v>7625</v>
      </c>
      <c r="BJ6" t="s">
        <v>7704</v>
      </c>
      <c r="BK6" t="s">
        <v>8304</v>
      </c>
      <c r="BL6" t="s">
        <v>7759</v>
      </c>
      <c r="BM6" t="s">
        <v>7736</v>
      </c>
      <c r="BN6" t="s">
        <v>7778</v>
      </c>
      <c r="BO6" t="s">
        <v>7767</v>
      </c>
      <c r="BP6" t="s">
        <v>8323</v>
      </c>
      <c r="BQ6" t="s">
        <v>7609</v>
      </c>
      <c r="BR6" t="s">
        <v>8197</v>
      </c>
      <c r="BS6" t="s">
        <v>8244</v>
      </c>
      <c r="BT6" t="s">
        <v>8247</v>
      </c>
      <c r="BU6" s="269"/>
      <c r="BV6" s="269"/>
      <c r="BW6" s="269"/>
      <c r="BX6" s="269"/>
      <c r="BY6" s="269"/>
      <c r="BZ6" s="269"/>
      <c r="CA6" t="s">
        <v>7655</v>
      </c>
      <c r="CB6" t="s">
        <v>7649</v>
      </c>
      <c r="CC6" t="s">
        <v>7651</v>
      </c>
      <c r="CD6" t="s">
        <v>7731</v>
      </c>
      <c r="CE6" s="269"/>
      <c r="CF6" t="s">
        <v>7618</v>
      </c>
      <c r="CG6" t="s">
        <v>7658</v>
      </c>
      <c r="CH6" t="s">
        <v>7630</v>
      </c>
      <c r="CI6" t="s">
        <v>7729</v>
      </c>
      <c r="CJ6" t="s">
        <v>8262</v>
      </c>
      <c r="CK6" t="s">
        <v>7781</v>
      </c>
      <c r="CL6" t="s">
        <v>8271</v>
      </c>
      <c r="CM6" t="s">
        <v>8232</v>
      </c>
      <c r="CN6" t="s">
        <v>8197</v>
      </c>
      <c r="CO6" t="s">
        <v>7736</v>
      </c>
      <c r="CP6" t="s">
        <v>8255</v>
      </c>
      <c r="CQ6" t="s">
        <v>8299</v>
      </c>
      <c r="CR6" t="s">
        <v>7775</v>
      </c>
      <c r="CS6" t="s">
        <v>7809</v>
      </c>
      <c r="CT6" t="s">
        <v>7613</v>
      </c>
      <c r="CU6" t="s">
        <v>8214</v>
      </c>
      <c r="CV6" t="s">
        <v>7619</v>
      </c>
      <c r="CW6" t="s">
        <v>8349</v>
      </c>
      <c r="CX6" t="s">
        <v>7773</v>
      </c>
      <c r="CY6" t="s">
        <v>7704</v>
      </c>
      <c r="CZ6" s="269"/>
      <c r="DA6" s="269"/>
      <c r="DB6" t="s">
        <v>7776</v>
      </c>
      <c r="DC6" t="s">
        <v>8202</v>
      </c>
      <c r="DD6" t="s">
        <v>8296</v>
      </c>
      <c r="DE6" t="s">
        <v>7678</v>
      </c>
      <c r="DF6" t="s">
        <v>8342</v>
      </c>
      <c r="DG6" t="s">
        <v>8353</v>
      </c>
      <c r="DH6" t="s">
        <v>7805</v>
      </c>
      <c r="DI6" t="s">
        <v>7634</v>
      </c>
      <c r="DJ6" t="s">
        <v>7665</v>
      </c>
      <c r="DK6" t="s">
        <v>8318</v>
      </c>
      <c r="DL6" t="s">
        <v>7686</v>
      </c>
      <c r="DM6" t="s">
        <v>7620</v>
      </c>
      <c r="DN6" t="s">
        <v>7722</v>
      </c>
      <c r="DO6" t="s">
        <v>8198</v>
      </c>
      <c r="DP6" t="s">
        <v>7639</v>
      </c>
      <c r="DQ6" t="s">
        <v>8277</v>
      </c>
      <c r="DR6" t="s">
        <v>7622</v>
      </c>
      <c r="DS6" t="s">
        <v>8237</v>
      </c>
      <c r="DT6" t="s">
        <v>8240</v>
      </c>
      <c r="DU6" t="s">
        <v>7710</v>
      </c>
      <c r="DV6" s="269"/>
      <c r="DW6" s="269"/>
      <c r="DX6" t="s">
        <v>7796</v>
      </c>
      <c r="DY6" t="s">
        <v>8275</v>
      </c>
      <c r="DZ6" t="s">
        <v>8224</v>
      </c>
      <c r="EA6" t="s">
        <v>7804</v>
      </c>
      <c r="EB6" t="s">
        <v>7766</v>
      </c>
      <c r="EC6" t="s">
        <v>8361</v>
      </c>
      <c r="ED6" t="s">
        <v>7730</v>
      </c>
      <c r="EE6" t="s">
        <v>8233</v>
      </c>
      <c r="EF6" t="s">
        <v>7643</v>
      </c>
      <c r="EG6" t="s">
        <v>8274</v>
      </c>
      <c r="EH6" t="s">
        <v>7757</v>
      </c>
      <c r="EI6" t="s">
        <v>8348</v>
      </c>
      <c r="EJ6" t="s">
        <v>7695</v>
      </c>
      <c r="EK6" t="s">
        <v>8316</v>
      </c>
      <c r="EL6" t="s">
        <v>7785</v>
      </c>
      <c r="EM6" t="s">
        <v>7764</v>
      </c>
      <c r="EN6" t="s">
        <v>7735</v>
      </c>
      <c r="EO6" t="s">
        <v>7733</v>
      </c>
      <c r="EP6" t="s">
        <v>8252</v>
      </c>
      <c r="EQ6" t="s">
        <v>8218</v>
      </c>
      <c r="ER6" s="269"/>
      <c r="ES6" s="268">
        <v>8</v>
      </c>
    </row>
    <row r="7" spans="1:149" ht="15">
      <c r="B7" s="266">
        <v>7</v>
      </c>
      <c r="C7" s="269"/>
      <c r="D7" t="s">
        <v>7632</v>
      </c>
      <c r="E7" t="s">
        <v>7744</v>
      </c>
      <c r="F7" t="s">
        <v>7667</v>
      </c>
      <c r="G7" t="s">
        <v>7655</v>
      </c>
      <c r="H7" s="269"/>
      <c r="I7" t="s">
        <v>7688</v>
      </c>
      <c r="J7" t="s">
        <v>7782</v>
      </c>
      <c r="K7" t="s">
        <v>7630</v>
      </c>
      <c r="L7" t="s">
        <v>7809</v>
      </c>
      <c r="M7" t="s">
        <v>7807</v>
      </c>
      <c r="N7" t="s">
        <v>7668</v>
      </c>
      <c r="O7" t="s">
        <v>8349</v>
      </c>
      <c r="P7" t="s">
        <v>8276</v>
      </c>
      <c r="Q7" t="s">
        <v>7795</v>
      </c>
      <c r="R7" t="s">
        <v>7621</v>
      </c>
      <c r="S7" t="s">
        <v>8282</v>
      </c>
      <c r="T7" t="s">
        <v>8233</v>
      </c>
      <c r="U7" t="s">
        <v>7679</v>
      </c>
      <c r="V7" t="s">
        <v>7788</v>
      </c>
      <c r="W7" t="s">
        <v>7618</v>
      </c>
      <c r="X7" t="s">
        <v>8295</v>
      </c>
      <c r="Y7" t="s">
        <v>8217</v>
      </c>
      <c r="Z7" t="s">
        <v>8339</v>
      </c>
      <c r="AA7" t="s">
        <v>7751</v>
      </c>
      <c r="AB7" t="s">
        <v>7634</v>
      </c>
      <c r="AC7" s="269"/>
      <c r="AD7" s="269"/>
      <c r="AE7" t="s">
        <v>7737</v>
      </c>
      <c r="AF7" t="s">
        <v>8219</v>
      </c>
      <c r="AG7" t="s">
        <v>8343</v>
      </c>
      <c r="AH7" t="s">
        <v>8272</v>
      </c>
      <c r="AI7" t="s">
        <v>8340</v>
      </c>
      <c r="AJ7" t="s">
        <v>8341</v>
      </c>
      <c r="AK7" t="s">
        <v>7713</v>
      </c>
      <c r="AL7" t="s">
        <v>7799</v>
      </c>
      <c r="AM7" t="s">
        <v>8291</v>
      </c>
      <c r="AN7" t="s">
        <v>7715</v>
      </c>
      <c r="AO7" t="s">
        <v>8364</v>
      </c>
      <c r="AP7" t="s">
        <v>8260</v>
      </c>
      <c r="AQ7" t="s">
        <v>8196</v>
      </c>
      <c r="AR7" t="s">
        <v>7608</v>
      </c>
      <c r="AS7" t="s">
        <v>7697</v>
      </c>
      <c r="AT7" t="s">
        <v>8311</v>
      </c>
      <c r="AU7" t="s">
        <v>8305</v>
      </c>
      <c r="AV7" t="s">
        <v>8243</v>
      </c>
      <c r="AW7" t="s">
        <v>8192</v>
      </c>
      <c r="AX7" t="s">
        <v>7729</v>
      </c>
      <c r="AY7" s="269"/>
      <c r="AZ7" s="269"/>
      <c r="BA7" t="s">
        <v>7687</v>
      </c>
      <c r="BB7" t="s">
        <v>8201</v>
      </c>
      <c r="BC7" t="s">
        <v>7724</v>
      </c>
      <c r="BD7" t="s">
        <v>8242</v>
      </c>
      <c r="BE7" t="s">
        <v>7642</v>
      </c>
      <c r="BF7" t="s">
        <v>8316</v>
      </c>
      <c r="BG7" t="s">
        <v>7787</v>
      </c>
      <c r="BH7" t="s">
        <v>8202</v>
      </c>
      <c r="BI7" t="s">
        <v>8206</v>
      </c>
      <c r="BJ7" t="s">
        <v>7711</v>
      </c>
      <c r="BK7" t="s">
        <v>7698</v>
      </c>
      <c r="BL7" t="s">
        <v>8263</v>
      </c>
      <c r="BM7" t="s">
        <v>8238</v>
      </c>
      <c r="BN7" t="s">
        <v>8199</v>
      </c>
      <c r="BO7" t="s">
        <v>7691</v>
      </c>
      <c r="BP7" t="s">
        <v>7770</v>
      </c>
      <c r="BQ7" t="s">
        <v>8238</v>
      </c>
      <c r="BR7" t="s">
        <v>7793</v>
      </c>
      <c r="BS7" t="s">
        <v>8300</v>
      </c>
      <c r="BT7" t="s">
        <v>8319</v>
      </c>
      <c r="BU7" s="269"/>
      <c r="BV7" s="269"/>
      <c r="BW7" s="269"/>
      <c r="BX7" s="269"/>
      <c r="BY7" s="269"/>
      <c r="BZ7" s="269"/>
      <c r="CA7" t="s">
        <v>8238</v>
      </c>
      <c r="CB7" t="s">
        <v>7646</v>
      </c>
      <c r="CC7" t="s">
        <v>7667</v>
      </c>
      <c r="CD7" t="s">
        <v>7612</v>
      </c>
      <c r="CE7" s="269"/>
      <c r="CF7" t="s">
        <v>7762</v>
      </c>
      <c r="CG7" t="s">
        <v>7798</v>
      </c>
      <c r="CH7" t="s">
        <v>8329</v>
      </c>
      <c r="CI7" t="s">
        <v>8310</v>
      </c>
      <c r="CJ7" t="s">
        <v>8343</v>
      </c>
      <c r="CK7" t="s">
        <v>8301</v>
      </c>
      <c r="CL7" t="s">
        <v>8339</v>
      </c>
      <c r="CM7" t="s">
        <v>8289</v>
      </c>
      <c r="CN7" t="s">
        <v>7720</v>
      </c>
      <c r="CO7" t="s">
        <v>8265</v>
      </c>
      <c r="CP7" t="s">
        <v>7767</v>
      </c>
      <c r="CQ7" t="s">
        <v>7741</v>
      </c>
      <c r="CR7" t="s">
        <v>8210</v>
      </c>
      <c r="CS7" t="s">
        <v>8279</v>
      </c>
      <c r="CT7" t="s">
        <v>8236</v>
      </c>
      <c r="CU7" t="s">
        <v>7725</v>
      </c>
      <c r="CV7" t="s">
        <v>7652</v>
      </c>
      <c r="CW7" t="s">
        <v>7644</v>
      </c>
      <c r="CX7" t="s">
        <v>7709</v>
      </c>
      <c r="CY7" t="s">
        <v>8313</v>
      </c>
      <c r="CZ7" s="269"/>
      <c r="DA7" s="269"/>
      <c r="DB7" t="s">
        <v>8221</v>
      </c>
      <c r="DC7" t="s">
        <v>7648</v>
      </c>
      <c r="DD7" t="s">
        <v>8250</v>
      </c>
      <c r="DE7" t="s">
        <v>8257</v>
      </c>
      <c r="DF7" t="s">
        <v>8281</v>
      </c>
      <c r="DG7" t="s">
        <v>7774</v>
      </c>
      <c r="DH7" t="s">
        <v>7787</v>
      </c>
      <c r="DI7" t="s">
        <v>8244</v>
      </c>
      <c r="DJ7" t="s">
        <v>8251</v>
      </c>
      <c r="DK7" t="s">
        <v>7680</v>
      </c>
      <c r="DL7" t="s">
        <v>8285</v>
      </c>
      <c r="DM7" t="s">
        <v>7799</v>
      </c>
      <c r="DN7" t="s">
        <v>8215</v>
      </c>
      <c r="DO7" t="s">
        <v>7718</v>
      </c>
      <c r="DP7" t="s">
        <v>7706</v>
      </c>
      <c r="DQ7" t="s">
        <v>8216</v>
      </c>
      <c r="DR7" t="s">
        <v>8314</v>
      </c>
      <c r="DS7" t="s">
        <v>7631</v>
      </c>
      <c r="DT7" t="s">
        <v>7703</v>
      </c>
      <c r="DU7" t="s">
        <v>7604</v>
      </c>
      <c r="DV7" s="269"/>
      <c r="DW7" s="269"/>
      <c r="DX7" t="s">
        <v>7677</v>
      </c>
      <c r="DY7" t="s">
        <v>7765</v>
      </c>
      <c r="DZ7" t="s">
        <v>8245</v>
      </c>
      <c r="EA7" t="s">
        <v>8199</v>
      </c>
      <c r="EB7" t="s">
        <v>7782</v>
      </c>
      <c r="EC7" t="s">
        <v>8211</v>
      </c>
      <c r="ED7" t="s">
        <v>8270</v>
      </c>
      <c r="EE7" t="s">
        <v>7753</v>
      </c>
      <c r="EF7" t="s">
        <v>8269</v>
      </c>
      <c r="EG7" t="s">
        <v>7676</v>
      </c>
      <c r="EH7" t="s">
        <v>8347</v>
      </c>
      <c r="EI7" t="s">
        <v>7794</v>
      </c>
      <c r="EJ7" t="s">
        <v>7779</v>
      </c>
      <c r="EK7" t="s">
        <v>7755</v>
      </c>
      <c r="EL7" t="s">
        <v>7663</v>
      </c>
      <c r="EM7" t="s">
        <v>8238</v>
      </c>
      <c r="EN7" t="s">
        <v>8336</v>
      </c>
      <c r="EO7" t="s">
        <v>7685</v>
      </c>
      <c r="EP7" t="s">
        <v>8227</v>
      </c>
      <c r="EQ7" t="s">
        <v>8356</v>
      </c>
      <c r="ER7" s="269"/>
      <c r="ES7" s="268">
        <v>7</v>
      </c>
    </row>
    <row r="8" spans="1:149" ht="15">
      <c r="B8" s="266">
        <v>6</v>
      </c>
      <c r="C8" s="269"/>
      <c r="D8" t="s">
        <v>7745</v>
      </c>
      <c r="E8" t="s">
        <v>7632</v>
      </c>
      <c r="F8" t="s">
        <v>7746</v>
      </c>
      <c r="G8" t="s">
        <v>7731</v>
      </c>
      <c r="H8" s="269"/>
      <c r="I8" t="s">
        <v>7700</v>
      </c>
      <c r="J8" t="s">
        <v>7695</v>
      </c>
      <c r="K8" t="s">
        <v>8366</v>
      </c>
      <c r="L8" t="s">
        <v>8365</v>
      </c>
      <c r="M8" t="s">
        <v>8364</v>
      </c>
      <c r="N8" t="s">
        <v>8363</v>
      </c>
      <c r="O8" t="s">
        <v>7704</v>
      </c>
      <c r="P8" t="s">
        <v>8362</v>
      </c>
      <c r="Q8" t="s">
        <v>8361</v>
      </c>
      <c r="R8" t="s">
        <v>8360</v>
      </c>
      <c r="S8" t="s">
        <v>8359</v>
      </c>
      <c r="T8" t="s">
        <v>7757</v>
      </c>
      <c r="U8" t="s">
        <v>8358</v>
      </c>
      <c r="V8" t="s">
        <v>8357</v>
      </c>
      <c r="W8" t="s">
        <v>7801</v>
      </c>
      <c r="X8" t="s">
        <v>7637</v>
      </c>
      <c r="Y8" t="s">
        <v>8356</v>
      </c>
      <c r="Z8" t="s">
        <v>8355</v>
      </c>
      <c r="AA8" t="s">
        <v>7758</v>
      </c>
      <c r="AB8" t="s">
        <v>7724</v>
      </c>
      <c r="AC8" s="269"/>
      <c r="AD8" s="269"/>
      <c r="AE8" t="s">
        <v>7771</v>
      </c>
      <c r="AF8" t="s">
        <v>8354</v>
      </c>
      <c r="AG8" t="s">
        <v>8353</v>
      </c>
      <c r="AH8" t="s">
        <v>8352</v>
      </c>
      <c r="AI8" t="s">
        <v>7755</v>
      </c>
      <c r="AJ8" t="s">
        <v>7754</v>
      </c>
      <c r="AK8" t="s">
        <v>8351</v>
      </c>
      <c r="AL8" t="s">
        <v>8350</v>
      </c>
      <c r="AM8" t="s">
        <v>7699</v>
      </c>
      <c r="AN8" t="s">
        <v>7789</v>
      </c>
      <c r="AO8" t="s">
        <v>7679</v>
      </c>
      <c r="AP8" t="s">
        <v>7738</v>
      </c>
      <c r="AQ8" t="s">
        <v>7678</v>
      </c>
      <c r="AR8" t="s">
        <v>8349</v>
      </c>
      <c r="AS8" t="s">
        <v>8348</v>
      </c>
      <c r="AT8" t="s">
        <v>7779</v>
      </c>
      <c r="AU8" t="s">
        <v>7636</v>
      </c>
      <c r="AV8" t="s">
        <v>7682</v>
      </c>
      <c r="AW8" t="s">
        <v>8347</v>
      </c>
      <c r="AX8" t="s">
        <v>7792</v>
      </c>
      <c r="AY8" s="269"/>
      <c r="AZ8" s="269"/>
      <c r="BA8" t="s">
        <v>7808</v>
      </c>
      <c r="BB8" t="s">
        <v>8346</v>
      </c>
      <c r="BC8" t="s">
        <v>8345</v>
      </c>
      <c r="BD8" t="s">
        <v>7785</v>
      </c>
      <c r="BE8" t="s">
        <v>7618</v>
      </c>
      <c r="BF8" t="s">
        <v>7850</v>
      </c>
      <c r="BG8" t="s">
        <v>7715</v>
      </c>
      <c r="BH8" t="s">
        <v>8344</v>
      </c>
      <c r="BI8" t="s">
        <v>8343</v>
      </c>
      <c r="BJ8" t="s">
        <v>8342</v>
      </c>
      <c r="BK8" t="s">
        <v>7694</v>
      </c>
      <c r="BL8" t="s">
        <v>7641</v>
      </c>
      <c r="BM8" t="s">
        <v>8341</v>
      </c>
      <c r="BN8" t="s">
        <v>7635</v>
      </c>
      <c r="BO8" t="s">
        <v>7762</v>
      </c>
      <c r="BP8" t="s">
        <v>7615</v>
      </c>
      <c r="BQ8" t="s">
        <v>8340</v>
      </c>
      <c r="BR8" t="s">
        <v>8339</v>
      </c>
      <c r="BS8" t="s">
        <v>7640</v>
      </c>
      <c r="BT8" t="s">
        <v>7638</v>
      </c>
      <c r="BU8" s="269"/>
      <c r="BV8" s="269"/>
      <c r="BW8" s="269"/>
      <c r="BX8" s="269"/>
      <c r="BY8" s="269"/>
      <c r="BZ8" s="269"/>
      <c r="CA8" t="s">
        <v>7731</v>
      </c>
      <c r="CB8" t="s">
        <v>7749</v>
      </c>
      <c r="CC8" t="s">
        <v>7633</v>
      </c>
      <c r="CD8" t="s">
        <v>7655</v>
      </c>
      <c r="CE8" s="269"/>
      <c r="CF8" t="s">
        <v>7616</v>
      </c>
      <c r="CG8" t="s">
        <v>8336</v>
      </c>
      <c r="CH8" t="s">
        <v>8239</v>
      </c>
      <c r="CI8" t="s">
        <v>8217</v>
      </c>
      <c r="CJ8" t="s">
        <v>8198</v>
      </c>
      <c r="CK8" t="s">
        <v>7659</v>
      </c>
      <c r="CL8" t="s">
        <v>7691</v>
      </c>
      <c r="CM8" t="s">
        <v>7686</v>
      </c>
      <c r="CN8" t="s">
        <v>8319</v>
      </c>
      <c r="CO8" t="s">
        <v>7620</v>
      </c>
      <c r="CP8" t="s">
        <v>7800</v>
      </c>
      <c r="CQ8" t="s">
        <v>7685</v>
      </c>
      <c r="CR8" t="s">
        <v>7794</v>
      </c>
      <c r="CS8" t="s">
        <v>7763</v>
      </c>
      <c r="CT8" t="s">
        <v>8358</v>
      </c>
      <c r="CU8" t="s">
        <v>8333</v>
      </c>
      <c r="CV8" t="s">
        <v>8227</v>
      </c>
      <c r="CW8" t="s">
        <v>8207</v>
      </c>
      <c r="CX8" t="s">
        <v>7701</v>
      </c>
      <c r="CY8" t="s">
        <v>8314</v>
      </c>
      <c r="CZ8" s="269"/>
      <c r="DA8" s="269"/>
      <c r="DB8" t="s">
        <v>7757</v>
      </c>
      <c r="DC8" t="s">
        <v>8354</v>
      </c>
      <c r="DD8" t="s">
        <v>8317</v>
      </c>
      <c r="DE8" t="s">
        <v>8366</v>
      </c>
      <c r="DF8" t="s">
        <v>8225</v>
      </c>
      <c r="DG8" t="s">
        <v>8272</v>
      </c>
      <c r="DH8" t="s">
        <v>7717</v>
      </c>
      <c r="DI8" t="s">
        <v>7753</v>
      </c>
      <c r="DJ8" t="s">
        <v>8240</v>
      </c>
      <c r="DK8" t="s">
        <v>8269</v>
      </c>
      <c r="DL8" t="s">
        <v>8255</v>
      </c>
      <c r="DM8" t="s">
        <v>7729</v>
      </c>
      <c r="DN8" t="s">
        <v>7624</v>
      </c>
      <c r="DO8" t="s">
        <v>8263</v>
      </c>
      <c r="DP8" t="s">
        <v>7692</v>
      </c>
      <c r="DQ8" t="s">
        <v>8253</v>
      </c>
      <c r="DR8" t="s">
        <v>8203</v>
      </c>
      <c r="DS8" t="s">
        <v>8248</v>
      </c>
      <c r="DT8" t="s">
        <v>8328</v>
      </c>
      <c r="DU8" t="s">
        <v>8241</v>
      </c>
      <c r="DV8" s="269"/>
      <c r="DW8" s="269"/>
      <c r="DX8" t="s">
        <v>7787</v>
      </c>
      <c r="DY8" t="s">
        <v>7786</v>
      </c>
      <c r="DZ8" t="s">
        <v>8238</v>
      </c>
      <c r="EA8" t="s">
        <v>7736</v>
      </c>
      <c r="EB8" t="s">
        <v>8355</v>
      </c>
      <c r="EC8" t="s">
        <v>8236</v>
      </c>
      <c r="ED8" t="s">
        <v>7619</v>
      </c>
      <c r="EE8" t="s">
        <v>7627</v>
      </c>
      <c r="EF8" t="s">
        <v>7658</v>
      </c>
      <c r="EG8" t="s">
        <v>8303</v>
      </c>
      <c r="EH8" t="s">
        <v>8266</v>
      </c>
      <c r="EI8" t="s">
        <v>7635</v>
      </c>
      <c r="EJ8" t="s">
        <v>8260</v>
      </c>
      <c r="EK8" t="s">
        <v>7752</v>
      </c>
      <c r="EL8" t="s">
        <v>7751</v>
      </c>
      <c r="EM8" t="s">
        <v>7648</v>
      </c>
      <c r="EN8" t="s">
        <v>7713</v>
      </c>
      <c r="EO8" t="s">
        <v>8230</v>
      </c>
      <c r="EP8" t="s">
        <v>8341</v>
      </c>
      <c r="EQ8" t="s">
        <v>8295</v>
      </c>
      <c r="ER8" s="269"/>
      <c r="ES8" s="268">
        <v>6</v>
      </c>
    </row>
    <row r="9" spans="1:149" ht="15">
      <c r="B9" s="266">
        <v>5</v>
      </c>
      <c r="C9" s="269"/>
      <c r="D9" t="s">
        <v>7651</v>
      </c>
      <c r="E9" t="s">
        <v>7655</v>
      </c>
      <c r="F9" t="s">
        <v>7605</v>
      </c>
      <c r="G9" t="s">
        <v>7649</v>
      </c>
      <c r="H9" s="269"/>
      <c r="I9" t="s">
        <v>8312</v>
      </c>
      <c r="J9" t="s">
        <v>7766</v>
      </c>
      <c r="K9" t="s">
        <v>7627</v>
      </c>
      <c r="L9" t="s">
        <v>7684</v>
      </c>
      <c r="M9" t="s">
        <v>7777</v>
      </c>
      <c r="N9" t="s">
        <v>7793</v>
      </c>
      <c r="O9" t="s">
        <v>7639</v>
      </c>
      <c r="P9" t="s">
        <v>8313</v>
      </c>
      <c r="Q9" t="s">
        <v>7748</v>
      </c>
      <c r="R9" t="s">
        <v>8314</v>
      </c>
      <c r="S9" t="s">
        <v>7674</v>
      </c>
      <c r="T9" t="s">
        <v>7703</v>
      </c>
      <c r="U9" t="s">
        <v>8315</v>
      </c>
      <c r="V9" t="s">
        <v>8316</v>
      </c>
      <c r="W9" t="s">
        <v>8317</v>
      </c>
      <c r="X9" t="s">
        <v>8318</v>
      </c>
      <c r="Y9" t="s">
        <v>8319</v>
      </c>
      <c r="Z9" t="s">
        <v>7620</v>
      </c>
      <c r="AA9" t="s">
        <v>7711</v>
      </c>
      <c r="AB9" t="s">
        <v>7717</v>
      </c>
      <c r="AC9" s="269"/>
      <c r="AD9" s="269"/>
      <c r="AE9" t="s">
        <v>7719</v>
      </c>
      <c r="AF9" t="s">
        <v>8320</v>
      </c>
      <c r="AG9" t="s">
        <v>7759</v>
      </c>
      <c r="AH9" t="s">
        <v>8321</v>
      </c>
      <c r="AI9" t="s">
        <v>8322</v>
      </c>
      <c r="AJ9" t="s">
        <v>8238</v>
      </c>
      <c r="AK9" t="s">
        <v>8323</v>
      </c>
      <c r="AL9" t="s">
        <v>7730</v>
      </c>
      <c r="AM9" t="s">
        <v>8324</v>
      </c>
      <c r="AN9" t="s">
        <v>8325</v>
      </c>
      <c r="AO9" t="s">
        <v>8326</v>
      </c>
      <c r="AP9" t="s">
        <v>8327</v>
      </c>
      <c r="AQ9" t="s">
        <v>7780</v>
      </c>
      <c r="AR9" t="s">
        <v>7723</v>
      </c>
      <c r="AS9" t="s">
        <v>7806</v>
      </c>
      <c r="AT9" t="s">
        <v>8328</v>
      </c>
      <c r="AU9" t="s">
        <v>7713</v>
      </c>
      <c r="AV9" t="s">
        <v>7634</v>
      </c>
      <c r="AW9" t="s">
        <v>8329</v>
      </c>
      <c r="AX9" t="s">
        <v>8330</v>
      </c>
      <c r="AY9" s="269"/>
      <c r="AZ9" s="269"/>
      <c r="BA9" t="s">
        <v>8331</v>
      </c>
      <c r="BB9" t="s">
        <v>7706</v>
      </c>
      <c r="BC9" t="s">
        <v>7794</v>
      </c>
      <c r="BD9" t="s">
        <v>8332</v>
      </c>
      <c r="BE9" t="s">
        <v>8333</v>
      </c>
      <c r="BF9" t="s">
        <v>7781</v>
      </c>
      <c r="BG9" t="s">
        <v>8334</v>
      </c>
      <c r="BH9" t="s">
        <v>7764</v>
      </c>
      <c r="BI9" t="s">
        <v>7683</v>
      </c>
      <c r="BJ9" t="s">
        <v>7621</v>
      </c>
      <c r="BK9" t="s">
        <v>8335</v>
      </c>
      <c r="BL9" t="s">
        <v>7681</v>
      </c>
      <c r="BM9" t="s">
        <v>8336</v>
      </c>
      <c r="BN9" t="s">
        <v>8337</v>
      </c>
      <c r="BO9" t="s">
        <v>8338</v>
      </c>
      <c r="BP9" t="s">
        <v>7799</v>
      </c>
      <c r="BQ9" t="s">
        <v>7675</v>
      </c>
      <c r="BR9" t="s">
        <v>7804</v>
      </c>
      <c r="BS9" t="s">
        <v>7673</v>
      </c>
      <c r="BT9" t="s">
        <v>7776</v>
      </c>
      <c r="BU9" s="269"/>
      <c r="BV9" s="269"/>
      <c r="BW9" s="269"/>
      <c r="BX9" s="269"/>
      <c r="BY9" s="269"/>
      <c r="BZ9" s="269"/>
      <c r="CA9" t="s">
        <v>7612</v>
      </c>
      <c r="CB9" t="s">
        <v>8238</v>
      </c>
      <c r="CC9" t="s">
        <v>7746</v>
      </c>
      <c r="CD9" t="s">
        <v>7651</v>
      </c>
      <c r="CE9" s="269"/>
      <c r="CF9" t="s">
        <v>8332</v>
      </c>
      <c r="CG9" t="s">
        <v>7707</v>
      </c>
      <c r="CH9" t="s">
        <v>7760</v>
      </c>
      <c r="CI9" t="s">
        <v>8356</v>
      </c>
      <c r="CJ9" t="s">
        <v>7641</v>
      </c>
      <c r="CK9" t="s">
        <v>8278</v>
      </c>
      <c r="CL9" t="s">
        <v>7631</v>
      </c>
      <c r="CM9" t="s">
        <v>8238</v>
      </c>
      <c r="CN9" t="s">
        <v>7718</v>
      </c>
      <c r="CO9" t="s">
        <v>8363</v>
      </c>
      <c r="CP9" t="s">
        <v>8327</v>
      </c>
      <c r="CQ9" t="s">
        <v>8274</v>
      </c>
      <c r="CR9" t="s">
        <v>8365</v>
      </c>
      <c r="CS9" t="s">
        <v>7614</v>
      </c>
      <c r="CT9" t="s">
        <v>7703</v>
      </c>
      <c r="CU9" t="s">
        <v>8357</v>
      </c>
      <c r="CV9" t="s">
        <v>8348</v>
      </c>
      <c r="CW9" t="s">
        <v>8194</v>
      </c>
      <c r="CX9" t="s">
        <v>8224</v>
      </c>
      <c r="CY9" t="s">
        <v>7764</v>
      </c>
      <c r="CZ9" s="269"/>
      <c r="DA9" s="269"/>
      <c r="DB9" t="s">
        <v>7777</v>
      </c>
      <c r="DC9" t="s">
        <v>7615</v>
      </c>
      <c r="DD9" t="s">
        <v>7727</v>
      </c>
      <c r="DE9" t="s">
        <v>7706</v>
      </c>
      <c r="DF9" t="s">
        <v>8352</v>
      </c>
      <c r="DG9" t="s">
        <v>7765</v>
      </c>
      <c r="DH9" t="s">
        <v>7710</v>
      </c>
      <c r="DI9" t="s">
        <v>7638</v>
      </c>
      <c r="DJ9" t="s">
        <v>7702</v>
      </c>
      <c r="DK9" t="s">
        <v>7789</v>
      </c>
      <c r="DL9" t="s">
        <v>7666</v>
      </c>
      <c r="DM9" t="s">
        <v>8290</v>
      </c>
      <c r="DN9" t="s">
        <v>7626</v>
      </c>
      <c r="DO9" t="s">
        <v>8288</v>
      </c>
      <c r="DP9" t="s">
        <v>8310</v>
      </c>
      <c r="DQ9" t="s">
        <v>8208</v>
      </c>
      <c r="DR9" t="s">
        <v>7741</v>
      </c>
      <c r="DS9" t="s">
        <v>7609</v>
      </c>
      <c r="DT9" t="s">
        <v>8193</v>
      </c>
      <c r="DU9" t="s">
        <v>8201</v>
      </c>
      <c r="DV9" s="269"/>
      <c r="DW9" s="269"/>
      <c r="DX9" t="s">
        <v>8331</v>
      </c>
      <c r="DY9" t="s">
        <v>8279</v>
      </c>
      <c r="DZ9" t="s">
        <v>7775</v>
      </c>
      <c r="EA9" t="s">
        <v>8326</v>
      </c>
      <c r="EB9" t="s">
        <v>8219</v>
      </c>
      <c r="EC9" t="s">
        <v>8312</v>
      </c>
      <c r="ED9" t="s">
        <v>8212</v>
      </c>
      <c r="EE9" t="s">
        <v>8226</v>
      </c>
      <c r="EF9" t="s">
        <v>7719</v>
      </c>
      <c r="EG9" t="s">
        <v>7780</v>
      </c>
      <c r="EH9" t="s">
        <v>7644</v>
      </c>
      <c r="EI9" t="s">
        <v>8262</v>
      </c>
      <c r="EJ9" t="s">
        <v>7657</v>
      </c>
      <c r="EK9" t="s">
        <v>7704</v>
      </c>
      <c r="EL9" t="s">
        <v>7630</v>
      </c>
      <c r="EM9" t="s">
        <v>8360</v>
      </c>
      <c r="EN9" t="s">
        <v>7687</v>
      </c>
      <c r="EO9" t="s">
        <v>8204</v>
      </c>
      <c r="EP9" t="s">
        <v>8353</v>
      </c>
      <c r="EQ9" t="s">
        <v>8280</v>
      </c>
      <c r="ER9" s="269"/>
      <c r="ES9" s="268">
        <v>5</v>
      </c>
    </row>
    <row r="10" spans="1:149" ht="15">
      <c r="B10" s="266">
        <v>4</v>
      </c>
      <c r="C10" s="269"/>
      <c r="D10" t="s">
        <v>7607</v>
      </c>
      <c r="E10" t="s">
        <v>7667</v>
      </c>
      <c r="F10" t="s">
        <v>7742</v>
      </c>
      <c r="G10" t="s">
        <v>7744</v>
      </c>
      <c r="H10" s="269"/>
      <c r="I10" t="s">
        <v>7791</v>
      </c>
      <c r="J10" t="s">
        <v>7687</v>
      </c>
      <c r="K10" t="s">
        <v>7800</v>
      </c>
      <c r="L10" t="s">
        <v>8311</v>
      </c>
      <c r="M10" t="s">
        <v>7736</v>
      </c>
      <c r="N10" t="s">
        <v>7778</v>
      </c>
      <c r="O10" t="s">
        <v>7725</v>
      </c>
      <c r="P10" t="s">
        <v>8310</v>
      </c>
      <c r="Q10" t="s">
        <v>8309</v>
      </c>
      <c r="R10" t="s">
        <v>8308</v>
      </c>
      <c r="S10" t="s">
        <v>8307</v>
      </c>
      <c r="T10" t="s">
        <v>8306</v>
      </c>
      <c r="U10" t="s">
        <v>7625</v>
      </c>
      <c r="V10" t="s">
        <v>7606</v>
      </c>
      <c r="W10" t="s">
        <v>8305</v>
      </c>
      <c r="X10" t="s">
        <v>7783</v>
      </c>
      <c r="Y10" t="s">
        <v>8304</v>
      </c>
      <c r="Z10" t="s">
        <v>8303</v>
      </c>
      <c r="AA10" t="s">
        <v>7798</v>
      </c>
      <c r="AB10" t="s">
        <v>7726</v>
      </c>
      <c r="AC10" s="269"/>
      <c r="AD10" s="269"/>
      <c r="AE10" t="s">
        <v>8302</v>
      </c>
      <c r="AF10" t="s">
        <v>8301</v>
      </c>
      <c r="AG10" t="s">
        <v>7619</v>
      </c>
      <c r="AH10" t="s">
        <v>8300</v>
      </c>
      <c r="AI10" t="s">
        <v>7727</v>
      </c>
      <c r="AJ10" t="s">
        <v>8299</v>
      </c>
      <c r="AK10" t="s">
        <v>7661</v>
      </c>
      <c r="AL10" t="s">
        <v>7732</v>
      </c>
      <c r="AM10" t="s">
        <v>8298</v>
      </c>
      <c r="AN10" t="s">
        <v>7697</v>
      </c>
      <c r="AO10" t="s">
        <v>8297</v>
      </c>
      <c r="AP10" t="s">
        <v>8296</v>
      </c>
      <c r="AQ10" t="s">
        <v>8295</v>
      </c>
      <c r="AR10" t="s">
        <v>7768</v>
      </c>
      <c r="AS10" t="s">
        <v>8294</v>
      </c>
      <c r="AT10" t="s">
        <v>7660</v>
      </c>
      <c r="AU10" t="s">
        <v>7784</v>
      </c>
      <c r="AV10" t="s">
        <v>7672</v>
      </c>
      <c r="AW10" t="s">
        <v>8293</v>
      </c>
      <c r="AX10" t="s">
        <v>7795</v>
      </c>
      <c r="AY10" s="269"/>
      <c r="AZ10" s="269"/>
      <c r="BA10" t="s">
        <v>8292</v>
      </c>
      <c r="BB10" t="s">
        <v>8291</v>
      </c>
      <c r="BC10" t="s">
        <v>7669</v>
      </c>
      <c r="BD10" t="s">
        <v>7702</v>
      </c>
      <c r="BE10" t="s">
        <v>7710</v>
      </c>
      <c r="BF10" t="s">
        <v>8290</v>
      </c>
      <c r="BG10" t="s">
        <v>8289</v>
      </c>
      <c r="BH10" t="s">
        <v>8288</v>
      </c>
      <c r="BI10" t="s">
        <v>8287</v>
      </c>
      <c r="BJ10" t="s">
        <v>8286</v>
      </c>
      <c r="BK10" t="s">
        <v>8285</v>
      </c>
      <c r="BL10" t="s">
        <v>7782</v>
      </c>
      <c r="BM10" t="s">
        <v>7701</v>
      </c>
      <c r="BN10" t="s">
        <v>8284</v>
      </c>
      <c r="BO10" t="s">
        <v>7686</v>
      </c>
      <c r="BP10" t="s">
        <v>8283</v>
      </c>
      <c r="BQ10" t="s">
        <v>7803</v>
      </c>
      <c r="BR10" t="s">
        <v>7728</v>
      </c>
      <c r="BS10" t="s">
        <v>8282</v>
      </c>
      <c r="BT10" t="s">
        <v>7809</v>
      </c>
      <c r="BU10" s="269"/>
      <c r="BV10" s="269"/>
      <c r="BW10" s="269"/>
      <c r="BX10" s="269"/>
      <c r="BY10" s="269"/>
      <c r="BZ10" s="269"/>
      <c r="CA10" t="s">
        <v>7667</v>
      </c>
      <c r="CB10" t="s">
        <v>7649</v>
      </c>
      <c r="CC10" t="s">
        <v>7646</v>
      </c>
      <c r="CD10" t="s">
        <v>7750</v>
      </c>
      <c r="CE10" s="269"/>
      <c r="CF10" t="s">
        <v>8285</v>
      </c>
      <c r="CG10" t="s">
        <v>7673</v>
      </c>
      <c r="CH10" t="s">
        <v>7735</v>
      </c>
      <c r="CI10" t="s">
        <v>7682</v>
      </c>
      <c r="CJ10" t="s">
        <v>7663</v>
      </c>
      <c r="CK10" t="s">
        <v>7715</v>
      </c>
      <c r="CL10" t="s">
        <v>7743</v>
      </c>
      <c r="CM10" t="s">
        <v>7672</v>
      </c>
      <c r="CN10" t="s">
        <v>8275</v>
      </c>
      <c r="CO10" t="s">
        <v>7754</v>
      </c>
      <c r="CP10" t="s">
        <v>7755</v>
      </c>
      <c r="CQ10" t="s">
        <v>8234</v>
      </c>
      <c r="CR10" t="s">
        <v>7759</v>
      </c>
      <c r="CS10" t="s">
        <v>7730</v>
      </c>
      <c r="CT10" t="s">
        <v>7722</v>
      </c>
      <c r="CU10" t="s">
        <v>8267</v>
      </c>
      <c r="CV10" t="s">
        <v>7705</v>
      </c>
      <c r="CW10" t="s">
        <v>7643</v>
      </c>
      <c r="CX10" t="s">
        <v>8322</v>
      </c>
      <c r="CY10" t="s">
        <v>8196</v>
      </c>
      <c r="CZ10" s="269"/>
      <c r="DA10" s="269"/>
      <c r="DB10" t="s">
        <v>7604</v>
      </c>
      <c r="DC10" t="s">
        <v>8237</v>
      </c>
      <c r="DD10" t="s">
        <v>7738</v>
      </c>
      <c r="DE10" t="s">
        <v>7796</v>
      </c>
      <c r="DF10" t="s">
        <v>7697</v>
      </c>
      <c r="DG10" t="s">
        <v>8334</v>
      </c>
      <c r="DH10" t="s">
        <v>7676</v>
      </c>
      <c r="DI10" t="s">
        <v>7778</v>
      </c>
      <c r="DJ10" t="s">
        <v>8245</v>
      </c>
      <c r="DK10" t="s">
        <v>8324</v>
      </c>
      <c r="DL10" t="s">
        <v>8302</v>
      </c>
      <c r="DM10" t="s">
        <v>7708</v>
      </c>
      <c r="DN10" t="s">
        <v>7725</v>
      </c>
      <c r="DO10" t="s">
        <v>8284</v>
      </c>
      <c r="DP10" t="s">
        <v>7732</v>
      </c>
      <c r="DQ10" t="s">
        <v>7803</v>
      </c>
      <c r="DR10" t="s">
        <v>8315</v>
      </c>
      <c r="DS10" t="s">
        <v>8223</v>
      </c>
      <c r="DT10" t="s">
        <v>8257</v>
      </c>
      <c r="DU10" t="s">
        <v>7711</v>
      </c>
      <c r="DV10" s="269"/>
      <c r="DW10" s="269"/>
      <c r="DX10" t="s">
        <v>7637</v>
      </c>
      <c r="DY10" t="s">
        <v>7739</v>
      </c>
      <c r="DZ10" t="s">
        <v>8243</v>
      </c>
      <c r="EA10" t="s">
        <v>8283</v>
      </c>
      <c r="EB10" t="s">
        <v>8271</v>
      </c>
      <c r="EC10" t="s">
        <v>8205</v>
      </c>
      <c r="ED10" t="s">
        <v>7606</v>
      </c>
      <c r="EE10" t="s">
        <v>8232</v>
      </c>
      <c r="EF10" t="s">
        <v>8191</v>
      </c>
      <c r="EG10" t="s">
        <v>7696</v>
      </c>
      <c r="EH10" t="s">
        <v>8362</v>
      </c>
      <c r="EI10" t="s">
        <v>8325</v>
      </c>
      <c r="EJ10" t="s">
        <v>7618</v>
      </c>
      <c r="EK10" t="s">
        <v>8343</v>
      </c>
      <c r="EL10" t="s">
        <v>7850</v>
      </c>
      <c r="EM10" t="s">
        <v>7689</v>
      </c>
      <c r="EN10" t="s">
        <v>8337</v>
      </c>
      <c r="EO10" t="s">
        <v>7683</v>
      </c>
      <c r="EP10" t="s">
        <v>7680</v>
      </c>
      <c r="EQ10" t="s">
        <v>7798</v>
      </c>
      <c r="ER10" s="269"/>
      <c r="ES10" s="268">
        <v>4</v>
      </c>
    </row>
    <row r="11" spans="1:149" ht="15">
      <c r="B11" s="266">
        <v>3</v>
      </c>
      <c r="C11" s="269"/>
      <c r="D11" t="s">
        <v>7629</v>
      </c>
      <c r="E11" t="s">
        <v>8238</v>
      </c>
      <c r="F11" t="s">
        <v>7646</v>
      </c>
      <c r="G11" t="s">
        <v>7645</v>
      </c>
      <c r="H11" s="269"/>
      <c r="I11" t="s">
        <v>7805</v>
      </c>
      <c r="J11" t="s">
        <v>8253</v>
      </c>
      <c r="K11" t="s">
        <v>8254</v>
      </c>
      <c r="L11" t="s">
        <v>7707</v>
      </c>
      <c r="M11" t="s">
        <v>8255</v>
      </c>
      <c r="N11" t="s">
        <v>7739</v>
      </c>
      <c r="O11" t="s">
        <v>7787</v>
      </c>
      <c r="P11" t="s">
        <v>7671</v>
      </c>
      <c r="Q11" t="s">
        <v>7770</v>
      </c>
      <c r="R11" t="s">
        <v>7698</v>
      </c>
      <c r="S11" t="s">
        <v>8256</v>
      </c>
      <c r="T11" t="s">
        <v>8238</v>
      </c>
      <c r="U11" t="s">
        <v>7797</v>
      </c>
      <c r="V11" t="s">
        <v>7657</v>
      </c>
      <c r="W11" t="s">
        <v>8257</v>
      </c>
      <c r="X11" t="s">
        <v>7752</v>
      </c>
      <c r="Y11" t="s">
        <v>8258</v>
      </c>
      <c r="Z11" t="s">
        <v>7720</v>
      </c>
      <c r="AA11" t="s">
        <v>8259</v>
      </c>
      <c r="AB11" t="s">
        <v>7631</v>
      </c>
      <c r="AC11" s="269"/>
      <c r="AD11" s="269"/>
      <c r="AE11" t="s">
        <v>8260</v>
      </c>
      <c r="AF11" t="s">
        <v>8261</v>
      </c>
      <c r="AG11" t="s">
        <v>7653</v>
      </c>
      <c r="AH11" t="s">
        <v>8262</v>
      </c>
      <c r="AI11" t="s">
        <v>8238</v>
      </c>
      <c r="AJ11" t="s">
        <v>7772</v>
      </c>
      <c r="AK11" t="s">
        <v>8263</v>
      </c>
      <c r="AL11" t="s">
        <v>7696</v>
      </c>
      <c r="AM11" t="s">
        <v>7642</v>
      </c>
      <c r="AN11" t="s">
        <v>8264</v>
      </c>
      <c r="AO11" t="s">
        <v>8265</v>
      </c>
      <c r="AP11" t="s">
        <v>7692</v>
      </c>
      <c r="AQ11" t="s">
        <v>8266</v>
      </c>
      <c r="AR11" t="s">
        <v>8267</v>
      </c>
      <c r="AS11" t="s">
        <v>8268</v>
      </c>
      <c r="AT11" t="s">
        <v>8269</v>
      </c>
      <c r="AU11" t="s">
        <v>7650</v>
      </c>
      <c r="AV11" t="s">
        <v>8270</v>
      </c>
      <c r="AW11" t="s">
        <v>7643</v>
      </c>
      <c r="AX11" t="s">
        <v>7775</v>
      </c>
      <c r="AY11" s="269"/>
      <c r="AZ11" s="269"/>
      <c r="BA11" t="s">
        <v>7802</v>
      </c>
      <c r="BB11" t="s">
        <v>7716</v>
      </c>
      <c r="BC11" t="s">
        <v>7693</v>
      </c>
      <c r="BD11" t="s">
        <v>8271</v>
      </c>
      <c r="BE11" t="s">
        <v>7622</v>
      </c>
      <c r="BF11" t="s">
        <v>8272</v>
      </c>
      <c r="BG11" t="s">
        <v>8273</v>
      </c>
      <c r="BH11" t="s">
        <v>7733</v>
      </c>
      <c r="BI11" t="s">
        <v>8274</v>
      </c>
      <c r="BJ11" t="s">
        <v>8275</v>
      </c>
      <c r="BK11" t="s">
        <v>8276</v>
      </c>
      <c r="BL11" t="s">
        <v>7722</v>
      </c>
      <c r="BM11" t="s">
        <v>7662</v>
      </c>
      <c r="BN11" t="s">
        <v>8277</v>
      </c>
      <c r="BO11" t="s">
        <v>7788</v>
      </c>
      <c r="BP11" t="s">
        <v>8278</v>
      </c>
      <c r="BQ11" t="s">
        <v>8279</v>
      </c>
      <c r="BR11" t="s">
        <v>8280</v>
      </c>
      <c r="BS11" t="s">
        <v>7786</v>
      </c>
      <c r="BT11" t="s">
        <v>8281</v>
      </c>
      <c r="BU11" s="269"/>
      <c r="BV11" s="269"/>
      <c r="BW11" s="269"/>
      <c r="BX11" s="269"/>
      <c r="BY11" s="269"/>
      <c r="BZ11" s="269"/>
      <c r="CA11" t="s">
        <v>7607</v>
      </c>
      <c r="CB11" t="s">
        <v>7645</v>
      </c>
      <c r="CC11" t="s">
        <v>7740</v>
      </c>
      <c r="CD11" t="s">
        <v>7605</v>
      </c>
      <c r="CE11" s="269"/>
      <c r="CF11" t="s">
        <v>8305</v>
      </c>
      <c r="CG11" t="s">
        <v>7807</v>
      </c>
      <c r="CH11" t="s">
        <v>7748</v>
      </c>
      <c r="CI11" t="s">
        <v>7664</v>
      </c>
      <c r="CJ11" t="s">
        <v>7793</v>
      </c>
      <c r="CK11" t="s">
        <v>7804</v>
      </c>
      <c r="CL11" t="s">
        <v>7642</v>
      </c>
      <c r="CM11" t="s">
        <v>8297</v>
      </c>
      <c r="CN11" t="s">
        <v>8294</v>
      </c>
      <c r="CO11" t="s">
        <v>7714</v>
      </c>
      <c r="CP11" t="s">
        <v>7790</v>
      </c>
      <c r="CQ11" t="s">
        <v>8345</v>
      </c>
      <c r="CR11" t="s">
        <v>8316</v>
      </c>
      <c r="CS11" t="s">
        <v>7693</v>
      </c>
      <c r="CT11" t="s">
        <v>7802</v>
      </c>
      <c r="CU11" t="s">
        <v>8277</v>
      </c>
      <c r="CV11" t="s">
        <v>7783</v>
      </c>
      <c r="CW11" t="s">
        <v>8238</v>
      </c>
      <c r="CX11" t="s">
        <v>8304</v>
      </c>
      <c r="CY11" t="s">
        <v>8298</v>
      </c>
      <c r="CZ11" s="269"/>
      <c r="DA11" s="269"/>
      <c r="DB11" t="s">
        <v>8321</v>
      </c>
      <c r="DC11" t="s">
        <v>8308</v>
      </c>
      <c r="DD11" t="s">
        <v>8347</v>
      </c>
      <c r="DE11" t="s">
        <v>8242</v>
      </c>
      <c r="DF11" t="s">
        <v>8215</v>
      </c>
      <c r="DG11" t="s">
        <v>8273</v>
      </c>
      <c r="DH11" t="s">
        <v>7721</v>
      </c>
      <c r="DI11" t="s">
        <v>7785</v>
      </c>
      <c r="DJ11" t="s">
        <v>8254</v>
      </c>
      <c r="DK11" t="s">
        <v>7733</v>
      </c>
      <c r="DL11" t="s">
        <v>7653</v>
      </c>
      <c r="DM11" t="s">
        <v>7720</v>
      </c>
      <c r="DN11" t="s">
        <v>7671</v>
      </c>
      <c r="DO11" t="s">
        <v>8265</v>
      </c>
      <c r="DP11" t="s">
        <v>7776</v>
      </c>
      <c r="DQ11" t="s">
        <v>8281</v>
      </c>
      <c r="DR11" t="s">
        <v>8259</v>
      </c>
      <c r="DS11" t="s">
        <v>7690</v>
      </c>
      <c r="DT11" t="s">
        <v>7781</v>
      </c>
      <c r="DU11" t="s">
        <v>7665</v>
      </c>
      <c r="DV11" s="269"/>
      <c r="DW11" s="269"/>
      <c r="DX11" t="s">
        <v>7768</v>
      </c>
      <c r="DY11" t="s">
        <v>7788</v>
      </c>
      <c r="DZ11" t="s">
        <v>7674</v>
      </c>
      <c r="EA11" t="s">
        <v>7792</v>
      </c>
      <c r="EB11" t="s">
        <v>8258</v>
      </c>
      <c r="EC11" t="s">
        <v>8261</v>
      </c>
      <c r="ED11" t="s">
        <v>8311</v>
      </c>
      <c r="EE11" t="s">
        <v>7700</v>
      </c>
      <c r="EF11" t="s">
        <v>7636</v>
      </c>
      <c r="EG11" t="s">
        <v>7709</v>
      </c>
      <c r="EH11" t="s">
        <v>8296</v>
      </c>
      <c r="EI11" t="s">
        <v>8359</v>
      </c>
      <c r="EJ11" t="s">
        <v>7670</v>
      </c>
      <c r="EK11" t="s">
        <v>7808</v>
      </c>
      <c r="EL11" t="s">
        <v>7675</v>
      </c>
      <c r="EM11" t="s">
        <v>8200</v>
      </c>
      <c r="EN11" t="s">
        <v>7767</v>
      </c>
      <c r="EO11" t="s">
        <v>7762</v>
      </c>
      <c r="EP11" t="s">
        <v>7656</v>
      </c>
      <c r="EQ11" t="s">
        <v>7613</v>
      </c>
      <c r="ER11" s="269"/>
      <c r="ES11" s="268">
        <v>3</v>
      </c>
    </row>
    <row r="12" spans="1:149" ht="15">
      <c r="B12" s="266">
        <v>2</v>
      </c>
      <c r="C12" s="269"/>
      <c r="D12" t="s">
        <v>7612</v>
      </c>
      <c r="E12" t="s">
        <v>7756</v>
      </c>
      <c r="F12" t="s">
        <v>7611</v>
      </c>
      <c r="G12" t="s">
        <v>7747</v>
      </c>
      <c r="H12" s="269"/>
      <c r="I12" t="s">
        <v>7608</v>
      </c>
      <c r="J12" t="s">
        <v>7735</v>
      </c>
      <c r="K12" t="s">
        <v>7714</v>
      </c>
      <c r="L12" t="s">
        <v>8252</v>
      </c>
      <c r="M12" t="s">
        <v>7659</v>
      </c>
      <c r="N12" t="s">
        <v>7680</v>
      </c>
      <c r="O12" t="s">
        <v>7753</v>
      </c>
      <c r="P12" t="s">
        <v>8251</v>
      </c>
      <c r="Q12" t="s">
        <v>8250</v>
      </c>
      <c r="R12" t="s">
        <v>8249</v>
      </c>
      <c r="S12" t="s">
        <v>7729</v>
      </c>
      <c r="T12" t="s">
        <v>7718</v>
      </c>
      <c r="U12" t="s">
        <v>8248</v>
      </c>
      <c r="V12" t="s">
        <v>7656</v>
      </c>
      <c r="W12" t="s">
        <v>7609</v>
      </c>
      <c r="X12" t="s">
        <v>8247</v>
      </c>
      <c r="Y12" t="s">
        <v>8246</v>
      </c>
      <c r="Z12" t="s">
        <v>8245</v>
      </c>
      <c r="AA12" t="s">
        <v>7763</v>
      </c>
      <c r="AB12" t="s">
        <v>7743</v>
      </c>
      <c r="AC12" s="269"/>
      <c r="AD12" s="269"/>
      <c r="AE12" t="s">
        <v>8244</v>
      </c>
      <c r="AF12" t="s">
        <v>8243</v>
      </c>
      <c r="AG12" t="s">
        <v>7709</v>
      </c>
      <c r="AH12" t="s">
        <v>7658</v>
      </c>
      <c r="AI12" t="s">
        <v>7760</v>
      </c>
      <c r="AJ12" t="s">
        <v>7712</v>
      </c>
      <c r="AK12" t="s">
        <v>7741</v>
      </c>
      <c r="AL12" t="s">
        <v>8242</v>
      </c>
      <c r="AM12" t="s">
        <v>8241</v>
      </c>
      <c r="AN12" t="s">
        <v>7767</v>
      </c>
      <c r="AO12" t="s">
        <v>8240</v>
      </c>
      <c r="AP12" t="s">
        <v>7685</v>
      </c>
      <c r="AQ12" t="s">
        <v>8239</v>
      </c>
      <c r="AR12" t="s">
        <v>8238</v>
      </c>
      <c r="AS12" t="s">
        <v>7688</v>
      </c>
      <c r="AT12" t="s">
        <v>7737</v>
      </c>
      <c r="AU12" t="s">
        <v>7617</v>
      </c>
      <c r="AV12" t="s">
        <v>8237</v>
      </c>
      <c r="AW12" t="s">
        <v>7690</v>
      </c>
      <c r="AX12" t="s">
        <v>7773</v>
      </c>
      <c r="AY12" s="269"/>
      <c r="AZ12" s="269"/>
      <c r="BA12" t="s">
        <v>7721</v>
      </c>
      <c r="BB12" t="s">
        <v>8236</v>
      </c>
      <c r="BC12" t="s">
        <v>7668</v>
      </c>
      <c r="BD12" t="s">
        <v>7630</v>
      </c>
      <c r="BE12" t="s">
        <v>8235</v>
      </c>
      <c r="BF12" t="s">
        <v>8234</v>
      </c>
      <c r="BG12" t="s">
        <v>7663</v>
      </c>
      <c r="BH12" t="s">
        <v>8233</v>
      </c>
      <c r="BI12" t="s">
        <v>8232</v>
      </c>
      <c r="BJ12" t="s">
        <v>7647</v>
      </c>
      <c r="BK12" t="s">
        <v>8231</v>
      </c>
      <c r="BL12" t="s">
        <v>7604</v>
      </c>
      <c r="BM12" t="s">
        <v>8230</v>
      </c>
      <c r="BN12" t="s">
        <v>7751</v>
      </c>
      <c r="BO12" t="s">
        <v>8229</v>
      </c>
      <c r="BP12" t="s">
        <v>8228</v>
      </c>
      <c r="BQ12" t="s">
        <v>7654</v>
      </c>
      <c r="BR12" t="s">
        <v>7652</v>
      </c>
      <c r="BS12" t="s">
        <v>8227</v>
      </c>
      <c r="BT12" t="s">
        <v>8226</v>
      </c>
      <c r="BU12" s="269"/>
      <c r="BV12" s="269"/>
      <c r="BW12" s="269"/>
      <c r="BX12" s="269"/>
      <c r="BY12" s="269"/>
      <c r="BZ12" s="269"/>
      <c r="CA12" t="s">
        <v>7747</v>
      </c>
      <c r="CB12" t="s">
        <v>7629</v>
      </c>
      <c r="CC12" t="s">
        <v>7632</v>
      </c>
      <c r="CD12" t="s">
        <v>7744</v>
      </c>
      <c r="CE12" s="269"/>
      <c r="CF12" t="s">
        <v>8246</v>
      </c>
      <c r="CG12" t="s">
        <v>7695</v>
      </c>
      <c r="CH12" t="s">
        <v>8216</v>
      </c>
      <c r="CI12" t="s">
        <v>8206</v>
      </c>
      <c r="CJ12" t="s">
        <v>8364</v>
      </c>
      <c r="CK12" t="s">
        <v>7799</v>
      </c>
      <c r="CL12" t="s">
        <v>8309</v>
      </c>
      <c r="CM12" t="s">
        <v>8270</v>
      </c>
      <c r="CN12" t="s">
        <v>8228</v>
      </c>
      <c r="CO12" t="s">
        <v>8199</v>
      </c>
      <c r="CP12" t="s">
        <v>7669</v>
      </c>
      <c r="CQ12" t="s">
        <v>8235</v>
      </c>
      <c r="CR12" t="s">
        <v>7723</v>
      </c>
      <c r="CS12" t="s">
        <v>7677</v>
      </c>
      <c r="CT12" t="s">
        <v>7621</v>
      </c>
      <c r="CU12" t="s">
        <v>8211</v>
      </c>
      <c r="CV12" t="s">
        <v>8249</v>
      </c>
      <c r="CW12" t="s">
        <v>8247</v>
      </c>
      <c r="CX12" t="s">
        <v>7782</v>
      </c>
      <c r="CY12" t="s">
        <v>7694</v>
      </c>
      <c r="CZ12" s="269"/>
      <c r="DA12" s="269"/>
      <c r="DB12" t="s">
        <v>8222</v>
      </c>
      <c r="DC12" t="s">
        <v>8323</v>
      </c>
      <c r="DD12" t="s">
        <v>8320</v>
      </c>
      <c r="DE12" t="s">
        <v>7728</v>
      </c>
      <c r="DF12" t="s">
        <v>7639</v>
      </c>
      <c r="DG12" t="s">
        <v>8268</v>
      </c>
      <c r="DH12" t="s">
        <v>8195</v>
      </c>
      <c r="DI12" t="s">
        <v>7698</v>
      </c>
      <c r="DJ12" t="s">
        <v>8256</v>
      </c>
      <c r="DK12" t="s">
        <v>7684</v>
      </c>
      <c r="DL12" t="s">
        <v>8306</v>
      </c>
      <c r="DM12" t="s">
        <v>7712</v>
      </c>
      <c r="DN12" t="s">
        <v>8229</v>
      </c>
      <c r="DO12" t="s">
        <v>7608</v>
      </c>
      <c r="DP12" t="s">
        <v>8286</v>
      </c>
      <c r="DQ12" t="s">
        <v>7797</v>
      </c>
      <c r="DR12" t="s">
        <v>8238</v>
      </c>
      <c r="DS12" t="s">
        <v>8342</v>
      </c>
      <c r="DT12" t="s">
        <v>7688</v>
      </c>
      <c r="DU12" t="s">
        <v>7640</v>
      </c>
      <c r="DV12" s="269"/>
      <c r="DW12" s="269"/>
      <c r="DX12" t="s">
        <v>7678</v>
      </c>
      <c r="DY12" t="s">
        <v>8214</v>
      </c>
      <c r="DZ12" t="s">
        <v>8289</v>
      </c>
      <c r="EA12" t="s">
        <v>7784</v>
      </c>
      <c r="EB12" t="s">
        <v>7726</v>
      </c>
      <c r="EC12" t="s">
        <v>8318</v>
      </c>
      <c r="ED12" t="s">
        <v>7724</v>
      </c>
      <c r="EE12" t="s">
        <v>7791</v>
      </c>
      <c r="EF12" t="s">
        <v>8291</v>
      </c>
      <c r="EG12" t="s">
        <v>8197</v>
      </c>
      <c r="EH12" t="s">
        <v>7737</v>
      </c>
      <c r="EI12" t="s">
        <v>8313</v>
      </c>
      <c r="EJ12" t="s">
        <v>7806</v>
      </c>
      <c r="EK12" t="s">
        <v>7625</v>
      </c>
      <c r="EL12" t="s">
        <v>7774</v>
      </c>
      <c r="EM12" t="s">
        <v>7634</v>
      </c>
      <c r="EN12" t="s">
        <v>7809</v>
      </c>
      <c r="EO12" t="s">
        <v>7773</v>
      </c>
      <c r="EP12" t="s">
        <v>7699</v>
      </c>
      <c r="EQ12" t="s">
        <v>7716</v>
      </c>
      <c r="ER12" s="269"/>
      <c r="ES12" s="268">
        <v>2</v>
      </c>
    </row>
    <row r="13" spans="1:149" ht="15">
      <c r="A13" s="270" t="s">
        <v>22</v>
      </c>
      <c r="B13" s="266">
        <v>1</v>
      </c>
      <c r="C13" s="269"/>
      <c r="D13" t="s">
        <v>7749</v>
      </c>
      <c r="E13" t="s">
        <v>7740</v>
      </c>
      <c r="F13" t="s">
        <v>7750</v>
      </c>
      <c r="G13" t="s">
        <v>7633</v>
      </c>
      <c r="H13" s="269"/>
      <c r="I13" t="s">
        <v>7790</v>
      </c>
      <c r="J13" t="s">
        <v>8191</v>
      </c>
      <c r="K13" t="s">
        <v>8192</v>
      </c>
      <c r="L13" t="s">
        <v>8193</v>
      </c>
      <c r="M13" t="s">
        <v>7665</v>
      </c>
      <c r="N13" t="s">
        <v>8194</v>
      </c>
      <c r="O13" t="s">
        <v>8195</v>
      </c>
      <c r="P13" t="s">
        <v>8196</v>
      </c>
      <c r="Q13" t="s">
        <v>7616</v>
      </c>
      <c r="R13" t="s">
        <v>8197</v>
      </c>
      <c r="S13" t="s">
        <v>8198</v>
      </c>
      <c r="T13" t="s">
        <v>8199</v>
      </c>
      <c r="U13" t="s">
        <v>7691</v>
      </c>
      <c r="V13" t="s">
        <v>7676</v>
      </c>
      <c r="W13" t="s">
        <v>8200</v>
      </c>
      <c r="X13" t="s">
        <v>8201</v>
      </c>
      <c r="Y13" t="s">
        <v>7774</v>
      </c>
      <c r="Z13" t="s">
        <v>8202</v>
      </c>
      <c r="AA13" t="s">
        <v>7626</v>
      </c>
      <c r="AB13" t="s">
        <v>8203</v>
      </c>
      <c r="AC13" s="269"/>
      <c r="AD13" s="269"/>
      <c r="AE13" t="s">
        <v>8204</v>
      </c>
      <c r="AF13" t="s">
        <v>8205</v>
      </c>
      <c r="AG13" t="s">
        <v>8206</v>
      </c>
      <c r="AH13" t="s">
        <v>8207</v>
      </c>
      <c r="AI13" t="s">
        <v>7648</v>
      </c>
      <c r="AJ13" t="s">
        <v>8208</v>
      </c>
      <c r="AK13" t="s">
        <v>7613</v>
      </c>
      <c r="AL13" t="s">
        <v>8209</v>
      </c>
      <c r="AM13" t="s">
        <v>8210</v>
      </c>
      <c r="AN13" t="s">
        <v>7761</v>
      </c>
      <c r="AO13" t="s">
        <v>7705</v>
      </c>
      <c r="AP13" t="s">
        <v>7807</v>
      </c>
      <c r="AQ13" t="s">
        <v>8211</v>
      </c>
      <c r="AR13" t="s">
        <v>8212</v>
      </c>
      <c r="AS13" t="s">
        <v>8213</v>
      </c>
      <c r="AT13" t="s">
        <v>8214</v>
      </c>
      <c r="AU13" t="s">
        <v>8215</v>
      </c>
      <c r="AV13" t="s">
        <v>8216</v>
      </c>
      <c r="AW13" t="s">
        <v>8217</v>
      </c>
      <c r="AX13" t="s">
        <v>8218</v>
      </c>
      <c r="AY13" s="269"/>
      <c r="AZ13" s="269"/>
      <c r="BA13" t="s">
        <v>8219</v>
      </c>
      <c r="BB13" t="s">
        <v>8220</v>
      </c>
      <c r="BC13" t="s">
        <v>7666</v>
      </c>
      <c r="BD13" t="s">
        <v>7664</v>
      </c>
      <c r="BE13" t="s">
        <v>7765</v>
      </c>
      <c r="BF13" t="s">
        <v>7677</v>
      </c>
      <c r="BG13" t="s">
        <v>7624</v>
      </c>
      <c r="BH13" t="s">
        <v>8221</v>
      </c>
      <c r="BI13" t="s">
        <v>7670</v>
      </c>
      <c r="BJ13" t="s">
        <v>7689</v>
      </c>
      <c r="BK13" t="s">
        <v>8222</v>
      </c>
      <c r="BL13" t="s">
        <v>7610</v>
      </c>
      <c r="BM13" t="s">
        <v>7796</v>
      </c>
      <c r="BN13" t="s">
        <v>7614</v>
      </c>
      <c r="BO13" t="s">
        <v>8223</v>
      </c>
      <c r="BP13" t="s">
        <v>8224</v>
      </c>
      <c r="BQ13" t="s">
        <v>7769</v>
      </c>
      <c r="BR13" t="s">
        <v>8225</v>
      </c>
      <c r="BS13" t="s">
        <v>7644</v>
      </c>
      <c r="BT13" t="s">
        <v>7708</v>
      </c>
      <c r="BU13" s="269"/>
      <c r="BV13" s="269"/>
      <c r="BW13" s="269"/>
      <c r="BX13" s="269"/>
      <c r="BY13" s="269"/>
      <c r="BZ13" s="269"/>
      <c r="CA13" t="s">
        <v>7756</v>
      </c>
      <c r="CB13" t="s">
        <v>7611</v>
      </c>
      <c r="CC13" t="s">
        <v>7742</v>
      </c>
      <c r="CD13" t="s">
        <v>7745</v>
      </c>
      <c r="CE13" s="269"/>
      <c r="CF13" t="s">
        <v>7766</v>
      </c>
      <c r="CG13" t="s">
        <v>8282</v>
      </c>
      <c r="CH13" t="s">
        <v>8307</v>
      </c>
      <c r="CI13" t="s">
        <v>8252</v>
      </c>
      <c r="CJ13" t="s">
        <v>8220</v>
      </c>
      <c r="CK13" t="s">
        <v>8231</v>
      </c>
      <c r="CL13" t="s">
        <v>8361</v>
      </c>
      <c r="CM13" t="s">
        <v>8330</v>
      </c>
      <c r="CN13" t="s">
        <v>8351</v>
      </c>
      <c r="CO13" t="s">
        <v>8335</v>
      </c>
      <c r="CP13" t="s">
        <v>8233</v>
      </c>
      <c r="CQ13" t="s">
        <v>8287</v>
      </c>
      <c r="CR13" t="s">
        <v>8340</v>
      </c>
      <c r="CS13" t="s">
        <v>8293</v>
      </c>
      <c r="CT13" t="s">
        <v>7668</v>
      </c>
      <c r="CU13" t="s">
        <v>8213</v>
      </c>
      <c r="CV13" t="s">
        <v>7771</v>
      </c>
      <c r="CW13" t="s">
        <v>7660</v>
      </c>
      <c r="CX13" t="s">
        <v>7654</v>
      </c>
      <c r="CY13" t="s">
        <v>8338</v>
      </c>
      <c r="CZ13" s="269"/>
      <c r="DA13" s="269"/>
      <c r="DB13" t="s">
        <v>7801</v>
      </c>
      <c r="DC13" t="s">
        <v>7779</v>
      </c>
      <c r="DD13" t="s">
        <v>7622</v>
      </c>
      <c r="DE13" t="s">
        <v>8300</v>
      </c>
      <c r="DF13" t="s">
        <v>7769</v>
      </c>
      <c r="DG13" t="s">
        <v>8218</v>
      </c>
      <c r="DH13" t="s">
        <v>7661</v>
      </c>
      <c r="DI13" t="s">
        <v>8276</v>
      </c>
      <c r="DJ13" t="s">
        <v>7662</v>
      </c>
      <c r="DK13" t="s">
        <v>7647</v>
      </c>
      <c r="DL13" t="s">
        <v>8301</v>
      </c>
      <c r="DM13" t="s">
        <v>8344</v>
      </c>
      <c r="DN13" t="s">
        <v>8202</v>
      </c>
      <c r="DO13" t="s">
        <v>8349</v>
      </c>
      <c r="DP13" t="s">
        <v>7679</v>
      </c>
      <c r="DQ13" t="s">
        <v>8299</v>
      </c>
      <c r="DR13" t="s">
        <v>7805</v>
      </c>
      <c r="DS13" t="s">
        <v>8210</v>
      </c>
      <c r="DT13" t="s">
        <v>7772</v>
      </c>
      <c r="DU13" t="s">
        <v>7652</v>
      </c>
      <c r="DV13" s="269"/>
      <c r="DW13" s="269"/>
      <c r="DX13" t="s">
        <v>8192</v>
      </c>
      <c r="DY13" t="s">
        <v>7617</v>
      </c>
      <c r="DZ13" t="s">
        <v>7610</v>
      </c>
      <c r="EA13" t="s">
        <v>8339</v>
      </c>
      <c r="EB13" t="s">
        <v>8250</v>
      </c>
      <c r="EC13" t="s">
        <v>8264</v>
      </c>
      <c r="ED13" t="s">
        <v>8329</v>
      </c>
      <c r="EE13" t="s">
        <v>8251</v>
      </c>
      <c r="EF13" t="s">
        <v>8244</v>
      </c>
      <c r="EG13" t="s">
        <v>7795</v>
      </c>
      <c r="EH13" t="s">
        <v>8350</v>
      </c>
      <c r="EI13" t="s">
        <v>7770</v>
      </c>
      <c r="EJ13" t="s">
        <v>8221</v>
      </c>
      <c r="EK13" t="s">
        <v>7758</v>
      </c>
      <c r="EL13" t="s">
        <v>7761</v>
      </c>
      <c r="EM13" t="s">
        <v>8292</v>
      </c>
      <c r="EN13" t="s">
        <v>7681</v>
      </c>
      <c r="EO13" t="s">
        <v>8346</v>
      </c>
      <c r="EP13" t="s">
        <v>8209</v>
      </c>
      <c r="EQ13" t="s">
        <v>7650</v>
      </c>
      <c r="ER13" s="269"/>
      <c r="ES13" s="268">
        <v>1</v>
      </c>
    </row>
    <row r="14" spans="1:149" ht="15">
      <c r="B14" s="271" t="s">
        <v>8367</v>
      </c>
      <c r="C14" s="266">
        <v>1</v>
      </c>
      <c r="D14" s="266">
        <v>2</v>
      </c>
      <c r="E14" s="266">
        <v>3</v>
      </c>
      <c r="F14" s="266">
        <v>4</v>
      </c>
      <c r="G14" s="266">
        <v>5</v>
      </c>
      <c r="H14" s="266">
        <v>6</v>
      </c>
      <c r="I14" s="266">
        <v>7</v>
      </c>
      <c r="J14" s="266">
        <v>8</v>
      </c>
      <c r="K14" s="266">
        <v>9</v>
      </c>
      <c r="L14" s="266">
        <v>10</v>
      </c>
      <c r="M14" s="266">
        <v>11</v>
      </c>
      <c r="N14" s="266">
        <v>12</v>
      </c>
      <c r="O14" s="266">
        <v>13</v>
      </c>
      <c r="P14" s="266">
        <v>14</v>
      </c>
      <c r="Q14" s="266">
        <v>15</v>
      </c>
      <c r="R14" s="266">
        <v>16</v>
      </c>
      <c r="S14" s="266">
        <v>17</v>
      </c>
      <c r="T14" s="266">
        <v>18</v>
      </c>
      <c r="U14" s="266">
        <v>19</v>
      </c>
      <c r="V14" s="266">
        <v>20</v>
      </c>
      <c r="W14" s="266">
        <v>21</v>
      </c>
      <c r="X14" s="266">
        <v>22</v>
      </c>
      <c r="Y14" s="266">
        <v>23</v>
      </c>
      <c r="Z14" s="266">
        <v>24</v>
      </c>
      <c r="AA14" s="266">
        <v>25</v>
      </c>
      <c r="AB14" s="266">
        <v>26</v>
      </c>
      <c r="AC14" s="266">
        <v>27</v>
      </c>
      <c r="AD14" s="266">
        <v>28</v>
      </c>
      <c r="AE14" s="266">
        <v>29</v>
      </c>
      <c r="AF14" s="266">
        <v>30</v>
      </c>
      <c r="AG14" s="266">
        <v>31</v>
      </c>
      <c r="AH14" s="266">
        <v>32</v>
      </c>
      <c r="AI14" s="266">
        <v>33</v>
      </c>
      <c r="AJ14" s="266">
        <v>34</v>
      </c>
      <c r="AK14" s="266">
        <v>35</v>
      </c>
      <c r="AL14" s="266">
        <v>36</v>
      </c>
      <c r="AM14" s="266">
        <v>37</v>
      </c>
      <c r="AN14" s="266">
        <v>38</v>
      </c>
      <c r="AO14" s="266">
        <v>39</v>
      </c>
      <c r="AP14" s="266">
        <v>40</v>
      </c>
      <c r="AQ14" s="266">
        <v>41</v>
      </c>
      <c r="AR14" s="266">
        <v>42</v>
      </c>
      <c r="AS14" s="266">
        <v>43</v>
      </c>
      <c r="AT14" s="266">
        <v>44</v>
      </c>
      <c r="AU14" s="266">
        <v>45</v>
      </c>
      <c r="AV14" s="266">
        <v>46</v>
      </c>
      <c r="AW14" s="266">
        <v>47</v>
      </c>
      <c r="AX14" s="266">
        <v>48</v>
      </c>
      <c r="AY14" s="266">
        <v>49</v>
      </c>
      <c r="AZ14" s="266">
        <v>50</v>
      </c>
      <c r="BA14" s="266">
        <v>51</v>
      </c>
      <c r="BB14" s="266">
        <v>52</v>
      </c>
      <c r="BC14" s="266">
        <v>53</v>
      </c>
      <c r="BD14" s="266">
        <v>54</v>
      </c>
      <c r="BE14" s="266">
        <v>55</v>
      </c>
      <c r="BF14" s="266">
        <v>56</v>
      </c>
      <c r="BG14" s="266">
        <v>57</v>
      </c>
      <c r="BH14" s="266">
        <v>58</v>
      </c>
      <c r="BI14" s="266">
        <v>59</v>
      </c>
      <c r="BJ14" s="266">
        <v>60</v>
      </c>
      <c r="BK14" s="266">
        <v>61</v>
      </c>
      <c r="BL14" s="266">
        <v>62</v>
      </c>
      <c r="BM14" s="266">
        <v>63</v>
      </c>
      <c r="BN14" s="266">
        <v>64</v>
      </c>
      <c r="BO14" s="266">
        <v>65</v>
      </c>
      <c r="BP14" s="266">
        <v>66</v>
      </c>
      <c r="BQ14" s="266">
        <v>67</v>
      </c>
      <c r="BR14" s="266">
        <v>68</v>
      </c>
      <c r="BS14" s="266">
        <v>69</v>
      </c>
      <c r="BT14" s="266">
        <v>70</v>
      </c>
      <c r="BU14" s="266">
        <v>71</v>
      </c>
      <c r="BV14" s="266">
        <v>72</v>
      </c>
      <c r="BW14" s="266">
        <v>73</v>
      </c>
      <c r="BX14" s="272" t="s">
        <v>8370</v>
      </c>
      <c r="BY14" s="268">
        <v>2</v>
      </c>
      <c r="BZ14" s="268">
        <v>3</v>
      </c>
      <c r="CA14" s="268">
        <v>4</v>
      </c>
      <c r="CB14" s="268">
        <v>5</v>
      </c>
      <c r="CC14" s="268">
        <v>6</v>
      </c>
      <c r="CD14" s="268">
        <v>7</v>
      </c>
      <c r="CE14" s="268">
        <v>8</v>
      </c>
      <c r="CF14" s="268">
        <v>9</v>
      </c>
      <c r="CG14" s="268">
        <v>10</v>
      </c>
      <c r="CH14" s="268">
        <v>11</v>
      </c>
      <c r="CI14" s="268">
        <v>12</v>
      </c>
      <c r="CJ14" s="268">
        <v>13</v>
      </c>
      <c r="CK14" s="268">
        <v>14</v>
      </c>
      <c r="CL14" s="268">
        <v>15</v>
      </c>
      <c r="CM14" s="268">
        <v>16</v>
      </c>
      <c r="CN14" s="268">
        <v>17</v>
      </c>
      <c r="CO14" s="268">
        <v>18</v>
      </c>
      <c r="CP14" s="268">
        <v>19</v>
      </c>
      <c r="CQ14" s="268">
        <v>20</v>
      </c>
      <c r="CR14" s="268">
        <v>21</v>
      </c>
      <c r="CS14" s="268">
        <v>22</v>
      </c>
      <c r="CT14" s="268">
        <v>23</v>
      </c>
      <c r="CU14" s="268">
        <v>24</v>
      </c>
      <c r="CV14" s="268">
        <v>25</v>
      </c>
      <c r="CW14" s="268">
        <v>26</v>
      </c>
      <c r="CX14" s="268">
        <v>27</v>
      </c>
      <c r="CY14" s="268">
        <v>28</v>
      </c>
      <c r="CZ14" s="268">
        <v>29</v>
      </c>
      <c r="DA14" s="268">
        <v>30</v>
      </c>
      <c r="DB14" s="268">
        <v>31</v>
      </c>
      <c r="DC14" s="268">
        <v>32</v>
      </c>
      <c r="DD14" s="268">
        <v>33</v>
      </c>
      <c r="DE14" s="268">
        <v>34</v>
      </c>
      <c r="DF14" s="268">
        <v>35</v>
      </c>
      <c r="DG14" s="268">
        <v>36</v>
      </c>
      <c r="DH14" s="268">
        <v>37</v>
      </c>
      <c r="DI14" s="268">
        <v>38</v>
      </c>
      <c r="DJ14" s="268">
        <v>39</v>
      </c>
      <c r="DK14" s="268">
        <v>40</v>
      </c>
      <c r="DL14" s="268">
        <v>41</v>
      </c>
      <c r="DM14" s="268">
        <v>42</v>
      </c>
      <c r="DN14" s="268">
        <v>43</v>
      </c>
      <c r="DO14" s="268">
        <v>44</v>
      </c>
      <c r="DP14" s="268">
        <v>45</v>
      </c>
      <c r="DQ14" s="268">
        <v>46</v>
      </c>
      <c r="DR14" s="268">
        <v>47</v>
      </c>
      <c r="DS14" s="268">
        <v>48</v>
      </c>
      <c r="DT14" s="268">
        <v>49</v>
      </c>
      <c r="DU14" s="268">
        <v>50</v>
      </c>
      <c r="DV14" s="268">
        <v>51</v>
      </c>
      <c r="DW14" s="268">
        <v>52</v>
      </c>
      <c r="DX14" s="268">
        <v>53</v>
      </c>
      <c r="DY14" s="268">
        <v>54</v>
      </c>
      <c r="DZ14" s="268">
        <v>55</v>
      </c>
      <c r="EA14" s="268">
        <v>56</v>
      </c>
      <c r="EB14" s="268">
        <v>57</v>
      </c>
      <c r="EC14" s="268">
        <v>58</v>
      </c>
      <c r="ED14" s="268">
        <v>59</v>
      </c>
      <c r="EE14" s="268">
        <v>60</v>
      </c>
      <c r="EF14" s="268">
        <v>61</v>
      </c>
      <c r="EG14" s="268">
        <v>62</v>
      </c>
      <c r="EH14" s="268">
        <v>63</v>
      </c>
      <c r="EI14" s="268">
        <v>64</v>
      </c>
      <c r="EJ14" s="268">
        <v>65</v>
      </c>
      <c r="EK14" s="268">
        <v>66</v>
      </c>
      <c r="EL14" s="268">
        <v>67</v>
      </c>
      <c r="EM14" s="268">
        <v>68</v>
      </c>
      <c r="EN14" s="268">
        <v>69</v>
      </c>
      <c r="EO14" s="268">
        <v>70</v>
      </c>
      <c r="EP14" s="268">
        <v>71</v>
      </c>
      <c r="EQ14" s="268">
        <v>72</v>
      </c>
      <c r="ER14" s="268">
        <v>73</v>
      </c>
      <c r="ES14" s="272" t="s">
        <v>8370</v>
      </c>
    </row>
    <row r="15" spans="1:149">
      <c r="C15" s="270" t="s">
        <v>21</v>
      </c>
    </row>
    <row r="17" spans="2:3" ht="15">
      <c r="B17" s="269"/>
      <c r="C17" s="193" t="s">
        <v>8392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Normal="100" workbookViewId="0">
      <selection activeCell="G21" sqref="G21"/>
    </sheetView>
  </sheetViews>
  <sheetFormatPr baseColWidth="10" defaultRowHeight="12"/>
  <cols>
    <col min="1" max="1" width="36.42578125" style="192" bestFit="1" customWidth="1"/>
    <col min="2" max="2" width="12.140625" style="192" bestFit="1" customWidth="1"/>
    <col min="3" max="3" width="20" style="192" bestFit="1" customWidth="1"/>
    <col min="4" max="4" width="14.140625" style="311" customWidth="1"/>
    <col min="5" max="5" width="6.5703125" style="192" bestFit="1" customWidth="1"/>
    <col min="6" max="6" width="7.5703125" style="192" bestFit="1" customWidth="1"/>
    <col min="7" max="16384" width="11.42578125" style="193"/>
  </cols>
  <sheetData>
    <row r="1" spans="1:6" ht="15.75">
      <c r="A1" s="211" t="s">
        <v>8164</v>
      </c>
      <c r="B1" s="211" t="s">
        <v>213</v>
      </c>
      <c r="C1" s="211" t="s">
        <v>8165</v>
      </c>
      <c r="D1" s="211" t="s">
        <v>8705</v>
      </c>
      <c r="E1" s="211" t="s">
        <v>8166</v>
      </c>
      <c r="F1" s="211" t="s">
        <v>8167</v>
      </c>
    </row>
    <row r="2" spans="1:6" ht="15.75">
      <c r="A2" s="212" t="s">
        <v>8702</v>
      </c>
      <c r="B2" s="213">
        <v>41884</v>
      </c>
      <c r="C2" s="214" t="s">
        <v>8704</v>
      </c>
      <c r="D2" s="214"/>
      <c r="E2" s="214"/>
      <c r="F2" s="214"/>
    </row>
    <row r="3" spans="1:6" ht="15.75">
      <c r="A3" s="212" t="s">
        <v>8703</v>
      </c>
      <c r="B3" s="213">
        <v>41884</v>
      </c>
      <c r="C3" s="214" t="s">
        <v>8703</v>
      </c>
      <c r="D3" s="214"/>
      <c r="E3" s="214"/>
      <c r="F3" s="214"/>
    </row>
    <row r="4" spans="1:6" ht="15.75">
      <c r="A4" s="212" t="s">
        <v>8688</v>
      </c>
      <c r="B4" s="213">
        <v>41906</v>
      </c>
      <c r="C4" s="214" t="s">
        <v>8693</v>
      </c>
      <c r="D4" s="214">
        <v>88</v>
      </c>
      <c r="E4" s="214"/>
      <c r="F4" s="214"/>
    </row>
    <row r="5" spans="1:6" ht="15.75">
      <c r="A5" s="212" t="s">
        <v>8689</v>
      </c>
      <c r="B5" s="213">
        <v>42271</v>
      </c>
      <c r="C5" s="214" t="s">
        <v>8692</v>
      </c>
      <c r="D5" s="214">
        <v>124</v>
      </c>
      <c r="E5" s="214"/>
      <c r="F5" s="214"/>
    </row>
    <row r="6" spans="1:6" ht="15.75">
      <c r="A6" s="212" t="s">
        <v>8706</v>
      </c>
      <c r="B6" s="213">
        <v>42047</v>
      </c>
      <c r="C6" s="214" t="s">
        <v>8635</v>
      </c>
      <c r="D6" s="214">
        <v>91</v>
      </c>
      <c r="E6" s="214"/>
      <c r="F6" s="214"/>
    </row>
    <row r="7" spans="1:6" ht="15.75">
      <c r="A7" s="212" t="s">
        <v>8707</v>
      </c>
      <c r="B7" s="213">
        <v>42047</v>
      </c>
      <c r="C7" s="214" t="s">
        <v>8635</v>
      </c>
      <c r="D7" s="214">
        <v>35</v>
      </c>
      <c r="E7" s="214"/>
      <c r="F7" s="214"/>
    </row>
    <row r="8" spans="1:6" ht="15.75">
      <c r="A8" s="212" t="s">
        <v>8690</v>
      </c>
      <c r="B8" s="213">
        <v>42047</v>
      </c>
      <c r="C8" s="214" t="s">
        <v>8694</v>
      </c>
      <c r="D8" s="214">
        <v>26</v>
      </c>
      <c r="E8" s="214"/>
      <c r="F8" s="214"/>
    </row>
    <row r="9" spans="1:6" ht="15.75">
      <c r="A9" s="212" t="s">
        <v>8691</v>
      </c>
      <c r="B9" s="213">
        <v>42047</v>
      </c>
      <c r="C9" s="214" t="s">
        <v>8694</v>
      </c>
      <c r="D9" s="214">
        <v>53</v>
      </c>
      <c r="E9" s="214"/>
      <c r="F9" s="214"/>
    </row>
    <row r="10" spans="1:6" ht="15.75">
      <c r="A10" s="212" t="s">
        <v>8706</v>
      </c>
      <c r="B10" s="213">
        <v>42072</v>
      </c>
      <c r="C10" s="214" t="s">
        <v>8635</v>
      </c>
      <c r="D10" s="214">
        <v>57</v>
      </c>
      <c r="E10" s="214"/>
      <c r="F10" s="214"/>
    </row>
    <row r="11" spans="1:6" ht="15.75">
      <c r="A11" s="212" t="s">
        <v>8707</v>
      </c>
      <c r="B11" s="213">
        <v>42072</v>
      </c>
      <c r="C11" s="214" t="s">
        <v>8635</v>
      </c>
      <c r="D11" s="214">
        <v>0</v>
      </c>
      <c r="E11" s="214"/>
      <c r="F11" s="214"/>
    </row>
    <row r="12" spans="1:6" ht="15.75">
      <c r="A12" s="212" t="s">
        <v>8695</v>
      </c>
      <c r="B12" s="213">
        <v>41927</v>
      </c>
      <c r="C12" s="214" t="s">
        <v>8696</v>
      </c>
      <c r="D12" s="214" t="s">
        <v>8708</v>
      </c>
      <c r="E12" s="214"/>
      <c r="F12" s="214"/>
    </row>
    <row r="13" spans="1:6" ht="15.75">
      <c r="A13" s="212" t="s">
        <v>8697</v>
      </c>
      <c r="B13" s="213">
        <v>41907</v>
      </c>
      <c r="C13" s="214" t="s">
        <v>8698</v>
      </c>
      <c r="D13" s="214" t="s">
        <v>8709</v>
      </c>
      <c r="E13" s="214"/>
      <c r="F13" s="214"/>
    </row>
    <row r="14" spans="1:6" ht="15.75">
      <c r="A14" s="212" t="s">
        <v>8697</v>
      </c>
      <c r="B14" s="213">
        <v>41939</v>
      </c>
      <c r="C14" s="214" t="s">
        <v>8699</v>
      </c>
      <c r="D14" s="214" t="s">
        <v>8710</v>
      </c>
      <c r="E14" s="214"/>
      <c r="F14" s="214"/>
    </row>
    <row r="15" spans="1:6" ht="15.75">
      <c r="A15" s="212" t="s">
        <v>8697</v>
      </c>
      <c r="B15" s="213">
        <v>42080</v>
      </c>
      <c r="C15" s="214" t="s">
        <v>8699</v>
      </c>
      <c r="D15" s="214" t="s">
        <v>8710</v>
      </c>
      <c r="E15" s="214"/>
      <c r="F15" s="214"/>
    </row>
    <row r="16" spans="1:6" ht="15.75">
      <c r="A16" s="212" t="s">
        <v>8700</v>
      </c>
      <c r="B16" s="213">
        <v>42118</v>
      </c>
      <c r="C16" s="214" t="s">
        <v>8701</v>
      </c>
      <c r="D16" s="214" t="s">
        <v>8711</v>
      </c>
      <c r="E16" s="214"/>
      <c r="F16" s="214"/>
    </row>
    <row r="17" spans="1:6" ht="15.75">
      <c r="A17" s="212" t="s">
        <v>8700</v>
      </c>
      <c r="B17" s="213">
        <v>42136</v>
      </c>
      <c r="C17" s="214" t="s">
        <v>8701</v>
      </c>
      <c r="D17" s="214" t="s">
        <v>8711</v>
      </c>
      <c r="E17" s="214"/>
      <c r="F17" s="214"/>
    </row>
    <row r="18" spans="1:6" ht="15.75">
      <c r="A18" s="212"/>
      <c r="B18" s="213"/>
      <c r="C18" s="214"/>
      <c r="D18" s="214"/>
      <c r="E18" s="214"/>
      <c r="F18" s="214"/>
    </row>
    <row r="19" spans="1:6" ht="15.75">
      <c r="A19" s="212"/>
      <c r="B19" s="213"/>
      <c r="C19" s="214"/>
      <c r="D19" s="214"/>
      <c r="E19" s="214"/>
      <c r="F19" s="214"/>
    </row>
    <row r="20" spans="1:6" ht="15.75">
      <c r="A20" s="212"/>
      <c r="B20" s="213"/>
      <c r="C20" s="214"/>
      <c r="D20" s="214"/>
      <c r="E20" s="214"/>
      <c r="F20" s="214"/>
    </row>
    <row r="21" spans="1:6" ht="15.75">
      <c r="A21" s="212"/>
      <c r="B21" s="213"/>
      <c r="C21" s="214"/>
      <c r="D21" s="214"/>
      <c r="E21" s="214"/>
      <c r="F21" s="214"/>
    </row>
    <row r="22" spans="1:6" ht="15.75">
      <c r="A22" s="212"/>
      <c r="B22" s="213"/>
      <c r="C22" s="214"/>
      <c r="D22" s="214"/>
      <c r="E22" s="214"/>
      <c r="F22" s="214"/>
    </row>
    <row r="23" spans="1:6" ht="15" customHeight="1">
      <c r="A23" s="212"/>
      <c r="B23" s="213"/>
      <c r="C23" s="215"/>
      <c r="D23" s="215"/>
      <c r="E23" s="215"/>
      <c r="F23" s="214"/>
    </row>
    <row r="24" spans="1:6" ht="15.75">
      <c r="A24" s="212"/>
      <c r="B24" s="213"/>
      <c r="C24" s="214"/>
      <c r="D24" s="214"/>
      <c r="E24" s="214"/>
      <c r="F24" s="214"/>
    </row>
    <row r="25" spans="1:6" ht="15.75">
      <c r="A25" s="212"/>
      <c r="B25" s="213"/>
      <c r="C25" s="214"/>
      <c r="D25" s="214"/>
      <c r="E25" s="214"/>
      <c r="F25" s="214"/>
    </row>
    <row r="26" spans="1:6" ht="15.75">
      <c r="A26" s="212"/>
      <c r="B26" s="213"/>
      <c r="C26" s="214"/>
      <c r="D26" s="214"/>
      <c r="E26" s="214"/>
      <c r="F26" s="214"/>
    </row>
    <row r="27" spans="1:6" ht="15.75">
      <c r="A27" s="212"/>
      <c r="B27" s="213"/>
      <c r="C27" s="214"/>
      <c r="D27" s="214"/>
      <c r="E27" s="214"/>
      <c r="F27" s="214"/>
    </row>
    <row r="28" spans="1:6" ht="15.75">
      <c r="A28" s="212"/>
      <c r="B28" s="213"/>
      <c r="C28" s="214"/>
      <c r="D28" s="214"/>
      <c r="E28" s="214"/>
      <c r="F28" s="214"/>
    </row>
    <row r="29" spans="1:6" ht="15.75">
      <c r="A29" s="212"/>
      <c r="B29" s="213"/>
      <c r="C29" s="214"/>
      <c r="D29" s="214"/>
      <c r="E29" s="214"/>
      <c r="F29" s="214"/>
    </row>
    <row r="30" spans="1:6" ht="15.75">
      <c r="A30" s="212"/>
      <c r="B30" s="213"/>
      <c r="C30" s="214"/>
      <c r="D30" s="214"/>
      <c r="E30" s="214"/>
      <c r="F30" s="214"/>
    </row>
    <row r="31" spans="1:6" ht="15.75">
      <c r="A31" s="212"/>
      <c r="B31" s="213"/>
      <c r="C31" s="214"/>
      <c r="D31" s="214"/>
      <c r="E31" s="214"/>
      <c r="F31" s="214"/>
    </row>
    <row r="36" spans="1:6">
      <c r="A36" s="193"/>
      <c r="B36" s="193"/>
      <c r="C36" s="193"/>
      <c r="D36" s="193"/>
      <c r="F36" s="216"/>
    </row>
    <row r="37" spans="1:6">
      <c r="A37" s="193"/>
      <c r="B37" s="193"/>
      <c r="C37" s="193"/>
      <c r="D37" s="193"/>
      <c r="F37" s="216"/>
    </row>
    <row r="38" spans="1:6">
      <c r="A38" s="193"/>
      <c r="B38" s="193"/>
      <c r="C38" s="193"/>
      <c r="D38" s="193"/>
      <c r="F38" s="216"/>
    </row>
    <row r="39" spans="1:6">
      <c r="A39" s="193"/>
      <c r="B39" s="217"/>
      <c r="C39" s="217"/>
      <c r="D39" s="217"/>
      <c r="F39" s="21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Level</vt:lpstr>
      <vt:lpstr>Treatment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SIMON, Clara</cp:lastModifiedBy>
  <cp:revision>11</cp:revision>
  <cp:lastPrinted>1601-01-01T00:00:00Z</cp:lastPrinted>
  <dcterms:created xsi:type="dcterms:W3CDTF">2013-10-04T13:51:10Z</dcterms:created>
  <dcterms:modified xsi:type="dcterms:W3CDTF">2015-11-03T13:51:21Z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